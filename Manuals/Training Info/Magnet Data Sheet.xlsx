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llis\OneDrive - mxrimaging.com\Desktop\"/>
    </mc:Choice>
  </mc:AlternateContent>
  <xr:revisionPtr revIDLastSave="0" documentId="8_{4ADA8BD0-44AC-4A7D-9795-7D4BF79E2C2A}" xr6:coauthVersionLast="36" xr6:coauthVersionMax="36" xr10:uidLastSave="{00000000-0000-0000-0000-000000000000}"/>
  <bookViews>
    <workbookView xWindow="-90" yWindow="-90" windowWidth="20715" windowHeight="13275" xr2:uid="{00000000-000D-0000-FFFF-FFFF00000000}"/>
  </bookViews>
  <sheets>
    <sheet name="Magnet Info" sheetId="5" r:id="rId1"/>
    <sheet name="Unit Converter" sheetId="9" r:id="rId2"/>
  </sheets>
  <calcPr calcId="191029"/>
</workbook>
</file>

<file path=xl/calcChain.xml><?xml version="1.0" encoding="utf-8"?>
<calcChain xmlns="http://schemas.openxmlformats.org/spreadsheetml/2006/main">
  <c r="O74" i="5" l="1"/>
  <c r="O73" i="5"/>
  <c r="O71" i="5"/>
  <c r="O70" i="5"/>
  <c r="O69" i="5"/>
  <c r="O68" i="5"/>
  <c r="O67" i="5"/>
  <c r="O66" i="5"/>
  <c r="O65" i="5"/>
  <c r="O64" i="5"/>
  <c r="O63" i="5"/>
  <c r="O62" i="5"/>
  <c r="O61" i="5"/>
  <c r="O56" i="5"/>
  <c r="O55" i="5"/>
  <c r="O54" i="5"/>
  <c r="O53" i="5"/>
  <c r="O52" i="5"/>
  <c r="O51" i="5"/>
  <c r="O49" i="5"/>
  <c r="O48" i="5"/>
  <c r="O47" i="5"/>
  <c r="O46" i="5"/>
  <c r="O44" i="5"/>
  <c r="O43" i="5"/>
  <c r="O42" i="5"/>
  <c r="O41" i="5"/>
  <c r="O40" i="5"/>
  <c r="O39" i="5"/>
  <c r="O35" i="5"/>
  <c r="O31" i="5"/>
  <c r="O30" i="5"/>
  <c r="O29" i="5"/>
  <c r="O28" i="5"/>
  <c r="O27" i="5"/>
  <c r="O26" i="5"/>
  <c r="O25" i="5"/>
  <c r="O24" i="5"/>
  <c r="O21" i="5"/>
  <c r="O20" i="5"/>
  <c r="O19" i="5"/>
  <c r="O18" i="5"/>
  <c r="O17" i="5"/>
  <c r="O16" i="5"/>
  <c r="O14" i="5"/>
  <c r="O13" i="5"/>
  <c r="O12" i="5"/>
  <c r="O11" i="5"/>
  <c r="O10" i="5"/>
  <c r="O9" i="5"/>
  <c r="O8" i="5"/>
  <c r="O7" i="5"/>
  <c r="O6" i="5"/>
  <c r="O5" i="5"/>
  <c r="O4" i="5"/>
  <c r="O2" i="5"/>
  <c r="O83" i="5"/>
  <c r="O82" i="5"/>
  <c r="O81" i="5"/>
  <c r="O80" i="5"/>
  <c r="O78" i="5"/>
  <c r="O77" i="5"/>
  <c r="O76" i="5"/>
  <c r="B9" i="9" l="1"/>
  <c r="C9" i="9"/>
  <c r="D9" i="9"/>
  <c r="E8" i="9"/>
  <c r="E7" i="9"/>
  <c r="E6" i="9"/>
  <c r="E22" i="9" l="1"/>
  <c r="B26" i="9" s="1"/>
  <c r="E26" i="9"/>
  <c r="B25" i="9"/>
  <c r="C24" i="9"/>
  <c r="D25" i="9" l="1"/>
  <c r="E25" i="9" s="1"/>
  <c r="C26" i="9"/>
  <c r="D24" i="9"/>
  <c r="E24" i="9" s="1"/>
  <c r="C18" i="9" l="1"/>
  <c r="E18" i="9" s="1"/>
  <c r="C19" i="9"/>
  <c r="D19" i="9" s="1"/>
  <c r="C8" i="9"/>
  <c r="B8" i="9"/>
  <c r="D7" i="9"/>
  <c r="B7" i="9"/>
  <c r="D6" i="9"/>
  <c r="C6" i="9"/>
  <c r="B14" i="9"/>
  <c r="C13" i="9"/>
  <c r="F29" i="5" l="1"/>
  <c r="F28" i="5"/>
  <c r="F27" i="5"/>
  <c r="F26" i="5"/>
  <c r="F25" i="5"/>
  <c r="F19" i="5"/>
  <c r="F14" i="5"/>
  <c r="F13" i="5"/>
  <c r="G75" i="5" l="1"/>
  <c r="O75" i="5" s="1"/>
  <c r="I72" i="5"/>
</calcChain>
</file>

<file path=xl/sharedStrings.xml><?xml version="1.0" encoding="utf-8"?>
<sst xmlns="http://schemas.openxmlformats.org/spreadsheetml/2006/main" count="638" uniqueCount="233">
  <si>
    <t>Magnet Model</t>
  </si>
  <si>
    <t>OEM</t>
  </si>
  <si>
    <t>Philips</t>
  </si>
  <si>
    <t>GE</t>
  </si>
  <si>
    <t>Magnet Models</t>
  </si>
  <si>
    <t>Siemens</t>
  </si>
  <si>
    <t>Profile</t>
  </si>
  <si>
    <t>HFO</t>
  </si>
  <si>
    <t>Ovation</t>
  </si>
  <si>
    <t>SIII</t>
  </si>
  <si>
    <t>SIV</t>
  </si>
  <si>
    <t>SV</t>
  </si>
  <si>
    <t>SX</t>
  </si>
  <si>
    <t>F2000</t>
  </si>
  <si>
    <t>Symphony</t>
  </si>
  <si>
    <t>NT</t>
  </si>
  <si>
    <t>NA</t>
  </si>
  <si>
    <t>MAX</t>
  </si>
  <si>
    <t>SII</t>
  </si>
  <si>
    <t>Allowable Boiloff /wk</t>
  </si>
  <si>
    <t>Min Ramp Level</t>
  </si>
  <si>
    <t>Min Shim Level</t>
  </si>
  <si>
    <t>Min Fill Level</t>
  </si>
  <si>
    <t>Serial Number Identifier</t>
  </si>
  <si>
    <t>Hitachi</t>
  </si>
  <si>
    <t>Altaire</t>
  </si>
  <si>
    <t>95% T
100% B</t>
  </si>
  <si>
    <t>20% T
50% B</t>
  </si>
  <si>
    <t>Avanto</t>
  </si>
  <si>
    <t>Espree</t>
  </si>
  <si>
    <t>Trio</t>
  </si>
  <si>
    <t>Aera</t>
  </si>
  <si>
    <t>Harmony</t>
  </si>
  <si>
    <t>&lt;= 12.x</t>
  </si>
  <si>
    <t>&lt;= 9.x</t>
  </si>
  <si>
    <t>OpenSpeed</t>
  </si>
  <si>
    <t>9.x - current</t>
  </si>
  <si>
    <t>Toshiba</t>
  </si>
  <si>
    <t>System Model</t>
  </si>
  <si>
    <t>OR70</t>
  </si>
  <si>
    <t>OR24</t>
  </si>
  <si>
    <t>OR105</t>
  </si>
  <si>
    <t>Essenza</t>
  </si>
  <si>
    <t>OR60</t>
  </si>
  <si>
    <t>OR122</t>
  </si>
  <si>
    <t>OR98</t>
  </si>
  <si>
    <t>OR64</t>
  </si>
  <si>
    <t>Skyra</t>
  </si>
  <si>
    <t>Verio</t>
  </si>
  <si>
    <t>OR97</t>
  </si>
  <si>
    <t>Titan</t>
  </si>
  <si>
    <t>OR99</t>
  </si>
  <si>
    <t>---</t>
  </si>
  <si>
    <t>Achieva 3T</t>
  </si>
  <si>
    <t>Ingenia 1.5T</t>
  </si>
  <si>
    <t>Ingenia 3T</t>
  </si>
  <si>
    <t>OR76</t>
  </si>
  <si>
    <t>Helium Capacity</t>
  </si>
  <si>
    <t>Opart</t>
  </si>
  <si>
    <t>Rex</t>
  </si>
  <si>
    <t>Gyroscan</t>
  </si>
  <si>
    <t>Cxxxx</t>
  </si>
  <si>
    <t>Dxxxx</t>
  </si>
  <si>
    <t>Gxxxx</t>
  </si>
  <si>
    <t>Jxxxx</t>
  </si>
  <si>
    <t>Axxxx</t>
  </si>
  <si>
    <t>Hxxxx</t>
  </si>
  <si>
    <t>Mxxxx</t>
  </si>
  <si>
    <t>Notes</t>
  </si>
  <si>
    <t>Pressure range</t>
  </si>
  <si>
    <t>0.25-0.5 psi</t>
  </si>
  <si>
    <t>3.0-5.0 psi</t>
  </si>
  <si>
    <t>0.9-1.1 psi
or &lt;5.0 psi</t>
  </si>
  <si>
    <t>&gt;=23.x</t>
  </si>
  <si>
    <t>No actual boiloff, 0.5% weekly value is just to allow for fluctuation.</t>
  </si>
  <si>
    <t>Scanning inhibited below 40% helium, no actual boiloff, 0.5% weekly value is just to account for fluctuation.</t>
  </si>
  <si>
    <t>750w</t>
  </si>
  <si>
    <t>Permanent Magnet</t>
  </si>
  <si>
    <t>450w</t>
  </si>
  <si>
    <t>2%/wk estimate</t>
  </si>
  <si>
    <t>No actual boiloff, 0.5% weekly value is just to allow for fluctuation. Capacity is 170L top, 170L bottom, 36L in posts.</t>
  </si>
  <si>
    <r>
      <t xml:space="preserve">Scanning inhibited below 40% helium, no actual boiloff, 0.5% weekly value is just to account for fluctuation. </t>
    </r>
    <r>
      <rPr>
        <b/>
        <sz val="11"/>
        <rFont val="Calibri"/>
        <family val="2"/>
      </rPr>
      <t>1350 liters at 95% is maximum fill allowed.</t>
    </r>
  </si>
  <si>
    <t>Airis 1</t>
  </si>
  <si>
    <t>Airis Elite</t>
  </si>
  <si>
    <t>Airis II</t>
  </si>
  <si>
    <t>Flint</t>
  </si>
  <si>
    <t>Gain per 250L</t>
  </si>
  <si>
    <t>11.x - current</t>
  </si>
  <si>
    <t>SI</t>
  </si>
  <si>
    <t>OEM Burnoff /yr</t>
  </si>
  <si>
    <t>Panorama</t>
  </si>
  <si>
    <t>60mb</t>
  </si>
  <si>
    <t>2psi</t>
  </si>
  <si>
    <t>15.3 psia (0.6 psi)</t>
  </si>
  <si>
    <t>OR92</t>
  </si>
  <si>
    <t>Allegra</t>
  </si>
  <si>
    <t>0.25psi</t>
  </si>
  <si>
    <t>OR41</t>
  </si>
  <si>
    <t>OR42</t>
  </si>
  <si>
    <t>OR103</t>
  </si>
  <si>
    <t>Monet/Spectra</t>
  </si>
  <si>
    <t>Alltech</t>
  </si>
  <si>
    <t>Centauri</t>
  </si>
  <si>
    <t>Elscint</t>
  </si>
  <si>
    <t>Gyrex</t>
  </si>
  <si>
    <t>OTB</t>
  </si>
  <si>
    <t>Privilege</t>
  </si>
  <si>
    <t>Prestige</t>
  </si>
  <si>
    <t>Field Strength</t>
  </si>
  <si>
    <t>1.5T</t>
  </si>
  <si>
    <t>2.0T</t>
  </si>
  <si>
    <t>0.5T</t>
  </si>
  <si>
    <t>1.0T</t>
  </si>
  <si>
    <t>3.0T</t>
  </si>
  <si>
    <t>0.7T</t>
  </si>
  <si>
    <t>Echostar</t>
  </si>
  <si>
    <t>Cx 1T</t>
  </si>
  <si>
    <t>Cx 1.5T</t>
  </si>
  <si>
    <t>Pxxxx</t>
  </si>
  <si>
    <t>Nxxxx</t>
  </si>
  <si>
    <t>Vectra</t>
  </si>
  <si>
    <t>0.35T</t>
  </si>
  <si>
    <t>0.2T</t>
  </si>
  <si>
    <t>LCC 1.5T</t>
  </si>
  <si>
    <t>LCC 1T</t>
  </si>
  <si>
    <t>3 Stage Coldhead! No actual boiloff, 0.5% weekly value is just to allow for fluctuation.</t>
  </si>
  <si>
    <t>7.0T</t>
  </si>
  <si>
    <t>9.0T</t>
  </si>
  <si>
    <t>9.x - 12.x</t>
  </si>
  <si>
    <t>ONI 1T</t>
  </si>
  <si>
    <t>ONI 1.5T</t>
  </si>
  <si>
    <t>MSK 1.5</t>
  </si>
  <si>
    <t>Panorama 0.6T</t>
  </si>
  <si>
    <t>0.6T</t>
  </si>
  <si>
    <t>VMX2</t>
  </si>
  <si>
    <t>Contour</t>
  </si>
  <si>
    <t>3T94</t>
  </si>
  <si>
    <t>11.x - 12.x</t>
  </si>
  <si>
    <t>OR93</t>
  </si>
  <si>
    <t>Amira</t>
  </si>
  <si>
    <t>Impact/Expert</t>
  </si>
  <si>
    <t>Picker</t>
  </si>
  <si>
    <t>Vista</t>
  </si>
  <si>
    <t>OR26</t>
  </si>
  <si>
    <t>Polaris</t>
  </si>
  <si>
    <t>OR65</t>
  </si>
  <si>
    <t>Prisma</t>
  </si>
  <si>
    <t>OR71</t>
  </si>
  <si>
    <t>Eclipse</t>
  </si>
  <si>
    <t>Achieva/Intera</t>
  </si>
  <si>
    <t>Panorama 1T</t>
  </si>
  <si>
    <t>Achieva XR</t>
  </si>
  <si>
    <t>Gecko</t>
  </si>
  <si>
    <t>Prodiva</t>
  </si>
  <si>
    <t>Orian</t>
  </si>
  <si>
    <t>OR200</t>
  </si>
  <si>
    <t>Vantage (Orian upgrade)</t>
  </si>
  <si>
    <t>0.3T</t>
  </si>
  <si>
    <t>TN150</t>
  </si>
  <si>
    <t>Vantage Elan</t>
  </si>
  <si>
    <t>MRT50</t>
  </si>
  <si>
    <t>Flexart</t>
  </si>
  <si>
    <t>T10</t>
  </si>
  <si>
    <t>1220/1400/1600</t>
  </si>
  <si>
    <t>20%/17%/15%</t>
  </si>
  <si>
    <t>There are three different possible T10 NT magnets.</t>
  </si>
  <si>
    <t>T5</t>
  </si>
  <si>
    <t>Panorama .23T</t>
  </si>
  <si>
    <t>0.23T</t>
  </si>
  <si>
    <t>OrthOne</t>
  </si>
  <si>
    <t>Rhapsody Open</t>
  </si>
  <si>
    <t>OR20</t>
  </si>
  <si>
    <t>Asset</t>
  </si>
  <si>
    <t>Jazz</t>
  </si>
  <si>
    <t>Concerto</t>
  </si>
  <si>
    <t>C</t>
  </si>
  <si>
    <t>Open Viva</t>
  </si>
  <si>
    <t>Aperto</t>
  </si>
  <si>
    <t>0.4T</t>
  </si>
  <si>
    <t>Echelon</t>
  </si>
  <si>
    <t>Oasis</t>
  </si>
  <si>
    <t>1.2T</t>
  </si>
  <si>
    <t>OR35</t>
  </si>
  <si>
    <t>Edge</t>
  </si>
  <si>
    <t>Vision/Sonata</t>
  </si>
  <si>
    <t>AP Burnoff /yr</t>
  </si>
  <si>
    <t>67xxxx</t>
  </si>
  <si>
    <t>No actual boiloff, 0.5% weekly value is just to allow for fluctuation. If QRxxxx the Q is typically hand stamped.  These were originally 1.5T magnets that were found to only ramp to 1.0T in Florence.</t>
  </si>
  <si>
    <t>LCC300</t>
  </si>
  <si>
    <t>Kxxxx serial number for Xc_1 version. Lxxxx serial number for Xc_2 version.</t>
  </si>
  <si>
    <t>Rxxxx
(RA also)</t>
  </si>
  <si>
    <t>Qxxxx
(QR also)</t>
  </si>
  <si>
    <t>Xxxxx
(K or L also)</t>
  </si>
  <si>
    <t>40mb (0.6psi)</t>
  </si>
  <si>
    <t>-----</t>
  </si>
  <si>
    <t>United</t>
  </si>
  <si>
    <t>uMR 790</t>
  </si>
  <si>
    <t>uMR 780</t>
  </si>
  <si>
    <t>uMR 570</t>
  </si>
  <si>
    <t>Pressure</t>
  </si>
  <si>
    <t>Flow</t>
  </si>
  <si>
    <t>Gpm</t>
  </si>
  <si>
    <t>Lpm</t>
  </si>
  <si>
    <t>%</t>
  </si>
  <si>
    <t>Liters</t>
  </si>
  <si>
    <t>Magnet Capacity</t>
  </si>
  <si>
    <t>Lhe% &lt;--&gt; actual liters</t>
  </si>
  <si>
    <t>Unit Conversions</t>
  </si>
  <si>
    <r>
      <t xml:space="preserve">Type value you have in the </t>
    </r>
    <r>
      <rPr>
        <b/>
        <sz val="11"/>
        <color rgb="FF00B050"/>
        <rFont val="Calibri"/>
        <family val="2"/>
      </rPr>
      <t>GREEN</t>
    </r>
    <r>
      <rPr>
        <b/>
        <sz val="11"/>
        <color rgb="FF000000"/>
        <rFont val="Calibri"/>
        <family val="2"/>
      </rPr>
      <t xml:space="preserve"> boxes to get conversions</t>
    </r>
  </si>
  <si>
    <t>psi (GE)</t>
  </si>
  <si>
    <t>psia (SM)</t>
  </si>
  <si>
    <t>mbar (PH)</t>
  </si>
  <si>
    <t>Magnetic Field</t>
  </si>
  <si>
    <t>Tesla</t>
  </si>
  <si>
    <t>Gauss</t>
  </si>
  <si>
    <t>Frequency (MHz)</t>
  </si>
  <si>
    <t>Factor</t>
  </si>
  <si>
    <t>Frequency
(Hz)</t>
  </si>
  <si>
    <t>Hydrogen (H)</t>
  </si>
  <si>
    <t>Helium (He)</t>
  </si>
  <si>
    <t>Sodium (Na)</t>
  </si>
  <si>
    <t>Fluorine (F)</t>
  </si>
  <si>
    <t>Phosphorus (P)</t>
  </si>
  <si>
    <t>Xenon (Xe)</t>
  </si>
  <si>
    <t>Carbon (C)</t>
  </si>
  <si>
    <t>Nuclei</t>
  </si>
  <si>
    <t>MPa</t>
  </si>
  <si>
    <t>Verified capacity</t>
  </si>
  <si>
    <t>Yes</t>
  </si>
  <si>
    <t>No actual boiloff, 0.5% weekly value is just to allow for fluctuation. RAxxxx serial number indicates experimental winding (require different ramp profile, only 26 exist).</t>
  </si>
  <si>
    <t>2.5%/wk estimate. Scanning inhibited below 40% helium</t>
  </si>
  <si>
    <t>or122</t>
  </si>
  <si>
    <t>2%/wk estimate (can be 1.5-3% depending on magnet age). Poor efficiency fills are common.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</si>
</sst>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%"/>
    <numFmt numFmtId="165" formatCode="0.000\ &quot;Gpm&quot;"/>
    <numFmt numFmtId="166" formatCode="0.00\ &quot;psi&quot;"/>
    <numFmt numFmtId="167" formatCode="0.00\ &quot;psia&quot;"/>
    <numFmt numFmtId="168" formatCode="0.00\ &quot;mbar&quot;"/>
    <numFmt numFmtId="169" formatCode="0.000\ &quot;Lpm&quot;"/>
    <numFmt numFmtId="170" formatCode="0.00\ &quot;Lpm&quot;"/>
    <numFmt numFmtId="171" formatCode="0.00\ &quot;Gpm&quot;"/>
    <numFmt numFmtId="172" formatCode="0.0\ &quot;L&quot;"/>
    <numFmt numFmtId="173" formatCode="0\ &quot;L&quot;"/>
    <numFmt numFmtId="174" formatCode="0.00\ &quot;T&quot;"/>
    <numFmt numFmtId="175" formatCode="0.0000\ &quot;T&quot;"/>
    <numFmt numFmtId="176" formatCode="0\ &quot;G&quot;"/>
    <numFmt numFmtId="177" formatCode="#,##0\ &quot;Hz&quot;"/>
    <numFmt numFmtId="178" formatCode="0.00\ &quot;MHz&quot;"/>
    <numFmt numFmtId="179" formatCode="0.0000\ &quot;MPa&quot;"/>
    <numFmt numFmtId="180" formatCode="0.00\ &quot;MPa&quot;"/>
    <numFmt numFmtId="181" formatCode="0\ &quot;mbar&quot;"/>
  </numFmts>
  <fonts count="11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0" tint="-0.34998626667073579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B050"/>
      <name val="Calibri"/>
      <family val="2"/>
    </font>
    <font>
      <b/>
      <sz val="16"/>
      <color rgb="FF000000"/>
      <name val="Calibri"/>
      <family val="2"/>
    </font>
    <font>
      <sz val="11"/>
      <color theme="0" tint="-0.149998474074526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1">
    <xf numFmtId="0" fontId="0" fillId="0" borderId="0" xfId="0" applyFont="1" applyAlignment="1"/>
    <xf numFmtId="0" fontId="0" fillId="0" borderId="0" xfId="0" applyFont="1" applyAlignment="1"/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0" fontId="0" fillId="0" borderId="1" xfId="1" applyNumberFormat="1" applyFont="1" applyBorder="1" applyAlignment="1">
      <alignment horizontal="left" vertical="top" wrapText="1"/>
    </xf>
    <xf numFmtId="10" fontId="1" fillId="0" borderId="1" xfId="1" applyNumberFormat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10" fontId="4" fillId="0" borderId="1" xfId="1" applyNumberFormat="1" applyFont="1" applyFill="1" applyBorder="1" applyAlignment="1">
      <alignment horizontal="left" vertical="top" wrapText="1"/>
    </xf>
    <xf numFmtId="10" fontId="3" fillId="0" borderId="1" xfId="1" applyNumberFormat="1" applyFont="1" applyFill="1" applyBorder="1" applyAlignment="1">
      <alignment horizontal="left" vertical="top" wrapText="1"/>
    </xf>
    <xf numFmtId="10" fontId="1" fillId="0" borderId="1" xfId="1" applyNumberFormat="1" applyFont="1" applyFill="1" applyBorder="1" applyAlignment="1">
      <alignment horizontal="left" vertical="top" wrapText="1"/>
    </xf>
    <xf numFmtId="10" fontId="0" fillId="0" borderId="1" xfId="1" applyNumberFormat="1" applyFont="1" applyFill="1" applyBorder="1" applyAlignment="1">
      <alignment horizontal="left" vertical="top" wrapText="1"/>
    </xf>
    <xf numFmtId="0" fontId="0" fillId="0" borderId="0" xfId="0" applyFont="1" applyAlignment="1">
      <alignment vertical="top"/>
    </xf>
    <xf numFmtId="9" fontId="1" fillId="0" borderId="2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0" fillId="0" borderId="1" xfId="1" applyFont="1" applyBorder="1" applyAlignment="1">
      <alignment horizontal="left" vertical="top" wrapText="1"/>
    </xf>
    <xf numFmtId="1" fontId="0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9" fontId="0" fillId="0" borderId="0" xfId="1" applyFont="1" applyAlignment="1">
      <alignment wrapText="1"/>
    </xf>
    <xf numFmtId="1" fontId="1" fillId="0" borderId="1" xfId="0" applyNumberFormat="1" applyFont="1" applyBorder="1" applyAlignment="1">
      <alignment horizontal="left" vertical="top" wrapText="1"/>
    </xf>
    <xf numFmtId="0" fontId="1" fillId="0" borderId="1" xfId="0" quotePrefix="1" applyFont="1" applyFill="1" applyBorder="1" applyAlignment="1">
      <alignment horizontal="left" vertical="top" wrapText="1"/>
    </xf>
    <xf numFmtId="10" fontId="1" fillId="0" borderId="1" xfId="1" quotePrefix="1" applyNumberFormat="1" applyFont="1" applyBorder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0" xfId="0" applyFont="1" applyAlignment="1" applyProtection="1"/>
    <xf numFmtId="176" fontId="1" fillId="0" borderId="1" xfId="0" applyNumberFormat="1" applyFont="1" applyBorder="1" applyAlignment="1" applyProtection="1">
      <alignment horizontal="center" vertical="center" wrapText="1"/>
    </xf>
    <xf numFmtId="177" fontId="1" fillId="0" borderId="1" xfId="0" applyNumberFormat="1" applyFont="1" applyBorder="1" applyAlignment="1" applyProtection="1">
      <alignment horizontal="center" vertical="center" wrapText="1"/>
    </xf>
    <xf numFmtId="178" fontId="1" fillId="0" borderId="11" xfId="0" applyNumberFormat="1" applyFont="1" applyBorder="1" applyAlignment="1" applyProtection="1">
      <alignment horizontal="center" vertical="center" wrapText="1"/>
    </xf>
    <xf numFmtId="177" fontId="1" fillId="0" borderId="6" xfId="0" applyNumberFormat="1" applyFont="1" applyBorder="1" applyAlignment="1" applyProtection="1">
      <alignment horizontal="center" vertical="center" wrapText="1"/>
    </xf>
    <xf numFmtId="178" fontId="1" fillId="0" borderId="8" xfId="0" applyNumberFormat="1" applyFont="1" applyBorder="1" applyAlignment="1" applyProtection="1">
      <alignment horizontal="center" vertical="center" wrapText="1"/>
    </xf>
    <xf numFmtId="178" fontId="1" fillId="0" borderId="3" xfId="0" applyNumberFormat="1" applyFont="1" applyBorder="1" applyAlignment="1" applyProtection="1">
      <alignment horizontal="center" vertical="center" wrapText="1"/>
    </xf>
    <xf numFmtId="176" fontId="1" fillId="0" borderId="2" xfId="0" applyNumberFormat="1" applyFont="1" applyBorder="1" applyAlignment="1" applyProtection="1">
      <alignment horizontal="center" vertical="center" wrapText="1"/>
    </xf>
    <xf numFmtId="174" fontId="1" fillId="0" borderId="15" xfId="0" applyNumberFormat="1" applyFont="1" applyBorder="1" applyAlignment="1" applyProtection="1">
      <alignment horizontal="center" vertical="center" wrapText="1"/>
    </xf>
    <xf numFmtId="175" fontId="1" fillId="0" borderId="4" xfId="0" applyNumberFormat="1" applyFont="1" applyBorder="1" applyAlignment="1" applyProtection="1">
      <alignment horizontal="center" vertical="center" wrapText="1"/>
    </xf>
    <xf numFmtId="173" fontId="0" fillId="0" borderId="6" xfId="0" applyNumberFormat="1" applyFont="1" applyBorder="1" applyAlignment="1" applyProtection="1">
      <alignment horizontal="center" vertical="center"/>
    </xf>
    <xf numFmtId="173" fontId="0" fillId="0" borderId="1" xfId="0" applyNumberFormat="1" applyFont="1" applyBorder="1" applyAlignment="1" applyProtection="1">
      <alignment horizontal="center" vertical="center"/>
    </xf>
    <xf numFmtId="164" fontId="0" fillId="0" borderId="6" xfId="1" applyNumberFormat="1" applyFont="1" applyBorder="1" applyAlignment="1" applyProtection="1">
      <alignment horizontal="center" vertical="center"/>
    </xf>
    <xf numFmtId="172" fontId="0" fillId="0" borderId="11" xfId="0" applyNumberFormat="1" applyFont="1" applyBorder="1" applyAlignment="1" applyProtection="1">
      <alignment horizontal="center" vertical="center"/>
    </xf>
    <xf numFmtId="165" fontId="0" fillId="0" borderId="4" xfId="0" applyNumberFormat="1" applyFont="1" applyBorder="1" applyAlignment="1" applyProtection="1">
      <alignment horizontal="center" vertical="center"/>
    </xf>
    <xf numFmtId="169" fontId="0" fillId="0" borderId="11" xfId="0" applyNumberFormat="1" applyFont="1" applyBorder="1" applyAlignment="1" applyProtection="1">
      <alignment horizontal="center" vertical="center"/>
    </xf>
    <xf numFmtId="167" fontId="0" fillId="0" borderId="6" xfId="0" applyNumberFormat="1" applyFont="1" applyBorder="1" applyAlignment="1" applyProtection="1">
      <alignment horizontal="center" vertical="center"/>
    </xf>
    <xf numFmtId="166" fontId="0" fillId="0" borderId="4" xfId="0" applyNumberFormat="1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177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76" fontId="1" fillId="4" borderId="6" xfId="0" applyNumberFormat="1" applyFont="1" applyFill="1" applyBorder="1" applyAlignment="1" applyProtection="1">
      <alignment horizontal="center" vertical="center" wrapText="1"/>
      <protection locked="0"/>
    </xf>
    <xf numFmtId="174" fontId="1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7" xfId="0" applyFont="1" applyFill="1" applyBorder="1" applyAlignment="1" applyProtection="1">
      <alignment horizontal="center" vertical="center"/>
      <protection locked="0"/>
    </xf>
    <xf numFmtId="173" fontId="0" fillId="4" borderId="8" xfId="0" applyNumberFormat="1" applyFont="1" applyFill="1" applyBorder="1" applyAlignment="1" applyProtection="1">
      <alignment horizontal="center" vertical="center"/>
      <protection locked="0"/>
    </xf>
    <xf numFmtId="164" fontId="0" fillId="4" borderId="1" xfId="0" applyNumberFormat="1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0" xfId="0" applyFont="1" applyFill="1" applyBorder="1" applyAlignment="1" applyProtection="1">
      <alignment horizontal="center" vertical="center"/>
      <protection locked="0"/>
    </xf>
    <xf numFmtId="170" fontId="0" fillId="4" borderId="8" xfId="0" applyNumberFormat="1" applyFont="1" applyFill="1" applyBorder="1" applyAlignment="1" applyProtection="1">
      <alignment horizontal="center" vertical="center"/>
      <protection locked="0"/>
    </xf>
    <xf numFmtId="171" fontId="0" fillId="4" borderId="10" xfId="0" applyNumberFormat="1" applyFont="1" applyFill="1" applyBorder="1" applyAlignment="1" applyProtection="1">
      <alignment horizontal="center" vertical="center"/>
      <protection locked="0"/>
    </xf>
    <xf numFmtId="166" fontId="0" fillId="4" borderId="4" xfId="0" applyNumberFormat="1" applyFont="1" applyFill="1" applyBorder="1" applyAlignment="1" applyProtection="1">
      <alignment horizontal="center" vertical="center"/>
      <protection locked="0"/>
    </xf>
    <xf numFmtId="9" fontId="3" fillId="0" borderId="1" xfId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" fontId="1" fillId="0" borderId="1" xfId="1" applyNumberFormat="1" applyFont="1" applyBorder="1" applyAlignment="1">
      <alignment horizontal="left" vertical="top" wrapText="1"/>
    </xf>
    <xf numFmtId="49" fontId="0" fillId="0" borderId="1" xfId="0" applyNumberFormat="1" applyFont="1" applyBorder="1" applyAlignment="1">
      <alignment horizontal="left" vertical="top" wrapText="1"/>
    </xf>
    <xf numFmtId="9" fontId="3" fillId="0" borderId="1" xfId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6" fillId="0" borderId="4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8" xfId="0" applyFont="1" applyBorder="1" applyAlignment="1">
      <alignment horizontal="center" vertical="center"/>
    </xf>
    <xf numFmtId="168" fontId="0" fillId="0" borderId="6" xfId="0" applyNumberFormat="1" applyFont="1" applyBorder="1" applyAlignment="1" applyProtection="1">
      <alignment horizontal="center" vertical="center"/>
    </xf>
    <xf numFmtId="179" fontId="0" fillId="0" borderId="8" xfId="0" applyNumberFormat="1" applyFont="1" applyBorder="1" applyAlignment="1">
      <alignment horizontal="center" vertical="center"/>
    </xf>
    <xf numFmtId="167" fontId="0" fillId="4" borderId="6" xfId="0" applyNumberFormat="1" applyFont="1" applyFill="1" applyBorder="1" applyAlignment="1" applyProtection="1">
      <alignment horizontal="center" vertical="center"/>
      <protection locked="0"/>
    </xf>
    <xf numFmtId="168" fontId="0" fillId="4" borderId="6" xfId="0" applyNumberFormat="1" applyFont="1" applyFill="1" applyBorder="1" applyAlignment="1" applyProtection="1">
      <alignment horizontal="center" vertical="center"/>
      <protection locked="0"/>
    </xf>
    <xf numFmtId="181" fontId="0" fillId="0" borderId="6" xfId="0" applyNumberFormat="1" applyFont="1" applyBorder="1" applyAlignment="1" applyProtection="1">
      <alignment horizontal="center" vertical="center"/>
    </xf>
    <xf numFmtId="180" fontId="0" fillId="4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quotePrefix="1" applyFont="1" applyFill="1" applyBorder="1" applyAlignment="1">
      <alignment horizontal="left" vertical="top" wrapText="1"/>
    </xf>
    <xf numFmtId="10" fontId="0" fillId="2" borderId="1" xfId="1" applyNumberFormat="1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9" fontId="1" fillId="2" borderId="1" xfId="1" applyFont="1" applyFill="1" applyBorder="1" applyAlignment="1">
      <alignment horizontal="left" vertical="top" wrapText="1"/>
    </xf>
    <xf numFmtId="1" fontId="0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9" fontId="0" fillId="2" borderId="1" xfId="1" applyFont="1" applyFill="1" applyBorder="1" applyAlignment="1">
      <alignment horizontal="left" vertical="top" wrapText="1"/>
    </xf>
    <xf numFmtId="0" fontId="0" fillId="2" borderId="0" xfId="0" applyFont="1" applyFill="1" applyAlignment="1"/>
    <xf numFmtId="0" fontId="0" fillId="0" borderId="0" xfId="0" applyFont="1" applyFill="1" applyAlignme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horizontal="center"/>
    </xf>
    <xf numFmtId="0" fontId="7" fillId="0" borderId="14" xfId="0" applyFont="1" applyBorder="1" applyAlignment="1" applyProtection="1">
      <alignment horizontal="center"/>
    </xf>
    <xf numFmtId="0" fontId="7" fillId="0" borderId="13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center"/>
    </xf>
    <xf numFmtId="0" fontId="7" fillId="0" borderId="7" xfId="0" applyFont="1" applyBorder="1" applyAlignment="1" applyProtection="1">
      <alignment horizontal="center"/>
    </xf>
    <xf numFmtId="0" fontId="7" fillId="0" borderId="9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31">
    <dxf>
      <font>
        <strike val="0"/>
        <outline val="0"/>
        <shadow val="0"/>
        <u val="none"/>
        <vertAlign val="baseline"/>
        <sz val="11"/>
        <color theme="0" tint="-0.14999847407452621"/>
        <name val="Calibri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1499984740745262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0" tint="-0.1499984740745262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0" tint="-0.14999847407452621"/>
        <name val="Calibri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72" formatCode="0.0\ &quot;L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73" formatCode="0\ &quot;L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/>
      </border>
      <protection locked="1" hidden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4" formatCode="0.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top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0000000}" name="Info" displayName="Info" ref="A1:P86" totalsRowShown="0" headerRowDxfId="30" dataDxfId="28" headerRowBorderDxfId="29" tableBorderDxfId="27">
  <autoFilter ref="A1:P86" xr:uid="{00000000-0009-0000-0100-000013000000}"/>
  <sortState ref="A2:P83">
    <sortCondition ref="A1:A83"/>
  </sortState>
  <tableColumns count="16">
    <tableColumn id="1" xr3:uid="{00000000-0010-0000-0000-000001000000}" name="OEM" dataDxfId="26"/>
    <tableColumn id="2" xr3:uid="{00000000-0010-0000-0000-000002000000}" name="Magnet Models" dataDxfId="25"/>
    <tableColumn id="14" xr3:uid="{00000000-0010-0000-0000-00000E000000}" name="Field Strength" dataDxfId="24"/>
    <tableColumn id="11" xr3:uid="{00000000-0010-0000-0000-00000B000000}" name="Serial Number Identifier" dataDxfId="23"/>
    <tableColumn id="12" xr3:uid="{00000000-0010-0000-0000-00000C000000}" name="System Model" dataDxfId="22"/>
    <tableColumn id="3" xr3:uid="{00000000-0010-0000-0000-000003000000}" name="Allowable Boiloff /wk" dataDxfId="21" dataCellStyle="Percent"/>
    <tableColumn id="4" xr3:uid="{00000000-0010-0000-0000-000004000000}" name="Helium Capacity" dataDxfId="20"/>
    <tableColumn id="5" xr3:uid="{00000000-0010-0000-0000-000005000000}" name="Verified capacity" dataDxfId="19" dataCellStyle="Percent"/>
    <tableColumn id="8" xr3:uid="{00000000-0010-0000-0000-000008000000}" name="OEM Burnoff /yr" dataDxfId="18">
      <calculatedColumnFormula>#REF!*24*365</calculatedColumnFormula>
    </tableColumn>
    <tableColumn id="16" xr3:uid="{00000000-0010-0000-0000-000010000000}" name="AP Burnoff /yr" dataDxfId="17"/>
    <tableColumn id="6" xr3:uid="{00000000-0010-0000-0000-000006000000}" name="Pressure range" dataDxfId="16"/>
    <tableColumn id="7" xr3:uid="{00000000-0010-0000-0000-000007000000}" name="Min Fill Level" dataDxfId="15" dataCellStyle="Percent"/>
    <tableColumn id="9" xr3:uid="{00000000-0010-0000-0000-000009000000}" name="Min Ramp Level" dataDxfId="14" dataCellStyle="Percent"/>
    <tableColumn id="10" xr3:uid="{00000000-0010-0000-0000-00000A000000}" name="Min Shim Level" dataDxfId="13" dataCellStyle="Percent"/>
    <tableColumn id="15" xr3:uid="{00000000-0010-0000-0000-00000F000000}" name="Gain per 250L" dataDxfId="12" dataCellStyle="Percent"/>
    <tableColumn id="13" xr3:uid="{00000000-0010-0000-0000-00000D000000}" name="Notes" dataDxfId="1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17:E19" totalsRowShown="0" headerRowDxfId="10" dataDxfId="8" headerRowBorderDxfId="9">
  <autoFilter ref="B17:E19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Magnet Model" dataDxfId="7"/>
    <tableColumn id="2" xr3:uid="{00000000-0010-0000-0100-000002000000}" name="Magnet Capacity" dataDxfId="6">
      <calculatedColumnFormula>IF(Table3[[#This Row],[Magnet Model]]=0,"0",INDEX(Info[Helium Capacity],MATCH(Table3[[#This Row],[Magnet Model]],Info[Magnet Models],0)))</calculatedColumnFormula>
    </tableColumn>
    <tableColumn id="3" xr3:uid="{00000000-0010-0000-0100-000003000000}" name="%" dataDxfId="5"/>
    <tableColumn id="4" xr3:uid="{00000000-0010-0000-0100-000004000000}" name="Liters" dataDxfId="4">
      <calculatedColumnFormula>Table3[[#This Row],[%]]/100*Table3[[#This Row],[Magnet Capacity]]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Nuclei" displayName="Nuclei" ref="G19:H26" totalsRowShown="0" headerRowDxfId="3" dataDxfId="2">
  <autoFilter ref="G19:H26" xr:uid="{00000000-0009-0000-0100-000005000000}"/>
  <tableColumns count="2">
    <tableColumn id="1" xr3:uid="{00000000-0010-0000-0200-000001000000}" name="Nuclei" dataDxfId="1"/>
    <tableColumn id="2" xr3:uid="{00000000-0010-0000-0200-000002000000}" name="Factor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"/>
  <sheetViews>
    <sheetView tabSelected="1" zoomScaleNormal="100" workbookViewId="0">
      <pane ySplit="1" topLeftCell="A2" activePane="bottomLeft" state="frozen"/>
      <selection pane="bottomLeft" activeCell="AJ72" sqref="AJ72"/>
    </sheetView>
  </sheetViews>
  <sheetFormatPr defaultRowHeight="15" x14ac:dyDescent="0.25"/>
  <cols>
    <col min="1" max="1" width="10.7109375" customWidth="1"/>
    <col min="2" max="2" width="14.28515625" customWidth="1"/>
    <col min="3" max="3" width="12.85546875" style="1" customWidth="1"/>
    <col min="4" max="4" width="12.28515625" style="1" customWidth="1"/>
    <col min="5" max="5" width="15.42578125" style="1" customWidth="1"/>
    <col min="6" max="6" width="10" customWidth="1"/>
    <col min="7" max="7" width="14.85546875" customWidth="1"/>
    <col min="8" max="8" width="9.140625" style="1" customWidth="1"/>
    <col min="9" max="9" width="8.140625" customWidth="1"/>
    <col min="10" max="10" width="8.140625" style="1" customWidth="1"/>
    <col min="11" max="11" width="16.140625" style="1" customWidth="1"/>
    <col min="12" max="14" width="7.5703125" customWidth="1"/>
    <col min="15" max="15" width="9.140625" customWidth="1"/>
    <col min="16" max="16" width="82.5703125" customWidth="1"/>
    <col min="17" max="17" width="98.5703125" style="26" customWidth="1"/>
    <col min="18" max="18" width="109.42578125" style="18" customWidth="1"/>
  </cols>
  <sheetData>
    <row r="1" spans="1:18" s="4" customFormat="1" ht="45.75" thickBot="1" x14ac:dyDescent="0.3">
      <c r="A1" s="6" t="s">
        <v>1</v>
      </c>
      <c r="B1" s="5" t="s">
        <v>4</v>
      </c>
      <c r="C1" s="6" t="s">
        <v>108</v>
      </c>
      <c r="D1" s="6" t="s">
        <v>23</v>
      </c>
      <c r="E1" s="6" t="s">
        <v>38</v>
      </c>
      <c r="F1" s="6" t="s">
        <v>19</v>
      </c>
      <c r="G1" s="6" t="s">
        <v>57</v>
      </c>
      <c r="H1" s="19" t="s">
        <v>227</v>
      </c>
      <c r="I1" s="6" t="s">
        <v>89</v>
      </c>
      <c r="J1" s="6" t="s">
        <v>185</v>
      </c>
      <c r="K1" s="6" t="s">
        <v>69</v>
      </c>
      <c r="L1" s="6" t="s">
        <v>22</v>
      </c>
      <c r="M1" s="6" t="s">
        <v>20</v>
      </c>
      <c r="N1" s="6" t="s">
        <v>21</v>
      </c>
      <c r="O1" s="19" t="s">
        <v>86</v>
      </c>
      <c r="P1" s="6" t="s">
        <v>68</v>
      </c>
    </row>
    <row r="2" spans="1:18" x14ac:dyDescent="0.25">
      <c r="A2" s="2" t="s">
        <v>101</v>
      </c>
      <c r="B2" s="13" t="s">
        <v>102</v>
      </c>
      <c r="C2" s="24" t="s">
        <v>109</v>
      </c>
      <c r="D2" s="2"/>
      <c r="E2" s="3" t="s">
        <v>102</v>
      </c>
      <c r="F2" s="8"/>
      <c r="G2" s="2">
        <v>2200</v>
      </c>
      <c r="H2" s="21"/>
      <c r="I2" s="22"/>
      <c r="J2" s="22"/>
      <c r="K2" s="23"/>
      <c r="L2" s="21"/>
      <c r="M2" s="21"/>
      <c r="N2" s="21"/>
      <c r="O2" s="21">
        <f>ROUNDDOWN(250/Info[[#This Row],[Helium Capacity]],2)</f>
        <v>0.11</v>
      </c>
      <c r="P2" s="71"/>
      <c r="Q2"/>
      <c r="R2"/>
    </row>
    <row r="3" spans="1:18" s="1" customFormat="1" x14ac:dyDescent="0.25">
      <c r="A3" s="2" t="s">
        <v>101</v>
      </c>
      <c r="B3" s="13" t="s">
        <v>115</v>
      </c>
      <c r="C3" s="25" t="s">
        <v>109</v>
      </c>
      <c r="D3" s="2"/>
      <c r="E3" s="3" t="s">
        <v>115</v>
      </c>
      <c r="F3" s="8"/>
      <c r="G3" s="2"/>
      <c r="H3" s="21"/>
      <c r="I3" s="22"/>
      <c r="J3" s="22"/>
      <c r="K3" s="23"/>
      <c r="L3" s="21"/>
      <c r="M3" s="21"/>
      <c r="N3" s="21"/>
      <c r="O3" s="21"/>
      <c r="P3" s="71"/>
    </row>
    <row r="4" spans="1:18" s="1" customFormat="1" x14ac:dyDescent="0.25">
      <c r="A4" s="2" t="s">
        <v>103</v>
      </c>
      <c r="B4" s="13">
        <v>920</v>
      </c>
      <c r="C4" s="24" t="s">
        <v>110</v>
      </c>
      <c r="D4" s="2"/>
      <c r="E4" s="3" t="s">
        <v>107</v>
      </c>
      <c r="F4" s="8"/>
      <c r="G4" s="2">
        <v>780</v>
      </c>
      <c r="H4" s="21"/>
      <c r="I4" s="22"/>
      <c r="J4" s="22"/>
      <c r="K4" s="23"/>
      <c r="L4" s="21"/>
      <c r="M4" s="21"/>
      <c r="N4" s="21"/>
      <c r="O4" s="21">
        <f>ROUNDDOWN(250/Info[[#This Row],[Helium Capacity]],2)</f>
        <v>0.32</v>
      </c>
      <c r="P4" s="71"/>
    </row>
    <row r="5" spans="1:18" s="1" customFormat="1" x14ac:dyDescent="0.25">
      <c r="A5" s="2" t="s">
        <v>103</v>
      </c>
      <c r="B5" s="13" t="s">
        <v>104</v>
      </c>
      <c r="C5" s="24" t="s">
        <v>111</v>
      </c>
      <c r="D5" s="2"/>
      <c r="E5" s="3" t="s">
        <v>104</v>
      </c>
      <c r="F5" s="8"/>
      <c r="G5" s="2">
        <v>780</v>
      </c>
      <c r="H5" s="21"/>
      <c r="I5" s="22"/>
      <c r="J5" s="22"/>
      <c r="K5" s="23"/>
      <c r="L5" s="21"/>
      <c r="M5" s="21"/>
      <c r="N5" s="21"/>
      <c r="O5" s="21">
        <f>ROUNDDOWN(250/Info[[#This Row],[Helium Capacity]],2)</f>
        <v>0.32</v>
      </c>
      <c r="P5" s="71"/>
    </row>
    <row r="6" spans="1:18" s="1" customFormat="1" x14ac:dyDescent="0.25">
      <c r="A6" s="2" t="s">
        <v>103</v>
      </c>
      <c r="B6" s="13" t="s">
        <v>105</v>
      </c>
      <c r="C6" s="24" t="s">
        <v>110</v>
      </c>
      <c r="D6" s="2"/>
      <c r="E6" s="3" t="s">
        <v>105</v>
      </c>
      <c r="F6" s="8"/>
      <c r="G6" s="2">
        <v>1000</v>
      </c>
      <c r="H6" s="21"/>
      <c r="I6" s="22"/>
      <c r="J6" s="22"/>
      <c r="K6" s="23"/>
      <c r="L6" s="21"/>
      <c r="M6" s="21"/>
      <c r="N6" s="21"/>
      <c r="O6" s="21">
        <f>ROUNDDOWN(250/Info[[#This Row],[Helium Capacity]],2)</f>
        <v>0.25</v>
      </c>
      <c r="P6" s="71"/>
    </row>
    <row r="7" spans="1:18" s="1" customFormat="1" x14ac:dyDescent="0.25">
      <c r="A7" s="2" t="s">
        <v>103</v>
      </c>
      <c r="B7" s="13" t="s">
        <v>106</v>
      </c>
      <c r="C7" s="24" t="s">
        <v>111</v>
      </c>
      <c r="D7" s="2"/>
      <c r="E7" s="3" t="s">
        <v>106</v>
      </c>
      <c r="F7" s="8"/>
      <c r="G7" s="2">
        <v>330</v>
      </c>
      <c r="H7" s="21"/>
      <c r="I7" s="22"/>
      <c r="J7" s="22"/>
      <c r="K7" s="23"/>
      <c r="L7" s="21"/>
      <c r="M7" s="21"/>
      <c r="N7" s="21"/>
      <c r="O7" s="21">
        <f>ROUNDDOWN(250/Info[[#This Row],[Helium Capacity]],2)</f>
        <v>0.75</v>
      </c>
      <c r="P7" s="71"/>
    </row>
    <row r="8" spans="1:18" s="1" customFormat="1" x14ac:dyDescent="0.25">
      <c r="A8" s="2" t="s">
        <v>3</v>
      </c>
      <c r="B8" s="13" t="s">
        <v>136</v>
      </c>
      <c r="C8" s="25" t="s">
        <v>113</v>
      </c>
      <c r="D8" s="25"/>
      <c r="E8" s="3" t="s">
        <v>137</v>
      </c>
      <c r="F8" s="8"/>
      <c r="G8" s="2">
        <v>3066</v>
      </c>
      <c r="H8" s="21"/>
      <c r="I8" s="22"/>
      <c r="J8" s="22"/>
      <c r="K8" s="23" t="s">
        <v>70</v>
      </c>
      <c r="L8" s="21"/>
      <c r="M8" s="21"/>
      <c r="N8" s="21"/>
      <c r="O8" s="21">
        <f>ROUNDDOWN(250/Info[[#This Row],[Helium Capacity]],2)</f>
        <v>0.08</v>
      </c>
      <c r="P8" s="71"/>
    </row>
    <row r="9" spans="1:18" s="1" customFormat="1" x14ac:dyDescent="0.25">
      <c r="A9" s="3" t="s">
        <v>3</v>
      </c>
      <c r="B9" s="12" t="s">
        <v>78</v>
      </c>
      <c r="C9" s="25" t="s">
        <v>109</v>
      </c>
      <c r="D9" s="3"/>
      <c r="E9" s="3" t="s">
        <v>73</v>
      </c>
      <c r="F9" s="14">
        <v>5.0000000000000001E-3</v>
      </c>
      <c r="G9" s="2">
        <v>1769</v>
      </c>
      <c r="H9" s="21"/>
      <c r="I9" s="27">
        <v>0</v>
      </c>
      <c r="J9" s="27">
        <v>0</v>
      </c>
      <c r="K9" s="23" t="s">
        <v>92</v>
      </c>
      <c r="L9" s="21"/>
      <c r="M9" s="21"/>
      <c r="N9" s="21"/>
      <c r="O9" s="21">
        <f>ROUNDDOWN(250/Info[[#This Row],[Helium Capacity]],2)</f>
        <v>0.14000000000000001</v>
      </c>
      <c r="P9" s="72" t="s">
        <v>74</v>
      </c>
    </row>
    <row r="10" spans="1:18" s="1" customFormat="1" x14ac:dyDescent="0.25">
      <c r="A10" s="2" t="s">
        <v>3</v>
      </c>
      <c r="B10" s="13" t="s">
        <v>126</v>
      </c>
      <c r="C10" s="25" t="s">
        <v>126</v>
      </c>
      <c r="D10" s="25"/>
      <c r="E10" s="3"/>
      <c r="F10" s="14">
        <v>5.0000000000000001E-3</v>
      </c>
      <c r="G10" s="2">
        <v>1323</v>
      </c>
      <c r="H10" s="21"/>
      <c r="I10" s="22">
        <v>0</v>
      </c>
      <c r="J10" s="22">
        <v>0</v>
      </c>
      <c r="K10" s="23" t="s">
        <v>92</v>
      </c>
      <c r="L10" s="21"/>
      <c r="M10" s="21"/>
      <c r="N10" s="21"/>
      <c r="O10" s="21">
        <f>ROUNDDOWN(250/Info[[#This Row],[Helium Capacity]],2)</f>
        <v>0.18</v>
      </c>
      <c r="P10" s="72" t="s">
        <v>74</v>
      </c>
    </row>
    <row r="11" spans="1:18" s="1" customFormat="1" x14ac:dyDescent="0.25">
      <c r="A11" s="3" t="s">
        <v>3</v>
      </c>
      <c r="B11" s="12" t="s">
        <v>76</v>
      </c>
      <c r="C11" s="25" t="s">
        <v>113</v>
      </c>
      <c r="D11" s="3"/>
      <c r="E11" s="3" t="s">
        <v>73</v>
      </c>
      <c r="F11" s="14">
        <v>5.0000000000000001E-3</v>
      </c>
      <c r="G11" s="2">
        <v>1818</v>
      </c>
      <c r="H11" s="21"/>
      <c r="I11" s="27">
        <v>0</v>
      </c>
      <c r="J11" s="27">
        <v>0</v>
      </c>
      <c r="K11" s="23" t="s">
        <v>92</v>
      </c>
      <c r="L11" s="21"/>
      <c r="M11" s="21"/>
      <c r="N11" s="21"/>
      <c r="O11" s="21">
        <f>ROUNDDOWN(250/Info[[#This Row],[Helium Capacity]],2)</f>
        <v>0.13</v>
      </c>
      <c r="P11" s="72" t="s">
        <v>74</v>
      </c>
    </row>
    <row r="12" spans="1:18" s="1" customFormat="1" x14ac:dyDescent="0.25">
      <c r="A12" s="2" t="s">
        <v>3</v>
      </c>
      <c r="B12" s="13" t="s">
        <v>127</v>
      </c>
      <c r="C12" s="25" t="s">
        <v>127</v>
      </c>
      <c r="D12" s="25"/>
      <c r="E12" s="3"/>
      <c r="F12" s="14">
        <v>5.0000000000000001E-3</v>
      </c>
      <c r="G12" s="2">
        <v>2253</v>
      </c>
      <c r="H12" s="21"/>
      <c r="I12" s="22">
        <v>0</v>
      </c>
      <c r="J12" s="22">
        <v>0</v>
      </c>
      <c r="K12" s="23" t="s">
        <v>92</v>
      </c>
      <c r="L12" s="21"/>
      <c r="M12" s="21"/>
      <c r="N12" s="21"/>
      <c r="O12" s="21">
        <f>ROUNDDOWN(250/Info[[#This Row],[Helium Capacity]],2)</f>
        <v>0.11</v>
      </c>
      <c r="P12" s="72" t="s">
        <v>74</v>
      </c>
    </row>
    <row r="13" spans="1:18" s="1" customFormat="1" x14ac:dyDescent="0.25">
      <c r="A13" s="7" t="s">
        <v>3</v>
      </c>
      <c r="B13" s="12" t="s">
        <v>117</v>
      </c>
      <c r="C13" s="25" t="s">
        <v>109</v>
      </c>
      <c r="D13" s="3" t="s">
        <v>119</v>
      </c>
      <c r="E13" s="3" t="s">
        <v>33</v>
      </c>
      <c r="F13" s="8">
        <f>(Info[[#This Row],[OEM Burnoff /yr]]/52)/Info[[#This Row],[Helium Capacity]]</f>
        <v>1.5632434575733545E-2</v>
      </c>
      <c r="G13" s="2">
        <v>1940</v>
      </c>
      <c r="H13" s="20" t="s">
        <v>228</v>
      </c>
      <c r="I13" s="22">
        <v>1577</v>
      </c>
      <c r="J13" s="22"/>
      <c r="K13" s="23" t="s">
        <v>70</v>
      </c>
      <c r="L13" s="21">
        <v>0.42</v>
      </c>
      <c r="M13" s="21">
        <v>0.9</v>
      </c>
      <c r="N13" s="21">
        <v>0.75</v>
      </c>
      <c r="O13" s="21">
        <f>ROUNDDOWN(250/Info[[#This Row],[Helium Capacity]],2)</f>
        <v>0.12</v>
      </c>
      <c r="P13" s="21"/>
    </row>
    <row r="14" spans="1:18" s="1" customFormat="1" x14ac:dyDescent="0.25">
      <c r="A14" s="2" t="s">
        <v>3</v>
      </c>
      <c r="B14" s="13" t="s">
        <v>116</v>
      </c>
      <c r="C14" s="25" t="s">
        <v>112</v>
      </c>
      <c r="D14" s="25" t="s">
        <v>118</v>
      </c>
      <c r="E14" s="3" t="s">
        <v>33</v>
      </c>
      <c r="F14" s="8">
        <f>(Info[[#This Row],[OEM Burnoff /yr]]/52)/Info[[#This Row],[Helium Capacity]]</f>
        <v>1.5394377196407653E-2</v>
      </c>
      <c r="G14" s="2">
        <v>1970</v>
      </c>
      <c r="H14" s="20" t="s">
        <v>228</v>
      </c>
      <c r="I14" s="22">
        <v>1577</v>
      </c>
      <c r="J14" s="22"/>
      <c r="K14" s="23" t="s">
        <v>70</v>
      </c>
      <c r="L14" s="21">
        <v>0.42</v>
      </c>
      <c r="M14" s="21">
        <v>0.9</v>
      </c>
      <c r="N14" s="21">
        <v>0.75</v>
      </c>
      <c r="O14" s="21">
        <f>ROUNDDOWN(250/Info[[#This Row],[Helium Capacity]],2)</f>
        <v>0.12</v>
      </c>
      <c r="P14" s="21"/>
    </row>
    <row r="15" spans="1:18" s="1" customFormat="1" ht="30" x14ac:dyDescent="0.25">
      <c r="A15" s="7" t="s">
        <v>3</v>
      </c>
      <c r="B15" s="11" t="s">
        <v>7</v>
      </c>
      <c r="C15" s="25" t="s">
        <v>114</v>
      </c>
      <c r="D15" s="7"/>
      <c r="E15" s="3" t="s">
        <v>35</v>
      </c>
      <c r="F15" s="14">
        <v>5.0000000000000001E-3</v>
      </c>
      <c r="G15" s="3">
        <v>376</v>
      </c>
      <c r="H15" s="20" t="s">
        <v>228</v>
      </c>
      <c r="I15" s="22">
        <v>0</v>
      </c>
      <c r="J15" s="22">
        <v>0</v>
      </c>
      <c r="K15" s="23" t="s">
        <v>72</v>
      </c>
      <c r="L15" s="20" t="s">
        <v>27</v>
      </c>
      <c r="M15" s="20" t="s">
        <v>26</v>
      </c>
      <c r="N15" s="20" t="s">
        <v>16</v>
      </c>
      <c r="O15" s="20">
        <v>1.5</v>
      </c>
      <c r="P15" s="72" t="s">
        <v>80</v>
      </c>
    </row>
    <row r="16" spans="1:18" s="1" customFormat="1" ht="30" x14ac:dyDescent="0.25">
      <c r="A16" s="7" t="s">
        <v>3</v>
      </c>
      <c r="B16" s="12" t="s">
        <v>123</v>
      </c>
      <c r="C16" s="25" t="s">
        <v>109</v>
      </c>
      <c r="D16" s="3" t="s">
        <v>190</v>
      </c>
      <c r="E16" s="3" t="s">
        <v>36</v>
      </c>
      <c r="F16" s="14">
        <v>5.0000000000000001E-3</v>
      </c>
      <c r="G16" s="2">
        <v>1940</v>
      </c>
      <c r="H16" s="20" t="s">
        <v>228</v>
      </c>
      <c r="I16" s="22">
        <v>0</v>
      </c>
      <c r="J16" s="22">
        <v>0</v>
      </c>
      <c r="K16" s="23" t="s">
        <v>71</v>
      </c>
      <c r="L16" s="21">
        <v>0.5</v>
      </c>
      <c r="M16" s="21">
        <v>0.9</v>
      </c>
      <c r="N16" s="21">
        <v>0.75</v>
      </c>
      <c r="O16" s="21">
        <f>ROUNDDOWN(250/Info[[#This Row],[Helium Capacity]],2)</f>
        <v>0.12</v>
      </c>
      <c r="P16" s="72" t="s">
        <v>229</v>
      </c>
    </row>
    <row r="17" spans="1:16" s="1" customFormat="1" ht="45" x14ac:dyDescent="0.25">
      <c r="A17" s="2" t="s">
        <v>3</v>
      </c>
      <c r="B17" s="13" t="s">
        <v>124</v>
      </c>
      <c r="C17" s="25" t="s">
        <v>112</v>
      </c>
      <c r="D17" s="25" t="s">
        <v>191</v>
      </c>
      <c r="E17" s="3" t="s">
        <v>128</v>
      </c>
      <c r="F17" s="14">
        <v>5.0000000000000001E-3</v>
      </c>
      <c r="G17" s="2">
        <v>1970</v>
      </c>
      <c r="H17" s="20" t="s">
        <v>228</v>
      </c>
      <c r="I17" s="22">
        <v>0</v>
      </c>
      <c r="J17" s="22">
        <v>0</v>
      </c>
      <c r="K17" s="23" t="s">
        <v>71</v>
      </c>
      <c r="L17" s="21">
        <v>0.5</v>
      </c>
      <c r="M17" s="21">
        <v>0.9</v>
      </c>
      <c r="N17" s="21">
        <v>0.75</v>
      </c>
      <c r="O17" s="21">
        <f>ROUNDDOWN(250/Info[[#This Row],[Helium Capacity]],2)</f>
        <v>0.12</v>
      </c>
      <c r="P17" s="72" t="s">
        <v>187</v>
      </c>
    </row>
    <row r="18" spans="1:16" s="1" customFormat="1" x14ac:dyDescent="0.25">
      <c r="A18" s="3" t="s">
        <v>3</v>
      </c>
      <c r="B18" s="12" t="s">
        <v>188</v>
      </c>
      <c r="C18" s="25" t="s">
        <v>113</v>
      </c>
      <c r="D18" s="3"/>
      <c r="E18" s="3" t="s">
        <v>87</v>
      </c>
      <c r="F18" s="14">
        <v>5.0000000000000001E-3</v>
      </c>
      <c r="G18" s="2">
        <v>1735</v>
      </c>
      <c r="H18" s="20" t="s">
        <v>228</v>
      </c>
      <c r="I18" s="27">
        <v>0</v>
      </c>
      <c r="J18" s="27">
        <v>0</v>
      </c>
      <c r="K18" s="23" t="s">
        <v>71</v>
      </c>
      <c r="L18" s="21">
        <v>0.5</v>
      </c>
      <c r="M18" s="21">
        <v>0.9</v>
      </c>
      <c r="N18" s="21">
        <v>0.75</v>
      </c>
      <c r="O18" s="20">
        <f>ROUNDDOWN(250/Info[[#This Row],[Helium Capacity]],2)</f>
        <v>0.14000000000000001</v>
      </c>
      <c r="P18" s="72" t="s">
        <v>74</v>
      </c>
    </row>
    <row r="19" spans="1:16" s="1" customFormat="1" x14ac:dyDescent="0.25">
      <c r="A19" s="3" t="s">
        <v>3</v>
      </c>
      <c r="B19" s="12" t="s">
        <v>17</v>
      </c>
      <c r="C19" s="25" t="s">
        <v>111</v>
      </c>
      <c r="D19" s="3"/>
      <c r="E19" s="3" t="s">
        <v>33</v>
      </c>
      <c r="F19" s="8">
        <f>(Info[[#This Row],[OEM Burnoff /yr]]/52)/Info[[#This Row],[Helium Capacity]]</f>
        <v>2.4664939745466831E-2</v>
      </c>
      <c r="G19" s="2">
        <v>1366</v>
      </c>
      <c r="H19" s="20" t="s">
        <v>228</v>
      </c>
      <c r="I19" s="22">
        <v>1752</v>
      </c>
      <c r="J19" s="22"/>
      <c r="K19" s="23" t="s">
        <v>70</v>
      </c>
      <c r="L19" s="21">
        <v>0.5</v>
      </c>
      <c r="M19" s="21">
        <v>0.75</v>
      </c>
      <c r="N19" s="21">
        <v>0.5</v>
      </c>
      <c r="O19" s="21">
        <f>ROUNDDOWN(250/Info[[#This Row],[Helium Capacity]],2)</f>
        <v>0.18</v>
      </c>
      <c r="P19" s="21"/>
    </row>
    <row r="20" spans="1:16" s="1" customFormat="1" x14ac:dyDescent="0.25">
      <c r="A20" s="2" t="s">
        <v>3</v>
      </c>
      <c r="B20" s="13" t="s">
        <v>130</v>
      </c>
      <c r="C20" s="25" t="s">
        <v>109</v>
      </c>
      <c r="D20" s="25"/>
      <c r="E20" s="3" t="s">
        <v>131</v>
      </c>
      <c r="F20" s="14">
        <v>5.0000000000000001E-3</v>
      </c>
      <c r="G20" s="2">
        <v>50</v>
      </c>
      <c r="H20" s="21"/>
      <c r="I20" s="22">
        <v>0</v>
      </c>
      <c r="J20" s="22">
        <v>0</v>
      </c>
      <c r="K20" s="23"/>
      <c r="L20" s="21"/>
      <c r="M20" s="21"/>
      <c r="N20" s="21"/>
      <c r="O20" s="21">
        <f>ROUNDDOWN(250/Info[[#This Row],[Helium Capacity]],2)</f>
        <v>5</v>
      </c>
      <c r="P20" s="72" t="s">
        <v>74</v>
      </c>
    </row>
    <row r="21" spans="1:16" s="1" customFormat="1" x14ac:dyDescent="0.25">
      <c r="A21" s="2" t="s">
        <v>3</v>
      </c>
      <c r="B21" s="13" t="s">
        <v>129</v>
      </c>
      <c r="C21" s="25" t="s">
        <v>112</v>
      </c>
      <c r="D21" s="25"/>
      <c r="E21" s="3" t="s">
        <v>169</v>
      </c>
      <c r="F21" s="14">
        <v>5.0000000000000001E-3</v>
      </c>
      <c r="G21" s="2">
        <v>25</v>
      </c>
      <c r="H21" s="21"/>
      <c r="I21" s="22">
        <v>0</v>
      </c>
      <c r="J21" s="22">
        <v>0</v>
      </c>
      <c r="K21" s="23"/>
      <c r="L21" s="21"/>
      <c r="M21" s="21"/>
      <c r="N21" s="21"/>
      <c r="O21" s="21">
        <f>ROUNDDOWN(250/Info[[#This Row],[Helium Capacity]],2)</f>
        <v>10</v>
      </c>
      <c r="P21" s="72" t="s">
        <v>74</v>
      </c>
    </row>
    <row r="22" spans="1:16" s="1" customFormat="1" x14ac:dyDescent="0.25">
      <c r="A22" s="7" t="s">
        <v>3</v>
      </c>
      <c r="B22" s="11" t="s">
        <v>8</v>
      </c>
      <c r="C22" s="3" t="s">
        <v>121</v>
      </c>
      <c r="D22" s="3"/>
      <c r="E22" s="3" t="s">
        <v>8</v>
      </c>
      <c r="F22" s="29" t="s">
        <v>194</v>
      </c>
      <c r="G22" s="29" t="s">
        <v>194</v>
      </c>
      <c r="H22" s="29" t="s">
        <v>16</v>
      </c>
      <c r="I22" s="29" t="s">
        <v>194</v>
      </c>
      <c r="J22" s="29" t="s">
        <v>194</v>
      </c>
      <c r="K22" s="29" t="s">
        <v>194</v>
      </c>
      <c r="L22" s="29" t="s">
        <v>194</v>
      </c>
      <c r="M22" s="29" t="s">
        <v>194</v>
      </c>
      <c r="N22" s="29" t="s">
        <v>194</v>
      </c>
      <c r="O22" s="29" t="s">
        <v>194</v>
      </c>
      <c r="P22" s="73" t="s">
        <v>77</v>
      </c>
    </row>
    <row r="23" spans="1:16" s="1" customFormat="1" x14ac:dyDescent="0.25">
      <c r="A23" s="7" t="s">
        <v>3</v>
      </c>
      <c r="B23" s="11" t="s">
        <v>6</v>
      </c>
      <c r="C23" s="3" t="s">
        <v>122</v>
      </c>
      <c r="D23" s="3"/>
      <c r="E23" s="3" t="s">
        <v>6</v>
      </c>
      <c r="F23" s="29" t="s">
        <v>194</v>
      </c>
      <c r="G23" s="29" t="s">
        <v>194</v>
      </c>
      <c r="H23" s="29" t="s">
        <v>16</v>
      </c>
      <c r="I23" s="29" t="s">
        <v>194</v>
      </c>
      <c r="J23" s="29" t="s">
        <v>194</v>
      </c>
      <c r="K23" s="29" t="s">
        <v>194</v>
      </c>
      <c r="L23" s="29" t="s">
        <v>194</v>
      </c>
      <c r="M23" s="29" t="s">
        <v>194</v>
      </c>
      <c r="N23" s="29" t="s">
        <v>194</v>
      </c>
      <c r="O23" s="29" t="s">
        <v>194</v>
      </c>
      <c r="P23" s="73" t="s">
        <v>77</v>
      </c>
    </row>
    <row r="24" spans="1:16" s="1" customFormat="1" x14ac:dyDescent="0.25">
      <c r="A24" s="3" t="s">
        <v>3</v>
      </c>
      <c r="B24" s="12" t="s">
        <v>88</v>
      </c>
      <c r="C24" s="25" t="s">
        <v>109</v>
      </c>
      <c r="D24" s="3" t="s">
        <v>186</v>
      </c>
      <c r="E24" s="3" t="s">
        <v>34</v>
      </c>
      <c r="F24" s="9"/>
      <c r="G24" s="2">
        <v>1872</v>
      </c>
      <c r="H24" s="20"/>
      <c r="I24" s="74"/>
      <c r="J24" s="74"/>
      <c r="K24" s="23" t="s">
        <v>70</v>
      </c>
      <c r="L24" s="20"/>
      <c r="M24" s="20"/>
      <c r="N24" s="20"/>
      <c r="O24" s="20">
        <f>ROUNDDOWN(250/Info[[#This Row],[Helium Capacity]],2)</f>
        <v>0.13</v>
      </c>
      <c r="P24" s="71"/>
    </row>
    <row r="25" spans="1:16" s="1" customFormat="1" x14ac:dyDescent="0.25">
      <c r="A25" s="3" t="s">
        <v>3</v>
      </c>
      <c r="B25" s="12" t="s">
        <v>18</v>
      </c>
      <c r="C25" s="25" t="s">
        <v>109</v>
      </c>
      <c r="D25" s="3" t="s">
        <v>61</v>
      </c>
      <c r="E25" s="3" t="s">
        <v>34</v>
      </c>
      <c r="F25" s="8">
        <f>(Info[[#This Row],[OEM Burnoff /yr]]/52)/Info[[#This Row],[Helium Capacity]]</f>
        <v>2.7707489878542511E-2</v>
      </c>
      <c r="G25" s="2">
        <v>1216</v>
      </c>
      <c r="H25" s="20" t="s">
        <v>228</v>
      </c>
      <c r="I25" s="22">
        <v>1752</v>
      </c>
      <c r="J25" s="22"/>
      <c r="K25" s="23" t="s">
        <v>70</v>
      </c>
      <c r="L25" s="21">
        <v>0.5</v>
      </c>
      <c r="M25" s="21">
        <v>0.75</v>
      </c>
      <c r="N25" s="21">
        <v>0.5</v>
      </c>
      <c r="O25" s="21">
        <f>ROUNDDOWN(250/Info[[#This Row],[Helium Capacity]],2)</f>
        <v>0.2</v>
      </c>
      <c r="P25" s="72"/>
    </row>
    <row r="26" spans="1:16" s="1" customFormat="1" x14ac:dyDescent="0.25">
      <c r="A26" s="7" t="s">
        <v>3</v>
      </c>
      <c r="B26" s="11" t="s">
        <v>9</v>
      </c>
      <c r="C26" s="25" t="s">
        <v>109</v>
      </c>
      <c r="D26" s="3" t="s">
        <v>62</v>
      </c>
      <c r="E26" s="3" t="s">
        <v>33</v>
      </c>
      <c r="F26" s="8">
        <f>(Info[[#This Row],[OEM Burnoff /yr]]/52)/Info[[#This Row],[Helium Capacity]]</f>
        <v>2.836052836052836E-2</v>
      </c>
      <c r="G26" s="2">
        <v>1188</v>
      </c>
      <c r="H26" s="20" t="s">
        <v>228</v>
      </c>
      <c r="I26" s="22">
        <v>1752</v>
      </c>
      <c r="J26" s="22">
        <v>1900</v>
      </c>
      <c r="K26" s="23" t="s">
        <v>70</v>
      </c>
      <c r="L26" s="21">
        <v>0.5</v>
      </c>
      <c r="M26" s="21">
        <v>0.75</v>
      </c>
      <c r="N26" s="21">
        <v>0.5</v>
      </c>
      <c r="O26" s="21">
        <f>ROUNDDOWN(250/Info[[#This Row],[Helium Capacity]],2)</f>
        <v>0.21</v>
      </c>
      <c r="P26" s="72"/>
    </row>
    <row r="27" spans="1:16" s="1" customFormat="1" x14ac:dyDescent="0.25">
      <c r="A27" s="7" t="s">
        <v>3</v>
      </c>
      <c r="B27" s="11" t="s">
        <v>10</v>
      </c>
      <c r="C27" s="25" t="s">
        <v>109</v>
      </c>
      <c r="D27" s="3" t="s">
        <v>63</v>
      </c>
      <c r="E27" s="3" t="s">
        <v>33</v>
      </c>
      <c r="F27" s="8">
        <f>(Info[[#This Row],[OEM Burnoff /yr]]/52)/Info[[#This Row],[Helium Capacity]]</f>
        <v>1.7502497502497504E-2</v>
      </c>
      <c r="G27" s="2">
        <v>1925</v>
      </c>
      <c r="H27" s="20" t="s">
        <v>228</v>
      </c>
      <c r="I27" s="22">
        <v>1752</v>
      </c>
      <c r="J27" s="22">
        <v>3000</v>
      </c>
      <c r="K27" s="23" t="s">
        <v>70</v>
      </c>
      <c r="L27" s="21">
        <v>0.65</v>
      </c>
      <c r="M27" s="21">
        <v>0.9</v>
      </c>
      <c r="N27" s="21">
        <v>0.7</v>
      </c>
      <c r="O27" s="21">
        <f>ROUNDDOWN(250/Info[[#This Row],[Helium Capacity]],2)</f>
        <v>0.12</v>
      </c>
      <c r="P27" s="73"/>
    </row>
    <row r="28" spans="1:16" s="1" customFormat="1" x14ac:dyDescent="0.25">
      <c r="A28" s="7" t="s">
        <v>3</v>
      </c>
      <c r="B28" s="11" t="s">
        <v>11</v>
      </c>
      <c r="C28" s="25" t="s">
        <v>109</v>
      </c>
      <c r="D28" s="3" t="s">
        <v>64</v>
      </c>
      <c r="E28" s="3" t="s">
        <v>33</v>
      </c>
      <c r="F28" s="8">
        <f>(Info[[#This Row],[OEM Burnoff /yr]]/52)/Info[[#This Row],[Helium Capacity]]</f>
        <v>1.9219799025845804E-2</v>
      </c>
      <c r="G28" s="2">
        <v>1753</v>
      </c>
      <c r="H28" s="20" t="s">
        <v>228</v>
      </c>
      <c r="I28" s="22">
        <v>1752</v>
      </c>
      <c r="J28" s="22">
        <v>2700</v>
      </c>
      <c r="K28" s="23" t="s">
        <v>70</v>
      </c>
      <c r="L28" s="21">
        <v>0.5</v>
      </c>
      <c r="M28" s="21">
        <v>0.75</v>
      </c>
      <c r="N28" s="21">
        <v>0.5</v>
      </c>
      <c r="O28" s="21">
        <f>ROUNDDOWN(250/Info[[#This Row],[Helium Capacity]],2)</f>
        <v>0.14000000000000001</v>
      </c>
      <c r="P28" s="73"/>
    </row>
    <row r="29" spans="1:16" s="1" customFormat="1" ht="30" x14ac:dyDescent="0.25">
      <c r="A29" s="7" t="s">
        <v>3</v>
      </c>
      <c r="B29" s="11" t="s">
        <v>12</v>
      </c>
      <c r="C29" s="25" t="s">
        <v>112</v>
      </c>
      <c r="D29" s="3" t="s">
        <v>192</v>
      </c>
      <c r="E29" s="3" t="s">
        <v>33</v>
      </c>
      <c r="F29" s="8">
        <f>(Info[[#This Row],[OEM Burnoff /yr]]/52)/Info[[#This Row],[Helium Capacity]]</f>
        <v>1.8007647083007852E-2</v>
      </c>
      <c r="G29" s="2">
        <v>1871</v>
      </c>
      <c r="H29" s="20" t="s">
        <v>228</v>
      </c>
      <c r="I29" s="22">
        <v>1752</v>
      </c>
      <c r="J29" s="22">
        <v>2800</v>
      </c>
      <c r="K29" s="23" t="s">
        <v>70</v>
      </c>
      <c r="L29" s="21">
        <v>0.5</v>
      </c>
      <c r="M29" s="21">
        <v>0.8</v>
      </c>
      <c r="N29" s="21">
        <v>0.5</v>
      </c>
      <c r="O29" s="21">
        <f>ROUNDDOWN(250/Info[[#This Row],[Helium Capacity]],2)</f>
        <v>0.13</v>
      </c>
      <c r="P29" s="73" t="s">
        <v>189</v>
      </c>
    </row>
    <row r="30" spans="1:16" s="1" customFormat="1" x14ac:dyDescent="0.25">
      <c r="A30" s="2" t="s">
        <v>3</v>
      </c>
      <c r="B30" s="13" t="s">
        <v>120</v>
      </c>
      <c r="C30" s="25" t="s">
        <v>111</v>
      </c>
      <c r="D30" s="25"/>
      <c r="E30" s="3"/>
      <c r="F30" s="8"/>
      <c r="G30" s="2">
        <v>565</v>
      </c>
      <c r="H30" s="21"/>
      <c r="I30" s="22"/>
      <c r="J30" s="22"/>
      <c r="K30" s="23"/>
      <c r="L30" s="21"/>
      <c r="M30" s="21"/>
      <c r="N30" s="21"/>
      <c r="O30" s="21">
        <f>ROUNDDOWN(250/Info[[#This Row],[Helium Capacity]],2)</f>
        <v>0.44</v>
      </c>
      <c r="P30" s="71"/>
    </row>
    <row r="31" spans="1:16" s="1" customFormat="1" x14ac:dyDescent="0.25">
      <c r="A31" s="2" t="s">
        <v>3</v>
      </c>
      <c r="B31" s="13" t="s">
        <v>134</v>
      </c>
      <c r="C31" s="25" t="s">
        <v>111</v>
      </c>
      <c r="D31" s="25"/>
      <c r="E31" s="3" t="s">
        <v>135</v>
      </c>
      <c r="F31" s="8"/>
      <c r="G31" s="2">
        <v>722</v>
      </c>
      <c r="H31" s="21"/>
      <c r="I31" s="22"/>
      <c r="J31" s="22"/>
      <c r="K31" s="23" t="s">
        <v>70</v>
      </c>
      <c r="L31" s="21"/>
      <c r="M31" s="21"/>
      <c r="N31" s="21"/>
      <c r="O31" s="21">
        <f>ROUNDDOWN(250/Info[[#This Row],[Helium Capacity]],2)</f>
        <v>0.34</v>
      </c>
      <c r="P31" s="71"/>
    </row>
    <row r="32" spans="1:16" s="1" customFormat="1" x14ac:dyDescent="0.25">
      <c r="A32" s="3" t="s">
        <v>24</v>
      </c>
      <c r="B32" s="12" t="s">
        <v>82</v>
      </c>
      <c r="C32" s="25" t="s">
        <v>157</v>
      </c>
      <c r="D32" s="3" t="s">
        <v>65</v>
      </c>
      <c r="E32" s="3" t="s">
        <v>82</v>
      </c>
      <c r="F32" s="29" t="s">
        <v>194</v>
      </c>
      <c r="G32" s="29" t="s">
        <v>194</v>
      </c>
      <c r="H32" s="29" t="s">
        <v>16</v>
      </c>
      <c r="I32" s="29" t="s">
        <v>194</v>
      </c>
      <c r="J32" s="29" t="s">
        <v>194</v>
      </c>
      <c r="K32" s="29" t="s">
        <v>194</v>
      </c>
      <c r="L32" s="29" t="s">
        <v>194</v>
      </c>
      <c r="M32" s="29" t="s">
        <v>194</v>
      </c>
      <c r="N32" s="29" t="s">
        <v>194</v>
      </c>
      <c r="O32" s="29" t="s">
        <v>194</v>
      </c>
      <c r="P32" s="73" t="s">
        <v>77</v>
      </c>
    </row>
    <row r="33" spans="1:16" s="1" customFormat="1" x14ac:dyDescent="0.25">
      <c r="A33" s="3" t="s">
        <v>24</v>
      </c>
      <c r="B33" s="12" t="s">
        <v>83</v>
      </c>
      <c r="C33" s="25" t="s">
        <v>157</v>
      </c>
      <c r="D33" s="3" t="s">
        <v>66</v>
      </c>
      <c r="E33" s="3" t="s">
        <v>83</v>
      </c>
      <c r="F33" s="29" t="s">
        <v>194</v>
      </c>
      <c r="G33" s="29" t="s">
        <v>194</v>
      </c>
      <c r="H33" s="29" t="s">
        <v>16</v>
      </c>
      <c r="I33" s="29" t="s">
        <v>194</v>
      </c>
      <c r="J33" s="29" t="s">
        <v>194</v>
      </c>
      <c r="K33" s="29" t="s">
        <v>194</v>
      </c>
      <c r="L33" s="29" t="s">
        <v>194</v>
      </c>
      <c r="M33" s="29" t="s">
        <v>194</v>
      </c>
      <c r="N33" s="29" t="s">
        <v>194</v>
      </c>
      <c r="O33" s="29" t="s">
        <v>194</v>
      </c>
      <c r="P33" s="73" t="s">
        <v>77</v>
      </c>
    </row>
    <row r="34" spans="1:16" s="1" customFormat="1" x14ac:dyDescent="0.25">
      <c r="A34" s="3" t="s">
        <v>24</v>
      </c>
      <c r="B34" s="12" t="s">
        <v>84</v>
      </c>
      <c r="C34" s="25" t="s">
        <v>157</v>
      </c>
      <c r="D34" s="3" t="s">
        <v>61</v>
      </c>
      <c r="E34" s="3" t="s">
        <v>84</v>
      </c>
      <c r="F34" s="29" t="s">
        <v>194</v>
      </c>
      <c r="G34" s="29" t="s">
        <v>194</v>
      </c>
      <c r="H34" s="29" t="s">
        <v>16</v>
      </c>
      <c r="I34" s="29" t="s">
        <v>194</v>
      </c>
      <c r="J34" s="29" t="s">
        <v>194</v>
      </c>
      <c r="K34" s="29" t="s">
        <v>194</v>
      </c>
      <c r="L34" s="29" t="s">
        <v>194</v>
      </c>
      <c r="M34" s="29" t="s">
        <v>194</v>
      </c>
      <c r="N34" s="29" t="s">
        <v>194</v>
      </c>
      <c r="O34" s="29" t="s">
        <v>194</v>
      </c>
      <c r="P34" s="73" t="s">
        <v>77</v>
      </c>
    </row>
    <row r="35" spans="1:16" s="1" customFormat="1" x14ac:dyDescent="0.25">
      <c r="A35" s="3" t="s">
        <v>24</v>
      </c>
      <c r="B35" s="12" t="s">
        <v>25</v>
      </c>
      <c r="C35" s="25" t="s">
        <v>114</v>
      </c>
      <c r="D35" s="3" t="s">
        <v>67</v>
      </c>
      <c r="E35" s="3" t="s">
        <v>25</v>
      </c>
      <c r="F35" s="14">
        <v>5.0000000000000001E-3</v>
      </c>
      <c r="G35" s="2">
        <v>700</v>
      </c>
      <c r="H35" s="21"/>
      <c r="I35" s="22">
        <v>0</v>
      </c>
      <c r="J35" s="22">
        <v>0</v>
      </c>
      <c r="K35" s="75"/>
      <c r="L35" s="21"/>
      <c r="M35" s="21"/>
      <c r="N35" s="21"/>
      <c r="O35" s="21">
        <f>ROUNDDOWN(250/Info[[#This Row],[Helium Capacity]],2)</f>
        <v>0.35</v>
      </c>
      <c r="P35" s="72" t="s">
        <v>125</v>
      </c>
    </row>
    <row r="36" spans="1:16" s="1" customFormat="1" x14ac:dyDescent="0.25">
      <c r="A36" s="2" t="s">
        <v>24</v>
      </c>
      <c r="B36" s="13" t="s">
        <v>177</v>
      </c>
      <c r="C36" s="25" t="s">
        <v>178</v>
      </c>
      <c r="D36" s="25"/>
      <c r="E36" s="3" t="s">
        <v>177</v>
      </c>
      <c r="F36" s="29" t="s">
        <v>194</v>
      </c>
      <c r="G36" s="29" t="s">
        <v>194</v>
      </c>
      <c r="H36" s="29" t="s">
        <v>16</v>
      </c>
      <c r="I36" s="29" t="s">
        <v>194</v>
      </c>
      <c r="J36" s="29" t="s">
        <v>194</v>
      </c>
      <c r="K36" s="29" t="s">
        <v>194</v>
      </c>
      <c r="L36" s="29" t="s">
        <v>194</v>
      </c>
      <c r="M36" s="29" t="s">
        <v>194</v>
      </c>
      <c r="N36" s="29" t="s">
        <v>194</v>
      </c>
      <c r="O36" s="29" t="s">
        <v>194</v>
      </c>
      <c r="P36" s="76" t="s">
        <v>77</v>
      </c>
    </row>
    <row r="37" spans="1:16" s="1" customFormat="1" x14ac:dyDescent="0.25">
      <c r="A37" s="2" t="s">
        <v>24</v>
      </c>
      <c r="B37" s="13" t="s">
        <v>179</v>
      </c>
      <c r="C37" s="25" t="s">
        <v>109</v>
      </c>
      <c r="D37" s="25"/>
      <c r="E37" s="3" t="s">
        <v>179</v>
      </c>
      <c r="F37" s="14">
        <v>5.0000000000000001E-3</v>
      </c>
      <c r="G37" s="2"/>
      <c r="H37" s="21"/>
      <c r="I37" s="22">
        <v>0</v>
      </c>
      <c r="J37" s="22">
        <v>0</v>
      </c>
      <c r="K37" s="75"/>
      <c r="L37" s="21"/>
      <c r="M37" s="21"/>
      <c r="N37" s="21"/>
      <c r="O37" s="21"/>
      <c r="P37" s="72" t="s">
        <v>74</v>
      </c>
    </row>
    <row r="38" spans="1:16" s="1" customFormat="1" x14ac:dyDescent="0.25">
      <c r="A38" s="2" t="s">
        <v>24</v>
      </c>
      <c r="B38" s="13" t="s">
        <v>180</v>
      </c>
      <c r="C38" s="25" t="s">
        <v>181</v>
      </c>
      <c r="D38" s="25"/>
      <c r="E38" s="3" t="s">
        <v>180</v>
      </c>
      <c r="F38" s="17"/>
      <c r="G38" s="2"/>
      <c r="H38" s="21"/>
      <c r="I38" s="22"/>
      <c r="J38" s="22"/>
      <c r="K38" s="75"/>
      <c r="L38" s="21"/>
      <c r="M38" s="21"/>
      <c r="N38" s="21"/>
      <c r="O38" s="21"/>
      <c r="P38" s="76"/>
    </row>
    <row r="39" spans="1:16" s="1" customFormat="1" x14ac:dyDescent="0.25">
      <c r="A39" s="2" t="s">
        <v>2</v>
      </c>
      <c r="B39" s="13" t="s">
        <v>172</v>
      </c>
      <c r="C39" s="25" t="s">
        <v>111</v>
      </c>
      <c r="D39" s="25"/>
      <c r="E39" s="3" t="s">
        <v>172</v>
      </c>
      <c r="F39" s="17"/>
      <c r="G39" s="2">
        <v>740</v>
      </c>
      <c r="H39" s="21"/>
      <c r="I39" s="22"/>
      <c r="J39" s="22"/>
      <c r="K39" s="75"/>
      <c r="L39" s="21"/>
      <c r="M39" s="21"/>
      <c r="N39" s="21"/>
      <c r="O39" s="21">
        <f>ROUNDDOWN(250/Info[[#This Row],[Helium Capacity]],2)</f>
        <v>0.33</v>
      </c>
      <c r="P39" s="76"/>
    </row>
    <row r="40" spans="1:16" s="1" customFormat="1" x14ac:dyDescent="0.25">
      <c r="A40" s="7" t="s">
        <v>2</v>
      </c>
      <c r="B40" s="12" t="s">
        <v>13</v>
      </c>
      <c r="C40" s="25" t="s">
        <v>109</v>
      </c>
      <c r="D40" s="7"/>
      <c r="E40" s="3" t="s">
        <v>149</v>
      </c>
      <c r="F40" s="17">
        <v>3.0000000000000001E-3</v>
      </c>
      <c r="G40" s="2">
        <v>1730</v>
      </c>
      <c r="H40" s="21"/>
      <c r="I40" s="22"/>
      <c r="J40" s="22">
        <v>300</v>
      </c>
      <c r="K40" s="23" t="s">
        <v>91</v>
      </c>
      <c r="L40" s="21"/>
      <c r="M40" s="21"/>
      <c r="N40" s="21"/>
      <c r="O40" s="21">
        <f>ROUNDDOWN(250/Info[[#This Row],[Helium Capacity]],2)</f>
        <v>0.14000000000000001</v>
      </c>
      <c r="P40" s="73"/>
    </row>
    <row r="41" spans="1:16" s="1" customFormat="1" x14ac:dyDescent="0.25">
      <c r="A41" s="3" t="s">
        <v>2</v>
      </c>
      <c r="B41" s="12" t="s">
        <v>85</v>
      </c>
      <c r="C41" s="25" t="s">
        <v>109</v>
      </c>
      <c r="D41" s="3"/>
      <c r="E41" s="3" t="s">
        <v>60</v>
      </c>
      <c r="F41" s="16">
        <v>0.03</v>
      </c>
      <c r="G41" s="2">
        <v>1220</v>
      </c>
      <c r="H41" s="21"/>
      <c r="I41" s="27"/>
      <c r="J41" s="27">
        <v>1903</v>
      </c>
      <c r="K41" s="75"/>
      <c r="L41" s="21"/>
      <c r="M41" s="21"/>
      <c r="N41" s="21"/>
      <c r="O41" s="21">
        <f>ROUNDDOWN(250/Info[[#This Row],[Helium Capacity]],2)</f>
        <v>0.2</v>
      </c>
      <c r="P41" s="73"/>
    </row>
    <row r="42" spans="1:16" s="1" customFormat="1" x14ac:dyDescent="0.25">
      <c r="A42" s="2" t="s">
        <v>2</v>
      </c>
      <c r="B42" s="13" t="s">
        <v>152</v>
      </c>
      <c r="C42" s="25" t="s">
        <v>109</v>
      </c>
      <c r="D42" s="25"/>
      <c r="E42" s="3" t="s">
        <v>153</v>
      </c>
      <c r="F42" s="17"/>
      <c r="G42" s="2">
        <v>1325</v>
      </c>
      <c r="H42" s="21"/>
      <c r="I42" s="22"/>
      <c r="J42" s="22"/>
      <c r="K42" s="75"/>
      <c r="L42" s="21"/>
      <c r="M42" s="21"/>
      <c r="N42" s="21"/>
      <c r="O42" s="21">
        <f>ROUNDDOWN(250/Info[[#This Row],[Helium Capacity]],2)</f>
        <v>0.18</v>
      </c>
      <c r="P42" s="71"/>
    </row>
    <row r="43" spans="1:16" s="1" customFormat="1" x14ac:dyDescent="0.25">
      <c r="A43" s="3" t="s">
        <v>2</v>
      </c>
      <c r="B43" s="12" t="s">
        <v>54</v>
      </c>
      <c r="C43" s="25" t="s">
        <v>109</v>
      </c>
      <c r="D43" s="3"/>
      <c r="E43" s="3" t="s">
        <v>54</v>
      </c>
      <c r="F43" s="14">
        <v>5.0000000000000001E-3</v>
      </c>
      <c r="G43" s="2">
        <v>1840</v>
      </c>
      <c r="H43" s="21"/>
      <c r="I43" s="27">
        <v>0</v>
      </c>
      <c r="J43" s="27">
        <v>0</v>
      </c>
      <c r="K43" s="75" t="s">
        <v>193</v>
      </c>
      <c r="L43" s="21"/>
      <c r="M43" s="21"/>
      <c r="N43" s="21"/>
      <c r="O43" s="21">
        <f>ROUNDDOWN(250/Info[[#This Row],[Helium Capacity]],2)</f>
        <v>0.13</v>
      </c>
      <c r="P43" s="72" t="s">
        <v>74</v>
      </c>
    </row>
    <row r="44" spans="1:16" s="1" customFormat="1" x14ac:dyDescent="0.25">
      <c r="A44" s="3" t="s">
        <v>2</v>
      </c>
      <c r="B44" s="13" t="s">
        <v>55</v>
      </c>
      <c r="C44" s="24" t="s">
        <v>113</v>
      </c>
      <c r="D44" s="2"/>
      <c r="E44" s="3" t="s">
        <v>55</v>
      </c>
      <c r="F44" s="14">
        <v>5.0000000000000001E-3</v>
      </c>
      <c r="G44" s="2">
        <v>1840</v>
      </c>
      <c r="H44" s="21"/>
      <c r="I44" s="22">
        <v>0</v>
      </c>
      <c r="J44" s="22">
        <v>0</v>
      </c>
      <c r="K44" s="75" t="s">
        <v>193</v>
      </c>
      <c r="L44" s="21"/>
      <c r="M44" s="21"/>
      <c r="N44" s="21"/>
      <c r="O44" s="21">
        <f>ROUNDDOWN(250/Info[[#This Row],[Helium Capacity]],2)</f>
        <v>0.13</v>
      </c>
      <c r="P44" s="72" t="s">
        <v>74</v>
      </c>
    </row>
    <row r="45" spans="1:16" s="1" customFormat="1" x14ac:dyDescent="0.25">
      <c r="A45" s="2" t="s">
        <v>2</v>
      </c>
      <c r="B45" s="13" t="s">
        <v>167</v>
      </c>
      <c r="C45" s="25" t="s">
        <v>168</v>
      </c>
      <c r="D45" s="25"/>
      <c r="E45" s="3" t="s">
        <v>90</v>
      </c>
      <c r="F45" s="29" t="s">
        <v>194</v>
      </c>
      <c r="G45" s="29" t="s">
        <v>194</v>
      </c>
      <c r="H45" s="29" t="s">
        <v>16</v>
      </c>
      <c r="I45" s="29" t="s">
        <v>194</v>
      </c>
      <c r="J45" s="29" t="s">
        <v>194</v>
      </c>
      <c r="K45" s="29" t="s">
        <v>194</v>
      </c>
      <c r="L45" s="29" t="s">
        <v>194</v>
      </c>
      <c r="M45" s="29" t="s">
        <v>194</v>
      </c>
      <c r="N45" s="29" t="s">
        <v>194</v>
      </c>
      <c r="O45" s="29" t="s">
        <v>194</v>
      </c>
      <c r="P45" s="71" t="s">
        <v>77</v>
      </c>
    </row>
    <row r="46" spans="1:16" s="1" customFormat="1" x14ac:dyDescent="0.25">
      <c r="A46" s="2" t="s">
        <v>2</v>
      </c>
      <c r="B46" s="13" t="s">
        <v>132</v>
      </c>
      <c r="C46" s="25" t="s">
        <v>133</v>
      </c>
      <c r="D46" s="25"/>
      <c r="E46" s="3" t="s">
        <v>90</v>
      </c>
      <c r="F46" s="17"/>
      <c r="G46" s="2">
        <v>380</v>
      </c>
      <c r="H46" s="21"/>
      <c r="I46" s="22"/>
      <c r="J46" s="22"/>
      <c r="K46" s="75" t="s">
        <v>193</v>
      </c>
      <c r="L46" s="21"/>
      <c r="M46" s="21"/>
      <c r="N46" s="21"/>
      <c r="O46" s="21">
        <f>ROUNDDOWN(250/Info[[#This Row],[Helium Capacity]],2)</f>
        <v>0.65</v>
      </c>
      <c r="P46" s="73"/>
    </row>
    <row r="47" spans="1:16" s="1" customFormat="1" x14ac:dyDescent="0.25">
      <c r="A47" s="3" t="s">
        <v>2</v>
      </c>
      <c r="B47" s="12" t="s">
        <v>150</v>
      </c>
      <c r="C47" s="25" t="s">
        <v>112</v>
      </c>
      <c r="D47" s="3"/>
      <c r="E47" s="3" t="s">
        <v>90</v>
      </c>
      <c r="F47" s="17"/>
      <c r="G47" s="2">
        <v>750</v>
      </c>
      <c r="H47" s="21"/>
      <c r="I47" s="27"/>
      <c r="J47" s="27"/>
      <c r="K47" s="75" t="s">
        <v>193</v>
      </c>
      <c r="L47" s="21"/>
      <c r="M47" s="21"/>
      <c r="N47" s="21"/>
      <c r="O47" s="21">
        <f>ROUNDDOWN(250/Info[[#This Row],[Helium Capacity]],2)</f>
        <v>0.33</v>
      </c>
      <c r="P47" s="73"/>
    </row>
    <row r="48" spans="1:16" s="1" customFormat="1" x14ac:dyDescent="0.25">
      <c r="A48" s="2" t="s">
        <v>2</v>
      </c>
      <c r="B48" s="13" t="s">
        <v>59</v>
      </c>
      <c r="C48" s="25" t="s">
        <v>109</v>
      </c>
      <c r="D48" s="25"/>
      <c r="E48" s="3" t="s">
        <v>151</v>
      </c>
      <c r="F48" s="17"/>
      <c r="G48" s="2">
        <v>2070</v>
      </c>
      <c r="H48" s="21"/>
      <c r="I48" s="22"/>
      <c r="J48" s="22"/>
      <c r="K48" s="75" t="s">
        <v>193</v>
      </c>
      <c r="L48" s="21"/>
      <c r="M48" s="21"/>
      <c r="N48" s="21"/>
      <c r="O48" s="21">
        <f>ROUNDDOWN(250/Info[[#This Row],[Helium Capacity]],2)</f>
        <v>0.12</v>
      </c>
      <c r="P48" s="71"/>
    </row>
    <row r="49" spans="1:18" s="1" customFormat="1" x14ac:dyDescent="0.25">
      <c r="A49" s="3" t="s">
        <v>2</v>
      </c>
      <c r="B49" s="12" t="s">
        <v>59</v>
      </c>
      <c r="C49" s="25" t="s">
        <v>113</v>
      </c>
      <c r="D49" s="3"/>
      <c r="E49" s="3" t="s">
        <v>151</v>
      </c>
      <c r="F49" s="14">
        <v>5.0000000000000001E-3</v>
      </c>
      <c r="G49" s="2">
        <v>2070</v>
      </c>
      <c r="H49" s="21"/>
      <c r="I49" s="27">
        <v>0</v>
      </c>
      <c r="J49" s="27">
        <v>0</v>
      </c>
      <c r="K49" s="75" t="s">
        <v>193</v>
      </c>
      <c r="L49" s="21"/>
      <c r="M49" s="21"/>
      <c r="N49" s="21"/>
      <c r="O49" s="21">
        <f>ROUNDDOWN(250/Info[[#This Row],[Helium Capacity]],2)</f>
        <v>0.12</v>
      </c>
      <c r="P49" s="72" t="s">
        <v>74</v>
      </c>
    </row>
    <row r="50" spans="1:18" s="1" customFormat="1" ht="30" x14ac:dyDescent="0.25">
      <c r="A50" s="2" t="s">
        <v>2</v>
      </c>
      <c r="B50" s="13" t="s">
        <v>162</v>
      </c>
      <c r="C50" s="25" t="s">
        <v>112</v>
      </c>
      <c r="D50" s="25"/>
      <c r="E50" s="3" t="s">
        <v>15</v>
      </c>
      <c r="F50" s="17"/>
      <c r="G50" s="2" t="s">
        <v>163</v>
      </c>
      <c r="H50" s="21"/>
      <c r="I50" s="22"/>
      <c r="J50" s="22"/>
      <c r="K50" s="75"/>
      <c r="L50" s="21"/>
      <c r="M50" s="21"/>
      <c r="N50" s="21"/>
      <c r="O50" s="21" t="s">
        <v>164</v>
      </c>
      <c r="P50" s="76" t="s">
        <v>165</v>
      </c>
    </row>
    <row r="51" spans="1:18" s="1" customFormat="1" x14ac:dyDescent="0.25">
      <c r="A51" s="2" t="s">
        <v>2</v>
      </c>
      <c r="B51" s="13" t="s">
        <v>166</v>
      </c>
      <c r="C51" s="25" t="s">
        <v>111</v>
      </c>
      <c r="D51" s="25"/>
      <c r="E51" s="3" t="s">
        <v>15</v>
      </c>
      <c r="F51" s="17"/>
      <c r="G51" s="2">
        <v>1000</v>
      </c>
      <c r="H51" s="21"/>
      <c r="I51" s="22"/>
      <c r="J51" s="22"/>
      <c r="K51" s="75"/>
      <c r="L51" s="21"/>
      <c r="M51" s="21"/>
      <c r="N51" s="21"/>
      <c r="O51" s="21">
        <f>ROUNDDOWN(250/Info[[#This Row],[Helium Capacity]],2)</f>
        <v>0.25</v>
      </c>
      <c r="P51" s="76"/>
    </row>
    <row r="52" spans="1:18" s="1" customFormat="1" x14ac:dyDescent="0.25">
      <c r="A52" s="3" t="s">
        <v>2</v>
      </c>
      <c r="B52" s="12" t="s">
        <v>50</v>
      </c>
      <c r="C52" s="25" t="s">
        <v>113</v>
      </c>
      <c r="D52" s="3"/>
      <c r="E52" s="3" t="s">
        <v>53</v>
      </c>
      <c r="F52" s="17"/>
      <c r="G52" s="2">
        <v>1500</v>
      </c>
      <c r="H52" s="21"/>
      <c r="I52" s="27"/>
      <c r="J52" s="27">
        <v>2340</v>
      </c>
      <c r="K52" s="75" t="s">
        <v>96</v>
      </c>
      <c r="L52" s="21"/>
      <c r="M52" s="21"/>
      <c r="N52" s="21"/>
      <c r="O52" s="21">
        <f>ROUNDDOWN(250/Info[[#This Row],[Helium Capacity]],2)</f>
        <v>0.16</v>
      </c>
      <c r="P52" s="73"/>
    </row>
    <row r="53" spans="1:18" s="1" customFormat="1" x14ac:dyDescent="0.25">
      <c r="A53" s="2" t="s">
        <v>141</v>
      </c>
      <c r="B53" s="13" t="s">
        <v>143</v>
      </c>
      <c r="C53" s="25" t="s">
        <v>112</v>
      </c>
      <c r="D53" s="25"/>
      <c r="E53" s="3" t="s">
        <v>144</v>
      </c>
      <c r="F53" s="17"/>
      <c r="G53" s="2">
        <v>1752</v>
      </c>
      <c r="H53" s="21"/>
      <c r="I53" s="22"/>
      <c r="J53" s="22">
        <v>2733</v>
      </c>
      <c r="K53" s="23" t="s">
        <v>96</v>
      </c>
      <c r="L53" s="21"/>
      <c r="M53" s="21"/>
      <c r="N53" s="21"/>
      <c r="O53" s="21">
        <f>ROUNDDOWN(250/Info[[#This Row],[Helium Capacity]],2)</f>
        <v>0.14000000000000001</v>
      </c>
      <c r="P53" s="76"/>
    </row>
    <row r="54" spans="1:18" s="1" customFormat="1" x14ac:dyDescent="0.25">
      <c r="A54" s="2" t="s">
        <v>141</v>
      </c>
      <c r="B54" s="13" t="s">
        <v>182</v>
      </c>
      <c r="C54" s="25" t="s">
        <v>109</v>
      </c>
      <c r="D54" s="28"/>
      <c r="E54" s="3" t="s">
        <v>183</v>
      </c>
      <c r="F54" s="17"/>
      <c r="G54" s="2">
        <v>1630</v>
      </c>
      <c r="H54" s="21"/>
      <c r="I54" s="22"/>
      <c r="J54" s="22">
        <v>2542</v>
      </c>
      <c r="K54" s="23" t="s">
        <v>96</v>
      </c>
      <c r="L54" s="21"/>
      <c r="M54" s="21"/>
      <c r="N54" s="21"/>
      <c r="O54" s="21">
        <f>ROUNDDOWN(250/Info[[#This Row],[Helium Capacity]],2)</f>
        <v>0.15</v>
      </c>
      <c r="P54" s="76"/>
    </row>
    <row r="55" spans="1:18" s="1" customFormat="1" x14ac:dyDescent="0.25">
      <c r="A55" s="3" t="s">
        <v>141</v>
      </c>
      <c r="B55" s="12" t="s">
        <v>98</v>
      </c>
      <c r="C55" s="25" t="s">
        <v>112</v>
      </c>
      <c r="D55" s="10" t="s">
        <v>52</v>
      </c>
      <c r="E55" s="3" t="s">
        <v>142</v>
      </c>
      <c r="F55" s="16"/>
      <c r="G55" s="2">
        <v>1328</v>
      </c>
      <c r="H55" s="20"/>
      <c r="I55" s="27"/>
      <c r="J55" s="27">
        <v>2072</v>
      </c>
      <c r="K55" s="23" t="s">
        <v>96</v>
      </c>
      <c r="L55" s="21"/>
      <c r="M55" s="21"/>
      <c r="N55" s="21"/>
      <c r="O55" s="20">
        <f>ROUNDDOWN(250/Info[[#This Row],[Helium Capacity]],2)</f>
        <v>0.18</v>
      </c>
      <c r="P55" s="76"/>
    </row>
    <row r="56" spans="1:18" s="1" customFormat="1" x14ac:dyDescent="0.25">
      <c r="A56" s="2" t="s">
        <v>141</v>
      </c>
      <c r="B56" s="13" t="s">
        <v>147</v>
      </c>
      <c r="C56" s="25" t="s">
        <v>109</v>
      </c>
      <c r="D56" s="28"/>
      <c r="E56" s="3" t="s">
        <v>148</v>
      </c>
      <c r="F56" s="17"/>
      <c r="G56" s="2">
        <v>1770</v>
      </c>
      <c r="H56" s="21"/>
      <c r="I56" s="22"/>
      <c r="J56" s="22">
        <v>2761</v>
      </c>
      <c r="K56" s="23" t="s">
        <v>96</v>
      </c>
      <c r="L56" s="21"/>
      <c r="M56" s="21"/>
      <c r="N56" s="21"/>
      <c r="O56" s="21">
        <f>ROUNDDOWN(250/Info[[#This Row],[Helium Capacity]],2)</f>
        <v>0.14000000000000001</v>
      </c>
      <c r="P56" s="76"/>
    </row>
    <row r="57" spans="1:18" s="1" customFormat="1" x14ac:dyDescent="0.25">
      <c r="A57" s="2" t="s">
        <v>5</v>
      </c>
      <c r="B57" s="13" t="s">
        <v>175</v>
      </c>
      <c r="C57" s="25" t="s">
        <v>121</v>
      </c>
      <c r="D57" s="28"/>
      <c r="E57" s="3" t="s">
        <v>175</v>
      </c>
      <c r="F57" s="29" t="s">
        <v>194</v>
      </c>
      <c r="G57" s="29" t="s">
        <v>194</v>
      </c>
      <c r="H57" s="29" t="s">
        <v>16</v>
      </c>
      <c r="I57" s="29" t="s">
        <v>194</v>
      </c>
      <c r="J57" s="29" t="s">
        <v>194</v>
      </c>
      <c r="K57" s="29" t="s">
        <v>194</v>
      </c>
      <c r="L57" s="29" t="s">
        <v>194</v>
      </c>
      <c r="M57" s="29" t="s">
        <v>194</v>
      </c>
      <c r="N57" s="29" t="s">
        <v>194</v>
      </c>
      <c r="O57" s="29" t="s">
        <v>194</v>
      </c>
      <c r="P57" s="76" t="s">
        <v>77</v>
      </c>
    </row>
    <row r="58" spans="1:18" s="1" customFormat="1" x14ac:dyDescent="0.25">
      <c r="A58" s="2" t="s">
        <v>5</v>
      </c>
      <c r="B58" s="13" t="s">
        <v>174</v>
      </c>
      <c r="C58" s="25" t="s">
        <v>122</v>
      </c>
      <c r="D58" s="28"/>
      <c r="E58" s="3" t="s">
        <v>174</v>
      </c>
      <c r="F58" s="29" t="s">
        <v>194</v>
      </c>
      <c r="G58" s="29" t="s">
        <v>194</v>
      </c>
      <c r="H58" s="29" t="s">
        <v>16</v>
      </c>
      <c r="I58" s="29" t="s">
        <v>194</v>
      </c>
      <c r="J58" s="29" t="s">
        <v>194</v>
      </c>
      <c r="K58" s="29" t="s">
        <v>194</v>
      </c>
      <c r="L58" s="29" t="s">
        <v>194</v>
      </c>
      <c r="M58" s="29" t="s">
        <v>194</v>
      </c>
      <c r="N58" s="29" t="s">
        <v>194</v>
      </c>
      <c r="O58" s="29" t="s">
        <v>194</v>
      </c>
      <c r="P58" s="76" t="s">
        <v>77</v>
      </c>
    </row>
    <row r="59" spans="1:18" s="1" customFormat="1" x14ac:dyDescent="0.25">
      <c r="A59" s="2" t="s">
        <v>5</v>
      </c>
      <c r="B59" s="13" t="s">
        <v>173</v>
      </c>
      <c r="C59" s="25" t="s">
        <v>122</v>
      </c>
      <c r="D59" s="28"/>
      <c r="E59" s="3" t="s">
        <v>173</v>
      </c>
      <c r="F59" s="29" t="s">
        <v>194</v>
      </c>
      <c r="G59" s="29" t="s">
        <v>194</v>
      </c>
      <c r="H59" s="29" t="s">
        <v>16</v>
      </c>
      <c r="I59" s="29" t="s">
        <v>194</v>
      </c>
      <c r="J59" s="29" t="s">
        <v>194</v>
      </c>
      <c r="K59" s="29" t="s">
        <v>194</v>
      </c>
      <c r="L59" s="29" t="s">
        <v>194</v>
      </c>
      <c r="M59" s="29" t="s">
        <v>194</v>
      </c>
      <c r="N59" s="29" t="s">
        <v>194</v>
      </c>
      <c r="O59" s="29" t="s">
        <v>194</v>
      </c>
      <c r="P59" s="76" t="s">
        <v>77</v>
      </c>
    </row>
    <row r="60" spans="1:18" s="1" customFormat="1" x14ac:dyDescent="0.25">
      <c r="A60" s="2" t="s">
        <v>5</v>
      </c>
      <c r="B60" s="13" t="s">
        <v>176</v>
      </c>
      <c r="C60" s="25" t="s">
        <v>122</v>
      </c>
      <c r="D60" s="28"/>
      <c r="E60" s="3" t="s">
        <v>176</v>
      </c>
      <c r="F60" s="29" t="s">
        <v>194</v>
      </c>
      <c r="G60" s="29" t="s">
        <v>194</v>
      </c>
      <c r="H60" s="29" t="s">
        <v>16</v>
      </c>
      <c r="I60" s="29" t="s">
        <v>194</v>
      </c>
      <c r="J60" s="29" t="s">
        <v>194</v>
      </c>
      <c r="K60" s="29" t="s">
        <v>194</v>
      </c>
      <c r="L60" s="29" t="s">
        <v>194</v>
      </c>
      <c r="M60" s="29" t="s">
        <v>194</v>
      </c>
      <c r="N60" s="29" t="s">
        <v>194</v>
      </c>
      <c r="O60" s="29" t="s">
        <v>194</v>
      </c>
      <c r="P60" s="76" t="s">
        <v>77</v>
      </c>
    </row>
    <row r="61" spans="1:18" s="1" customFormat="1" x14ac:dyDescent="0.25">
      <c r="A61" s="3" t="s">
        <v>5</v>
      </c>
      <c r="B61" s="12" t="s">
        <v>99</v>
      </c>
      <c r="C61" s="25" t="s">
        <v>113</v>
      </c>
      <c r="D61" s="10" t="s">
        <v>52</v>
      </c>
      <c r="E61" s="3" t="s">
        <v>100</v>
      </c>
      <c r="F61" s="9"/>
      <c r="G61" s="2">
        <v>1209</v>
      </c>
      <c r="H61" s="20"/>
      <c r="I61" s="27"/>
      <c r="J61" s="27">
        <v>1886</v>
      </c>
      <c r="K61" s="23" t="s">
        <v>93</v>
      </c>
      <c r="L61" s="21"/>
      <c r="M61" s="21"/>
      <c r="N61" s="21"/>
      <c r="O61" s="20">
        <f>ROUNDDOWN(250/Info[[#This Row],[Helium Capacity]],2)</f>
        <v>0.2</v>
      </c>
      <c r="P61" s="76"/>
    </row>
    <row r="62" spans="1:18" s="1" customFormat="1" ht="30" x14ac:dyDescent="0.25">
      <c r="A62" s="3" t="s">
        <v>5</v>
      </c>
      <c r="B62" s="12" t="s">
        <v>41</v>
      </c>
      <c r="C62" s="25" t="s">
        <v>109</v>
      </c>
      <c r="D62" s="10" t="s">
        <v>52</v>
      </c>
      <c r="E62" s="3" t="s">
        <v>28</v>
      </c>
      <c r="F62" s="14">
        <v>5.0000000000000001E-3</v>
      </c>
      <c r="G62" s="2">
        <v>1400</v>
      </c>
      <c r="H62" s="21"/>
      <c r="I62" s="22">
        <v>0</v>
      </c>
      <c r="J62" s="22">
        <v>0</v>
      </c>
      <c r="K62" s="23" t="s">
        <v>93</v>
      </c>
      <c r="L62" s="21">
        <v>0.5</v>
      </c>
      <c r="M62" s="21"/>
      <c r="N62" s="21"/>
      <c r="O62" s="21">
        <f>ROUNDDOWN(250/Info[[#This Row],[Helium Capacity]],2)</f>
        <v>0.17</v>
      </c>
      <c r="P62" s="73" t="s">
        <v>75</v>
      </c>
    </row>
    <row r="63" spans="1:18" s="1" customFormat="1" ht="30" x14ac:dyDescent="0.25">
      <c r="A63" s="3" t="s">
        <v>5</v>
      </c>
      <c r="B63" s="12" t="s">
        <v>44</v>
      </c>
      <c r="C63" s="25" t="s">
        <v>109</v>
      </c>
      <c r="D63" s="10">
        <v>3</v>
      </c>
      <c r="E63" s="3" t="s">
        <v>29</v>
      </c>
      <c r="F63" s="14">
        <v>5.0000000000000001E-3</v>
      </c>
      <c r="G63" s="2">
        <v>1460</v>
      </c>
      <c r="H63" s="20" t="s">
        <v>228</v>
      </c>
      <c r="I63" s="22">
        <v>0</v>
      </c>
      <c r="J63" s="22">
        <v>0</v>
      </c>
      <c r="K63" s="23" t="s">
        <v>93</v>
      </c>
      <c r="L63" s="21">
        <v>0.5</v>
      </c>
      <c r="M63" s="21"/>
      <c r="N63" s="21"/>
      <c r="O63" s="21">
        <f>ROUNDDOWN(250/Info[[#This Row],[Helium Capacity]],2)</f>
        <v>0.17</v>
      </c>
      <c r="P63" s="73" t="s">
        <v>75</v>
      </c>
    </row>
    <row r="64" spans="1:18" x14ac:dyDescent="0.25">
      <c r="A64" s="2" t="s">
        <v>5</v>
      </c>
      <c r="B64" s="13" t="s">
        <v>171</v>
      </c>
      <c r="C64" s="25" t="s">
        <v>112</v>
      </c>
      <c r="D64" s="28"/>
      <c r="E64" s="3" t="s">
        <v>170</v>
      </c>
      <c r="F64" s="17"/>
      <c r="G64" s="2">
        <v>1140</v>
      </c>
      <c r="H64" s="21"/>
      <c r="I64" s="22"/>
      <c r="J64" s="22"/>
      <c r="K64" s="23"/>
      <c r="L64" s="21"/>
      <c r="M64" s="21"/>
      <c r="N64" s="21"/>
      <c r="O64" s="21">
        <f>ROUNDDOWN(250/Info[[#This Row],[Helium Capacity]],2)</f>
        <v>0.21</v>
      </c>
      <c r="P64" s="71"/>
      <c r="Q64"/>
      <c r="R64"/>
    </row>
    <row r="65" spans="1:36" s="1" customFormat="1" x14ac:dyDescent="0.25">
      <c r="A65" s="3" t="s">
        <v>5</v>
      </c>
      <c r="B65" s="12" t="s">
        <v>40</v>
      </c>
      <c r="C65" s="25" t="s">
        <v>112</v>
      </c>
      <c r="D65" s="10" t="s">
        <v>52</v>
      </c>
      <c r="E65" s="3" t="s">
        <v>32</v>
      </c>
      <c r="F65" s="16">
        <v>0.02</v>
      </c>
      <c r="G65" s="2">
        <v>1806</v>
      </c>
      <c r="H65" s="21"/>
      <c r="I65" s="22"/>
      <c r="J65" s="22">
        <v>2817</v>
      </c>
      <c r="K65" s="23" t="s">
        <v>93</v>
      </c>
      <c r="L65" s="21">
        <v>0.5</v>
      </c>
      <c r="M65" s="21"/>
      <c r="N65" s="21"/>
      <c r="O65" s="21">
        <f>ROUNDDOWN(250/Info[[#This Row],[Helium Capacity]],2)</f>
        <v>0.13</v>
      </c>
      <c r="P65" s="72" t="s">
        <v>79</v>
      </c>
    </row>
    <row r="66" spans="1:36" s="1" customFormat="1" x14ac:dyDescent="0.25">
      <c r="A66" s="2" t="s">
        <v>5</v>
      </c>
      <c r="B66" s="13" t="s">
        <v>182</v>
      </c>
      <c r="C66" s="25" t="s">
        <v>109</v>
      </c>
      <c r="D66" s="28"/>
      <c r="E66" s="3" t="s">
        <v>184</v>
      </c>
      <c r="F66" s="17"/>
      <c r="G66" s="2">
        <v>1630</v>
      </c>
      <c r="H66" s="21"/>
      <c r="I66" s="22"/>
      <c r="J66" s="22">
        <v>2542</v>
      </c>
      <c r="K66" s="23" t="s">
        <v>93</v>
      </c>
      <c r="L66" s="21"/>
      <c r="M66" s="21"/>
      <c r="N66" s="21"/>
      <c r="O66" s="21">
        <f>ROUNDDOWN(250/Info[[#This Row],[Helium Capacity]],2)</f>
        <v>0.15</v>
      </c>
      <c r="P66" s="76"/>
    </row>
    <row r="67" spans="1:36" s="1" customFormat="1" x14ac:dyDescent="0.25">
      <c r="A67" s="3" t="s">
        <v>5</v>
      </c>
      <c r="B67" s="12" t="s">
        <v>97</v>
      </c>
      <c r="C67" s="25" t="s">
        <v>112</v>
      </c>
      <c r="D67" s="10" t="s">
        <v>52</v>
      </c>
      <c r="E67" s="3" t="s">
        <v>140</v>
      </c>
      <c r="F67" s="16"/>
      <c r="G67" s="2">
        <v>1240</v>
      </c>
      <c r="H67" s="20"/>
      <c r="I67" s="27"/>
      <c r="J67" s="27">
        <v>1933</v>
      </c>
      <c r="K67" s="23" t="s">
        <v>93</v>
      </c>
      <c r="L67" s="21"/>
      <c r="M67" s="21"/>
      <c r="N67" s="21"/>
      <c r="O67" s="20">
        <f>ROUNDDOWN(250/Info[[#This Row],[Helium Capacity]],2)</f>
        <v>0.2</v>
      </c>
      <c r="P67" s="76"/>
    </row>
    <row r="68" spans="1:36" s="1" customFormat="1" x14ac:dyDescent="0.25">
      <c r="A68" s="3" t="s">
        <v>5</v>
      </c>
      <c r="B68" s="12" t="s">
        <v>98</v>
      </c>
      <c r="C68" s="25" t="s">
        <v>112</v>
      </c>
      <c r="D68" s="10" t="s">
        <v>52</v>
      </c>
      <c r="E68" s="3" t="s">
        <v>140</v>
      </c>
      <c r="F68" s="16"/>
      <c r="G68" s="2">
        <v>1328</v>
      </c>
      <c r="H68" s="20"/>
      <c r="I68" s="27"/>
      <c r="J68" s="27">
        <v>2072</v>
      </c>
      <c r="K68" s="23" t="s">
        <v>93</v>
      </c>
      <c r="L68" s="21"/>
      <c r="M68" s="21"/>
      <c r="N68" s="21"/>
      <c r="O68" s="20">
        <f>ROUNDDOWN(250/Info[[#This Row],[Helium Capacity]],2)</f>
        <v>0.18</v>
      </c>
      <c r="P68" s="76"/>
    </row>
    <row r="69" spans="1:36" s="1" customFormat="1" ht="30" x14ac:dyDescent="0.25">
      <c r="A69" s="3" t="s">
        <v>5</v>
      </c>
      <c r="B69" s="12" t="s">
        <v>43</v>
      </c>
      <c r="C69" s="25" t="s">
        <v>109</v>
      </c>
      <c r="D69" s="10" t="s">
        <v>52</v>
      </c>
      <c r="E69" s="3" t="s">
        <v>42</v>
      </c>
      <c r="F69" s="14"/>
      <c r="G69" s="2">
        <v>1422</v>
      </c>
      <c r="H69" s="21"/>
      <c r="I69" s="22"/>
      <c r="J69" s="22">
        <v>2218</v>
      </c>
      <c r="K69" s="23" t="s">
        <v>93</v>
      </c>
      <c r="L69" s="21">
        <v>0.5</v>
      </c>
      <c r="M69" s="21"/>
      <c r="N69" s="21"/>
      <c r="O69" s="21">
        <f>ROUNDDOWN(250/Info[[#This Row],[Helium Capacity]],2)</f>
        <v>0.17</v>
      </c>
      <c r="P69" s="73" t="s">
        <v>75</v>
      </c>
    </row>
    <row r="70" spans="1:36" s="1" customFormat="1" x14ac:dyDescent="0.25">
      <c r="A70" s="3" t="s">
        <v>5</v>
      </c>
      <c r="B70" s="12" t="s">
        <v>46</v>
      </c>
      <c r="C70" s="25" t="s">
        <v>113</v>
      </c>
      <c r="D70" s="10" t="s">
        <v>52</v>
      </c>
      <c r="E70" s="3" t="s">
        <v>30</v>
      </c>
      <c r="F70" s="15">
        <v>2.5000000000000001E-2</v>
      </c>
      <c r="G70" s="2">
        <v>1200</v>
      </c>
      <c r="H70" s="21" t="s">
        <v>228</v>
      </c>
      <c r="I70" s="22"/>
      <c r="J70" s="22">
        <v>2019</v>
      </c>
      <c r="K70" s="23" t="s">
        <v>93</v>
      </c>
      <c r="L70" s="21">
        <v>0.35</v>
      </c>
      <c r="M70" s="21"/>
      <c r="N70" s="21"/>
      <c r="O70" s="21">
        <f>ROUNDDOWN(250/Info[[#This Row],[Helium Capacity]],2)</f>
        <v>0.2</v>
      </c>
      <c r="P70" s="72" t="s">
        <v>230</v>
      </c>
    </row>
    <row r="71" spans="1:36" s="1" customFormat="1" x14ac:dyDescent="0.25">
      <c r="A71" s="2" t="s">
        <v>5</v>
      </c>
      <c r="B71" s="13" t="s">
        <v>145</v>
      </c>
      <c r="C71" s="25" t="s">
        <v>113</v>
      </c>
      <c r="D71" s="10" t="s">
        <v>52</v>
      </c>
      <c r="E71" s="3" t="s">
        <v>146</v>
      </c>
      <c r="F71" s="17"/>
      <c r="G71" s="2">
        <v>1035</v>
      </c>
      <c r="H71" s="21"/>
      <c r="I71" s="22"/>
      <c r="J71" s="22">
        <v>1615</v>
      </c>
      <c r="K71" s="23" t="s">
        <v>93</v>
      </c>
      <c r="L71" s="21"/>
      <c r="M71" s="21"/>
      <c r="N71" s="21"/>
      <c r="O71" s="21">
        <f>ROUNDDOWN(250/Info[[#This Row],[Helium Capacity]],2)</f>
        <v>0.24</v>
      </c>
      <c r="P71" s="76"/>
    </row>
    <row r="72" spans="1:36" s="96" customFormat="1" ht="15" customHeight="1" x14ac:dyDescent="0.25">
      <c r="A72" s="87" t="s">
        <v>5</v>
      </c>
      <c r="B72" s="88" t="s">
        <v>39</v>
      </c>
      <c r="C72" s="88" t="s">
        <v>109</v>
      </c>
      <c r="D72" s="89" t="s">
        <v>52</v>
      </c>
      <c r="E72" s="88" t="s">
        <v>14</v>
      </c>
      <c r="F72" s="90">
        <v>0.02</v>
      </c>
      <c r="G72" s="91">
        <v>1304</v>
      </c>
      <c r="H72" s="92" t="s">
        <v>228</v>
      </c>
      <c r="I72" s="93">
        <f>Info[[#This Row],[Helium Capacity]]*Info[[#This Row],[Allowable Boiloff /wk]]*52</f>
        <v>1356.16</v>
      </c>
      <c r="J72" s="93">
        <v>2235</v>
      </c>
      <c r="K72" s="94" t="s">
        <v>93</v>
      </c>
      <c r="L72" s="95">
        <v>0.5</v>
      </c>
      <c r="M72" s="95"/>
      <c r="N72" s="95"/>
      <c r="O72" s="95">
        <v>0.14000000000000001</v>
      </c>
      <c r="P72" s="77" t="s">
        <v>232</v>
      </c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</row>
    <row r="73" spans="1:36" s="1" customFormat="1" x14ac:dyDescent="0.25">
      <c r="A73" s="3" t="s">
        <v>5</v>
      </c>
      <c r="B73" s="12" t="s">
        <v>94</v>
      </c>
      <c r="C73" s="25" t="s">
        <v>113</v>
      </c>
      <c r="D73" s="10" t="s">
        <v>52</v>
      </c>
      <c r="E73" s="3" t="s">
        <v>95</v>
      </c>
      <c r="F73" s="14"/>
      <c r="G73" s="27">
        <v>691</v>
      </c>
      <c r="H73" s="20"/>
      <c r="I73" s="27"/>
      <c r="J73" s="27"/>
      <c r="K73" s="23" t="s">
        <v>93</v>
      </c>
      <c r="L73" s="21"/>
      <c r="M73" s="21"/>
      <c r="N73" s="21"/>
      <c r="O73" s="20">
        <f>ROUNDDOWN(250/Info[[#This Row],[Helium Capacity]],2)</f>
        <v>0.36</v>
      </c>
      <c r="P73" s="71"/>
    </row>
    <row r="74" spans="1:36" s="1" customFormat="1" x14ac:dyDescent="0.25">
      <c r="A74" s="2" t="s">
        <v>5</v>
      </c>
      <c r="B74" s="13" t="s">
        <v>138</v>
      </c>
      <c r="C74" s="25" t="s">
        <v>109</v>
      </c>
      <c r="D74" s="28"/>
      <c r="E74" s="3" t="s">
        <v>139</v>
      </c>
      <c r="F74" s="14"/>
      <c r="G74" s="27">
        <v>1254</v>
      </c>
      <c r="H74" s="21"/>
      <c r="I74" s="22"/>
      <c r="J74" s="22"/>
      <c r="K74" s="23" t="s">
        <v>93</v>
      </c>
      <c r="L74" s="21"/>
      <c r="M74" s="21"/>
      <c r="N74" s="21"/>
      <c r="O74" s="21">
        <f>ROUNDDOWN(250/Info[[#This Row],[Helium Capacity]],2)</f>
        <v>0.19</v>
      </c>
      <c r="P74" s="71"/>
    </row>
    <row r="75" spans="1:36" s="1" customFormat="1" ht="30" x14ac:dyDescent="0.25">
      <c r="A75" s="3" t="s">
        <v>5</v>
      </c>
      <c r="B75" s="12" t="s">
        <v>49</v>
      </c>
      <c r="C75" s="25" t="s">
        <v>113</v>
      </c>
      <c r="D75" s="10" t="s">
        <v>52</v>
      </c>
      <c r="E75" s="3" t="s">
        <v>48</v>
      </c>
      <c r="F75" s="14">
        <v>5.0000000000000001E-3</v>
      </c>
      <c r="G75" s="27">
        <f>1350/0.95</f>
        <v>1421.0526315789475</v>
      </c>
      <c r="H75" s="21"/>
      <c r="I75" s="22">
        <v>0</v>
      </c>
      <c r="J75" s="22">
        <v>0</v>
      </c>
      <c r="K75" s="23" t="s">
        <v>93</v>
      </c>
      <c r="L75" s="21">
        <v>0.5</v>
      </c>
      <c r="M75" s="21"/>
      <c r="N75" s="21"/>
      <c r="O75" s="21">
        <f>ROUNDDOWN(250/Info[[#This Row],[Helium Capacity]],2)</f>
        <v>0.17</v>
      </c>
      <c r="P75" s="73" t="s">
        <v>81</v>
      </c>
    </row>
    <row r="76" spans="1:36" s="1" customFormat="1" ht="30" x14ac:dyDescent="0.25">
      <c r="A76" s="3" t="s">
        <v>5</v>
      </c>
      <c r="B76" s="12" t="s">
        <v>45</v>
      </c>
      <c r="C76" s="25" t="s">
        <v>109</v>
      </c>
      <c r="D76" s="10" t="s">
        <v>52</v>
      </c>
      <c r="E76" s="3" t="s">
        <v>31</v>
      </c>
      <c r="F76" s="14">
        <v>5.0000000000000001E-3</v>
      </c>
      <c r="G76" s="2">
        <v>1820</v>
      </c>
      <c r="H76" s="20" t="s">
        <v>228</v>
      </c>
      <c r="I76" s="22">
        <v>0</v>
      </c>
      <c r="J76" s="22">
        <v>0</v>
      </c>
      <c r="K76" s="23" t="s">
        <v>93</v>
      </c>
      <c r="L76" s="21">
        <v>0.5</v>
      </c>
      <c r="M76" s="21"/>
      <c r="N76" s="21"/>
      <c r="O76" s="21">
        <f>ROUNDDOWN(250/Info[[#This Row],[Helium Capacity]],2)</f>
        <v>0.13</v>
      </c>
      <c r="P76" s="73" t="s">
        <v>75</v>
      </c>
    </row>
    <row r="77" spans="1:36" s="1" customFormat="1" ht="30" x14ac:dyDescent="0.25">
      <c r="A77" s="3" t="s">
        <v>5</v>
      </c>
      <c r="B77" s="12" t="s">
        <v>51</v>
      </c>
      <c r="C77" s="25" t="s">
        <v>113</v>
      </c>
      <c r="D77" s="10" t="s">
        <v>52</v>
      </c>
      <c r="E77" s="3" t="s">
        <v>47</v>
      </c>
      <c r="F77" s="14">
        <v>5.0000000000000001E-3</v>
      </c>
      <c r="G77" s="2">
        <v>1190</v>
      </c>
      <c r="H77" s="21"/>
      <c r="I77" s="22">
        <v>0</v>
      </c>
      <c r="J77" s="22">
        <v>0</v>
      </c>
      <c r="K77" s="23" t="s">
        <v>93</v>
      </c>
      <c r="L77" s="21">
        <v>0.5</v>
      </c>
      <c r="M77" s="21"/>
      <c r="N77" s="21"/>
      <c r="O77" s="21">
        <f>ROUNDDOWN(250/Info[[#This Row],[Helium Capacity]],2)</f>
        <v>0.21</v>
      </c>
      <c r="P77" s="73" t="s">
        <v>75</v>
      </c>
    </row>
    <row r="78" spans="1:36" s="1" customFormat="1" x14ac:dyDescent="0.25">
      <c r="A78" s="2" t="s">
        <v>37</v>
      </c>
      <c r="B78" s="13" t="s">
        <v>160</v>
      </c>
      <c r="C78" s="25" t="s">
        <v>111</v>
      </c>
      <c r="D78" s="25"/>
      <c r="E78" s="3" t="s">
        <v>161</v>
      </c>
      <c r="F78" s="8"/>
      <c r="G78" s="2">
        <v>459</v>
      </c>
      <c r="H78" s="21"/>
      <c r="I78" s="22"/>
      <c r="J78" s="22"/>
      <c r="K78" s="23"/>
      <c r="L78" s="21"/>
      <c r="M78" s="21"/>
      <c r="N78" s="21"/>
      <c r="O78" s="21">
        <f>ROUNDDOWN(250/Info[[#This Row],[Helium Capacity]],2)</f>
        <v>0.54</v>
      </c>
      <c r="P78" s="71"/>
    </row>
    <row r="79" spans="1:36" s="1" customFormat="1" x14ac:dyDescent="0.25">
      <c r="A79" s="3" t="s">
        <v>37</v>
      </c>
      <c r="B79" s="12" t="s">
        <v>58</v>
      </c>
      <c r="C79" s="25" t="s">
        <v>121</v>
      </c>
      <c r="D79" s="3"/>
      <c r="E79" s="3" t="s">
        <v>58</v>
      </c>
      <c r="F79" s="29" t="s">
        <v>194</v>
      </c>
      <c r="G79" s="29" t="s">
        <v>194</v>
      </c>
      <c r="H79" s="29" t="s">
        <v>16</v>
      </c>
      <c r="I79" s="29" t="s">
        <v>194</v>
      </c>
      <c r="J79" s="29" t="s">
        <v>194</v>
      </c>
      <c r="K79" s="29" t="s">
        <v>194</v>
      </c>
      <c r="L79" s="29" t="s">
        <v>194</v>
      </c>
      <c r="M79" s="29" t="s">
        <v>194</v>
      </c>
      <c r="N79" s="29" t="s">
        <v>194</v>
      </c>
      <c r="O79" s="29" t="s">
        <v>194</v>
      </c>
      <c r="P79" s="73"/>
    </row>
    <row r="80" spans="1:36" s="1" customFormat="1" x14ac:dyDescent="0.25">
      <c r="A80" s="3" t="s">
        <v>37</v>
      </c>
      <c r="B80" s="12" t="s">
        <v>155</v>
      </c>
      <c r="C80" s="25" t="s">
        <v>109</v>
      </c>
      <c r="D80" s="3"/>
      <c r="E80" s="3" t="s">
        <v>154</v>
      </c>
      <c r="F80" s="9"/>
      <c r="G80" s="2">
        <v>1211</v>
      </c>
      <c r="H80" s="21"/>
      <c r="I80" s="27"/>
      <c r="J80" s="27"/>
      <c r="K80" s="75"/>
      <c r="L80" s="21"/>
      <c r="M80" s="21"/>
      <c r="N80" s="21"/>
      <c r="O80" s="21">
        <f>ROUNDDOWN(250/Info[[#This Row],[Helium Capacity]],2)</f>
        <v>0.2</v>
      </c>
      <c r="P80" s="73"/>
    </row>
    <row r="81" spans="1:18" s="1" customFormat="1" ht="30" x14ac:dyDescent="0.25">
      <c r="A81" s="3" t="s">
        <v>37</v>
      </c>
      <c r="B81" s="12" t="s">
        <v>56</v>
      </c>
      <c r="C81" s="25" t="s">
        <v>109</v>
      </c>
      <c r="D81" s="2"/>
      <c r="E81" s="3" t="s">
        <v>156</v>
      </c>
      <c r="F81" s="8">
        <v>0.01</v>
      </c>
      <c r="G81" s="2">
        <v>1640</v>
      </c>
      <c r="H81" s="20" t="s">
        <v>228</v>
      </c>
      <c r="I81" s="22">
        <v>2235</v>
      </c>
      <c r="J81" s="22"/>
      <c r="K81" s="23" t="s">
        <v>96</v>
      </c>
      <c r="L81" s="21"/>
      <c r="M81" s="21"/>
      <c r="N81" s="21"/>
      <c r="O81" s="21">
        <f>ROUNDDOWN(250/Info[[#This Row],[Helium Capacity]],2)</f>
        <v>0.15</v>
      </c>
      <c r="P81" s="73"/>
    </row>
    <row r="82" spans="1:18" s="1" customFormat="1" x14ac:dyDescent="0.25">
      <c r="A82" s="3" t="s">
        <v>37</v>
      </c>
      <c r="B82" s="12" t="s">
        <v>50</v>
      </c>
      <c r="C82" s="25" t="s">
        <v>113</v>
      </c>
      <c r="D82" s="3"/>
      <c r="E82" s="3" t="s">
        <v>50</v>
      </c>
      <c r="F82" s="9">
        <v>0.01</v>
      </c>
      <c r="G82" s="2">
        <v>1500</v>
      </c>
      <c r="H82" s="21"/>
      <c r="I82" s="22"/>
      <c r="J82" s="22">
        <v>2340</v>
      </c>
      <c r="K82" s="23" t="s">
        <v>96</v>
      </c>
      <c r="L82" s="21"/>
      <c r="M82" s="21"/>
      <c r="N82" s="21"/>
      <c r="O82" s="21">
        <f>ROUNDDOWN(250/Info[[#This Row],[Helium Capacity]],2)</f>
        <v>0.16</v>
      </c>
      <c r="P82" s="73"/>
    </row>
    <row r="83" spans="1:18" x14ac:dyDescent="0.25">
      <c r="A83" s="2" t="s">
        <v>37</v>
      </c>
      <c r="B83" s="13" t="s">
        <v>158</v>
      </c>
      <c r="C83" s="25" t="s">
        <v>109</v>
      </c>
      <c r="D83" s="25"/>
      <c r="E83" s="3" t="s">
        <v>159</v>
      </c>
      <c r="F83" s="8"/>
      <c r="G83" s="2">
        <v>1255</v>
      </c>
      <c r="H83" s="21"/>
      <c r="I83" s="22"/>
      <c r="J83" s="22"/>
      <c r="K83" s="23"/>
      <c r="L83" s="21"/>
      <c r="M83" s="21"/>
      <c r="N83" s="21"/>
      <c r="O83" s="21">
        <f>ROUNDDOWN(250/Info[[#This Row],[Helium Capacity]],2)</f>
        <v>0.19</v>
      </c>
      <c r="P83" s="71"/>
      <c r="Q83"/>
      <c r="R83"/>
    </row>
    <row r="84" spans="1:18" x14ac:dyDescent="0.25">
      <c r="A84" s="2" t="s">
        <v>195</v>
      </c>
      <c r="B84" s="13"/>
      <c r="C84" s="25" t="s">
        <v>113</v>
      </c>
      <c r="D84" s="25"/>
      <c r="E84" s="3" t="s">
        <v>196</v>
      </c>
      <c r="F84" s="8"/>
      <c r="G84" s="2"/>
      <c r="H84" s="21"/>
      <c r="I84" s="22"/>
      <c r="J84" s="22"/>
      <c r="K84" s="75"/>
      <c r="L84" s="21"/>
      <c r="M84" s="21"/>
      <c r="N84" s="21"/>
      <c r="O84" s="21"/>
      <c r="P84" s="21"/>
      <c r="Q84" s="18"/>
      <c r="R84"/>
    </row>
    <row r="85" spans="1:18" x14ac:dyDescent="0.25">
      <c r="A85" s="2" t="s">
        <v>195</v>
      </c>
      <c r="B85" s="13"/>
      <c r="C85" s="25" t="s">
        <v>113</v>
      </c>
      <c r="D85" s="25"/>
      <c r="E85" s="3" t="s">
        <v>197</v>
      </c>
      <c r="F85" s="8"/>
      <c r="G85" s="2"/>
      <c r="H85" s="21"/>
      <c r="I85" s="22"/>
      <c r="J85" s="22"/>
      <c r="K85" s="75"/>
      <c r="L85" s="21"/>
      <c r="M85" s="21"/>
      <c r="N85" s="21"/>
      <c r="O85" s="21"/>
      <c r="P85" s="21"/>
      <c r="Q85" s="18"/>
      <c r="R85"/>
    </row>
    <row r="86" spans="1:18" x14ac:dyDescent="0.25">
      <c r="A86" s="2" t="s">
        <v>195</v>
      </c>
      <c r="B86" s="13"/>
      <c r="C86" s="25" t="s">
        <v>109</v>
      </c>
      <c r="D86" s="25"/>
      <c r="E86" s="3" t="s">
        <v>198</v>
      </c>
      <c r="F86" s="8"/>
      <c r="G86" s="2"/>
      <c r="H86" s="21"/>
      <c r="I86" s="22"/>
      <c r="J86" s="22"/>
      <c r="K86" s="75"/>
      <c r="L86" s="21"/>
      <c r="M86" s="21"/>
      <c r="N86" s="21"/>
      <c r="O86" s="21"/>
      <c r="P86" s="21"/>
      <c r="Q86" s="18"/>
      <c r="R86"/>
    </row>
  </sheetData>
  <sortState ref="B2:B24">
    <sortCondition ref="B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H27"/>
  <sheetViews>
    <sheetView showGridLines="0" workbookViewId="0">
      <selection activeCell="J18" sqref="J18"/>
    </sheetView>
  </sheetViews>
  <sheetFormatPr defaultRowHeight="15" x14ac:dyDescent="0.25"/>
  <cols>
    <col min="1" max="1" width="5.28515625" style="1" customWidth="1"/>
    <col min="2" max="5" width="14.42578125" customWidth="1"/>
    <col min="7" max="7" width="11.42578125" customWidth="1"/>
    <col min="10" max="11" width="11" customWidth="1"/>
  </cols>
  <sheetData>
    <row r="1" spans="2:5" s="1" customFormat="1" ht="21" x14ac:dyDescent="0.35">
      <c r="B1" s="98" t="s">
        <v>207</v>
      </c>
      <c r="C1" s="98"/>
      <c r="D1" s="98"/>
      <c r="E1" s="98"/>
    </row>
    <row r="2" spans="2:5" s="1" customFormat="1" x14ac:dyDescent="0.25">
      <c r="B2" s="99" t="s">
        <v>208</v>
      </c>
      <c r="C2" s="99"/>
      <c r="D2" s="99"/>
      <c r="E2" s="99"/>
    </row>
    <row r="3" spans="2:5" s="1" customFormat="1" ht="15.75" thickBot="1" x14ac:dyDescent="0.3"/>
    <row r="4" spans="2:5" ht="19.5" thickBot="1" x14ac:dyDescent="0.35">
      <c r="B4" s="108" t="s">
        <v>199</v>
      </c>
      <c r="C4" s="109"/>
      <c r="D4" s="109"/>
      <c r="E4" s="110"/>
    </row>
    <row r="5" spans="2:5" s="31" customFormat="1" ht="22.5" customHeight="1" thickBot="1" x14ac:dyDescent="0.3">
      <c r="B5" s="78" t="s">
        <v>209</v>
      </c>
      <c r="C5" s="79" t="s">
        <v>210</v>
      </c>
      <c r="D5" s="79" t="s">
        <v>211</v>
      </c>
      <c r="E5" s="80" t="s">
        <v>226</v>
      </c>
    </row>
    <row r="6" spans="2:5" s="31" customFormat="1" ht="22.5" customHeight="1" thickBot="1" x14ac:dyDescent="0.3">
      <c r="B6" s="70">
        <v>1.35</v>
      </c>
      <c r="C6" s="49">
        <f>B6+14.7</f>
        <v>16.05</v>
      </c>
      <c r="D6" s="81">
        <f>B6*68.948</f>
        <v>93.079799999999992</v>
      </c>
      <c r="E6" s="82">
        <f>B6/145.03773800722</f>
        <v>9.3079223279998805E-3</v>
      </c>
    </row>
    <row r="7" spans="2:5" s="31" customFormat="1" ht="22.5" customHeight="1" thickBot="1" x14ac:dyDescent="0.3">
      <c r="B7" s="50">
        <f>C7-14.7</f>
        <v>0.60000000000000142</v>
      </c>
      <c r="C7" s="83">
        <v>15.3</v>
      </c>
      <c r="D7" s="81">
        <f>(C7-14.7)*68.948</f>
        <v>41.368800000000093</v>
      </c>
      <c r="E7" s="82">
        <f>(C7-14.7)/145.03773800722</f>
        <v>4.1368543679999566E-3</v>
      </c>
    </row>
    <row r="8" spans="2:5" s="31" customFormat="1" ht="22.5" customHeight="1" thickBot="1" x14ac:dyDescent="0.3">
      <c r="B8" s="50">
        <f>D8/68.948</f>
        <v>5.8014735742878694</v>
      </c>
      <c r="C8" s="49">
        <f>(D8/68.948)+14.7</f>
        <v>20.501473574287868</v>
      </c>
      <c r="D8" s="84">
        <v>400</v>
      </c>
      <c r="E8" s="82">
        <f>D8/10000</f>
        <v>0.04</v>
      </c>
    </row>
    <row r="9" spans="2:5" s="31" customFormat="1" ht="22.5" customHeight="1" thickBot="1" x14ac:dyDescent="0.3">
      <c r="B9" s="50">
        <f>(E9/68.948*10000)</f>
        <v>29.007367871439353</v>
      </c>
      <c r="C9" s="49">
        <f>(E9/68.948*10000)+14.7</f>
        <v>43.707367871439352</v>
      </c>
      <c r="D9" s="85">
        <f>E9*10000</f>
        <v>2000</v>
      </c>
      <c r="E9" s="86">
        <v>0.2</v>
      </c>
    </row>
    <row r="10" spans="2:5" s="1" customFormat="1" ht="15.75" thickBot="1" x14ac:dyDescent="0.3"/>
    <row r="11" spans="2:5" ht="19.5" thickBot="1" x14ac:dyDescent="0.35">
      <c r="B11" s="105" t="s">
        <v>200</v>
      </c>
      <c r="C11" s="106"/>
    </row>
    <row r="12" spans="2:5" ht="22.5" customHeight="1" thickBot="1" x14ac:dyDescent="0.3">
      <c r="B12" s="58" t="s">
        <v>201</v>
      </c>
      <c r="C12" s="59" t="s">
        <v>202</v>
      </c>
    </row>
    <row r="13" spans="2:5" ht="22.5" customHeight="1" thickBot="1" x14ac:dyDescent="0.3">
      <c r="B13" s="69">
        <v>1.5</v>
      </c>
      <c r="C13" s="48">
        <f>B13*3.7854118</f>
        <v>5.6781176999999996</v>
      </c>
    </row>
    <row r="14" spans="2:5" ht="22.5" customHeight="1" thickBot="1" x14ac:dyDescent="0.3">
      <c r="B14" s="47">
        <f>C14/3.7854118</f>
        <v>1.1095226152145456</v>
      </c>
      <c r="C14" s="68">
        <v>4.2</v>
      </c>
    </row>
    <row r="15" spans="2:5" ht="15.75" thickBot="1" x14ac:dyDescent="0.3"/>
    <row r="16" spans="2:5" ht="19.5" thickBot="1" x14ac:dyDescent="0.35">
      <c r="B16" s="105" t="s">
        <v>206</v>
      </c>
      <c r="C16" s="107"/>
      <c r="D16" s="107"/>
      <c r="E16" s="106"/>
    </row>
    <row r="17" spans="2:8" s="30" customFormat="1" ht="35.25" customHeight="1" thickBot="1" x14ac:dyDescent="0.3">
      <c r="B17" s="51" t="s">
        <v>0</v>
      </c>
      <c r="C17" s="52" t="s">
        <v>205</v>
      </c>
      <c r="D17" s="52" t="s">
        <v>203</v>
      </c>
      <c r="E17" s="53" t="s">
        <v>204</v>
      </c>
    </row>
    <row r="18" spans="2:8" ht="22.5" customHeight="1" thickBot="1" x14ac:dyDescent="0.3">
      <c r="B18" s="67" t="s">
        <v>231</v>
      </c>
      <c r="C18" s="44">
        <f>IF(Table3[[#This Row],[Magnet Model]]=0,"0",INDEX(Info[Helium Capacity],MATCH(Table3[[#This Row],[Magnet Model]],Info[Magnet Models],0)))</f>
        <v>1460</v>
      </c>
      <c r="D18" s="65">
        <v>0.187</v>
      </c>
      <c r="E18" s="46">
        <f>Table3[[#This Row],[%]]*Table3[[#This Row],[Magnet Capacity]]</f>
        <v>273.02</v>
      </c>
    </row>
    <row r="19" spans="2:8" ht="22.5" customHeight="1" thickBot="1" x14ac:dyDescent="0.3">
      <c r="B19" s="66" t="s">
        <v>46</v>
      </c>
      <c r="C19" s="43">
        <f>IF(Table3[[#This Row],[Magnet Model]]=0,"0",INDEX(Info[Helium Capacity],MATCH(Table3[[#This Row],[Magnet Model]],Info[Magnet Models],0)))</f>
        <v>1200</v>
      </c>
      <c r="D19" s="45">
        <f>Table3[[#This Row],[Liters]]/Table3[[#This Row],[Magnet Capacity]]</f>
        <v>0.41666666666666669</v>
      </c>
      <c r="E19" s="64">
        <v>500</v>
      </c>
      <c r="G19" s="33" t="s">
        <v>225</v>
      </c>
      <c r="H19" s="33" t="s">
        <v>216</v>
      </c>
    </row>
    <row r="20" spans="2:8" ht="15.75" thickBot="1" x14ac:dyDescent="0.3">
      <c r="G20" s="33" t="s">
        <v>218</v>
      </c>
      <c r="H20" s="33">
        <v>4257.6000000000004</v>
      </c>
    </row>
    <row r="21" spans="2:8" ht="22.5" customHeight="1" thickBot="1" x14ac:dyDescent="0.3">
      <c r="B21" s="100" t="s">
        <v>212</v>
      </c>
      <c r="C21" s="101"/>
      <c r="D21" s="101"/>
      <c r="E21" s="102"/>
      <c r="G21" s="33" t="s">
        <v>219</v>
      </c>
      <c r="H21" s="33">
        <v>3243</v>
      </c>
    </row>
    <row r="22" spans="2:8" s="32" customFormat="1" ht="22.5" customHeight="1" thickBot="1" x14ac:dyDescent="0.3">
      <c r="B22" s="103" t="s">
        <v>225</v>
      </c>
      <c r="C22" s="104"/>
      <c r="D22" s="63" t="s">
        <v>218</v>
      </c>
      <c r="E22" s="57">
        <f>INDEX(Nuclei[Factor],MATCH(D22,Nuclei[Nuclei],0))</f>
        <v>4257.6000000000004</v>
      </c>
      <c r="G22" s="33" t="s">
        <v>224</v>
      </c>
      <c r="H22" s="33">
        <v>1071</v>
      </c>
    </row>
    <row r="23" spans="2:8" s="31" customFormat="1" ht="30" customHeight="1" thickBot="1" x14ac:dyDescent="0.3">
      <c r="B23" s="54" t="s">
        <v>213</v>
      </c>
      <c r="C23" s="55" t="s">
        <v>214</v>
      </c>
      <c r="D23" s="55" t="s">
        <v>217</v>
      </c>
      <c r="E23" s="56" t="s">
        <v>215</v>
      </c>
      <c r="G23" s="33" t="s">
        <v>220</v>
      </c>
      <c r="H23" s="33">
        <v>1126</v>
      </c>
    </row>
    <row r="24" spans="2:8" ht="22.5" customHeight="1" thickBot="1" x14ac:dyDescent="0.3">
      <c r="B24" s="62">
        <v>1.5</v>
      </c>
      <c r="C24" s="34">
        <f>B24*10000</f>
        <v>15000</v>
      </c>
      <c r="D24" s="35">
        <f>B24*E22*10000</f>
        <v>63864000.000000007</v>
      </c>
      <c r="E24" s="36">
        <f>D24/1000000</f>
        <v>63.864000000000004</v>
      </c>
      <c r="G24" s="33" t="s">
        <v>221</v>
      </c>
      <c r="H24" s="33">
        <v>4006</v>
      </c>
    </row>
    <row r="25" spans="2:8" ht="22.5" customHeight="1" thickBot="1" x14ac:dyDescent="0.3">
      <c r="B25" s="42">
        <f>C25/10000</f>
        <v>5.0000000000000001E-4</v>
      </c>
      <c r="C25" s="61">
        <v>5</v>
      </c>
      <c r="D25" s="37">
        <f>C25*E22</f>
        <v>21288</v>
      </c>
      <c r="E25" s="38">
        <f>D25/1000000</f>
        <v>2.1288000000000001E-2</v>
      </c>
      <c r="G25" s="33" t="s">
        <v>222</v>
      </c>
      <c r="H25" s="33">
        <v>1724</v>
      </c>
    </row>
    <row r="26" spans="2:8" ht="22.5" customHeight="1" thickBot="1" x14ac:dyDescent="0.3">
      <c r="B26" s="41">
        <f>D26/E22/10000</f>
        <v>0.37579857196542649</v>
      </c>
      <c r="C26" s="40">
        <f>D26/E22</f>
        <v>3757.9857196542648</v>
      </c>
      <c r="D26" s="60">
        <v>16000000</v>
      </c>
      <c r="E26" s="39">
        <f>D26/1000000</f>
        <v>16</v>
      </c>
      <c r="G26" s="33" t="s">
        <v>223</v>
      </c>
      <c r="H26" s="33">
        <v>1178</v>
      </c>
    </row>
    <row r="27" spans="2:8" ht="22.5" customHeight="1" x14ac:dyDescent="0.25"/>
  </sheetData>
  <mergeCells count="7">
    <mergeCell ref="B1:E1"/>
    <mergeCell ref="B2:E2"/>
    <mergeCell ref="B21:E21"/>
    <mergeCell ref="B22:C22"/>
    <mergeCell ref="B11:C11"/>
    <mergeCell ref="B16:E16"/>
    <mergeCell ref="B4:E4"/>
  </mergeCells>
  <dataValidations count="1">
    <dataValidation type="list" allowBlank="1" showInputMessage="1" showErrorMessage="1" sqref="D22" xr:uid="{00000000-0002-0000-0100-000000000000}">
      <formula1>$G$20:$G$26</formula1>
    </dataValidation>
  </dataValidations>
  <pageMargins left="0.7" right="0.7" top="0.75" bottom="0.75" header="0.3" footer="0.3"/>
  <ignoredErrors>
    <ignoredError sqref="E18" calculatedColumn="1"/>
  </ignoredErrors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'Magnet Info'!$B:$B</xm:f>
          </x14:formula1>
          <xm:sqref>B19</xm:sqref>
        </x14:dataValidation>
        <x14:dataValidation type="list" allowBlank="1" showErrorMessage="1" xr:uid="{00000000-0002-0000-0100-000002000000}">
          <x14:formula1>
            <xm:f>'Magnet Info'!$B:$B</xm:f>
          </x14:formula1>
          <xm:sqref>B18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Magnet Info</vt:lpstr>
      <vt:lpstr>Unit Converter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Service</dc:creator>
  <cp:lastModifiedBy>Robert Ellis</cp:lastModifiedBy>
  <dcterms:created xsi:type="dcterms:W3CDTF">2019-10-24T19:58:05Z</dcterms:created>
  <dcterms:modified xsi:type="dcterms:W3CDTF">2023-10-31T18:46:43Z</dcterms:modified>
</cp:coreProperties>
</file>