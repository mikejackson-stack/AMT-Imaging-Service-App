
<file path=[Content_Types].xml><?xml version="1.0" encoding="utf-8"?>
<Types xmlns="http://schemas.openxmlformats.org/package/2006/content-types">
  <Default Extension="bin" ContentType="application/vnd.openxmlformats-officedocument.spreadsheetml.printerSettings"/>
  <Default Extension="docx" ContentType="application/vnd.openxmlformats-officedocument.wordprocessingml.document"/>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C:\1-2024-folders\1-Service Notes and ISERV 2024\2024-3-11 Qin Yu\"/>
    </mc:Choice>
  </mc:AlternateContent>
  <xr:revisionPtr revIDLastSave="0" documentId="13_ncr:1_{BE575CE4-D820-414C-9225-4C6A34456324}" xr6:coauthVersionLast="47" xr6:coauthVersionMax="47" xr10:uidLastSave="{00000000-0000-0000-0000-000000000000}"/>
  <bookViews>
    <workbookView xWindow="-96" yWindow="-96" windowWidth="23232" windowHeight="12552" activeTab="3" xr2:uid="{00000000-000D-0000-FFFF-FFFF00000000}"/>
  </bookViews>
  <sheets>
    <sheet name="Language Policy" sheetId="11" r:id="rId1"/>
    <sheet name="MR SW Matrix (Obsolete)" sheetId="2" state="hidden" r:id="rId2"/>
    <sheet name="Notes" sheetId="4" r:id="rId3"/>
    <sheet name="ePM Form Data" sheetId="17" r:id="rId4"/>
    <sheet name="MR SW Matrix" sheetId="18" r:id="rId5"/>
    <sheet name="Revision History" sheetId="5" r:id="rId6"/>
    <sheet name="Reference Lists" sheetId="1" r:id="rId7"/>
    <sheet name="RegionList" sheetId="16" r:id="rId8"/>
    <sheet name="SW_OS ISO Checksums_sha256" sheetId="12" r:id="rId9"/>
    <sheet name="Rules to fill the sheet" sheetId="6" state="hidden" r:id="rId10"/>
  </sheets>
  <definedNames>
    <definedName name="_xlnm._FilterDatabase" localSheetId="3" hidden="1">'ePM Form Data'!$A$2:$E$8</definedName>
    <definedName name="_xlnm._FilterDatabase" localSheetId="4" hidden="1">'MR SW Matrix'!$A$2:$BC$832</definedName>
    <definedName name="_xlnm._FilterDatabase" localSheetId="1" hidden="1">'MR SW Matrix (Obsolete)'!$A$2:$AF$446</definedName>
    <definedName name="Brivo_MR355_GI">'Reference Lists'!$AH$3:$AH$3</definedName>
    <definedName name="BrivoMR355">Table2847[BrivoMR355]</definedName>
    <definedName name="Contour_Profile">'Reference Lists'!$L$4:$L$5</definedName>
    <definedName name="Contour_Profile_GI">Table8[[#Headers],[Contour Profile]]</definedName>
    <definedName name="DISCOVERY_MR450_GI">'Reference Lists'!$AI$3:$AJ$3</definedName>
    <definedName name="DISCOVERY_MR750_GI">'Reference Lists'!$AN$3:$AO$3</definedName>
    <definedName name="DISCOVERY_MR750w_GI">'Reference Lists'!$AP$3:$AQ$3</definedName>
    <definedName name="Discovery450">Table2959[Discovery450]</definedName>
    <definedName name="DISCOVERY750">'Reference Lists'!$AN$4:$AN$26</definedName>
    <definedName name="Discovery750w">Table3364[Discovery750w]</definedName>
    <definedName name="DISCOVERYMR450">Table29[DiscoveryMR450]</definedName>
    <definedName name="DISCOVERYMR750">Table32[DiscoveryMR750]</definedName>
    <definedName name="DISCOVERYMR750w">Table33[DiscoveryMR750w]</definedName>
    <definedName name="Excite">Table17[Excite]</definedName>
    <definedName name="Excite_GI">Table17[[#Headers],[Excite]]</definedName>
    <definedName name="Excite_OpenSpeed">'Reference Lists'!$Z$4:$Z$5</definedName>
    <definedName name="Excite_OpenSpeed_GI">Table22[[#Headers],[EXCITE OpenSpeed]]</definedName>
    <definedName name="Excite_Ovation">'Reference Lists'!$Y$4:$Y$5</definedName>
    <definedName name="Excite_Ovation_GI">Table21[[#Headers],[Excite Ovation]]</definedName>
    <definedName name="HDe_2">'Reference Lists'!$AC$4:$AC$6</definedName>
    <definedName name="HDe_2_GI">Table25[[#Headers],[HDe 2]]</definedName>
    <definedName name="HFO_5">'Reference Lists'!$X$4:$X$5</definedName>
    <definedName name="HFO_5_GI">Table20[[#Headers],[HFO 5]]</definedName>
    <definedName name="Horizon_3T">'Reference Lists'!$O$4:$O$5</definedName>
    <definedName name="Horizon_3T_GI">Table11[[#Headers],[Horizon 3T]]</definedName>
    <definedName name="Horizon_Open_Speed">'Reference Lists'!$N$4:$N$5</definedName>
    <definedName name="Horizon_Open_Speed_GI">Table10[[#Headers],[Horizon Open Speed]]</definedName>
    <definedName name="OLE_LINK10" localSheetId="4">'MR SW Matrix'!$AZ$559</definedName>
    <definedName name="OLE_LINK27" localSheetId="4">'MR SW Matrix'!$W$155</definedName>
    <definedName name="OLE_LINK28" localSheetId="2">Notes!$B$96</definedName>
    <definedName name="OLE_LINK44" localSheetId="4">'MR SW Matrix'!$W$143</definedName>
    <definedName name="OLE_LINK72" localSheetId="4">'MR SW Matrix'!$W$169</definedName>
    <definedName name="ONI_MSK_Extreme_1.5T">'Reference Lists'!$AT$4:$AT$5</definedName>
    <definedName name="ONI_MSK_Extreme_1.5T_GI">Table36[[#Headers],[ONI MSK Extreme 1.5T]]</definedName>
    <definedName name="ONI_Optima_430s">Table37[ONI Optima 430s]</definedName>
    <definedName name="ONI_Optima_430s_GI">Table37[[#Headers],[ONI Optima 430s]]</definedName>
    <definedName name="ONI_ORTHONE_1.0">'Reference Lists'!$AS$4:$AS$5</definedName>
    <definedName name="ONI_ORTHONE_1.0_GI">Table35[[#Headers],[ONI ORTHONE 1.0]]</definedName>
    <definedName name="Optima_MR360">'Reference Lists'!$BT$4:$BT$26</definedName>
    <definedName name="Optima_MR360_GI">Table282[[#Headers],[OptimaMR360]]</definedName>
    <definedName name="Optima_MR450w_GI">'Reference Lists'!$AK$3:$AM$3</definedName>
    <definedName name="Optima450w">Table3060[Optima450w]</definedName>
    <definedName name="Optima450wGEM">Table31[Optima450wGEM]</definedName>
    <definedName name="OptimaMR360">Table282[OptimaMR360]</definedName>
    <definedName name="OptimaMR360_GI" localSheetId="4">Table282[[#Headers],[OptimaMR360]]</definedName>
    <definedName name="OptimaMR450w">Table30[OptimaMR450w]</definedName>
    <definedName name="Ovation_2">'Reference Lists'!$V$4:$V$5</definedName>
    <definedName name="Ovation_2_GI">Table18[[#Headers],[Ovation 2]]</definedName>
    <definedName name="Ovation_3">'Reference Lists'!$W$4:$W$5</definedName>
    <definedName name="Ovation_3_GI">Table19[[#Headers],[Ovation 3]]</definedName>
    <definedName name="Ovation_5">'Reference Lists'!$T$4:$T$5</definedName>
    <definedName name="Ovation_5_GI">Table16[[#Headers],[Ovation 5]]</definedName>
    <definedName name="Ovation_HD">'Reference Lists'!$AB$4:$AB$5</definedName>
    <definedName name="Ovation_HD_GI">Table24[[#Headers],[Ovation HD]]</definedName>
    <definedName name="Product_Name_on_AboutMR">'Reference Lists'!$F$2:$CA$2</definedName>
    <definedName name="Products">'Reference Lists'!$F$3:$CA$3</definedName>
    <definedName name="Profile_5">'Reference Lists'!$R$4:$R$5</definedName>
    <definedName name="Profile_5_GI">Table14[[#Headers],[Profile 5]]</definedName>
    <definedName name="Profile_HD">'Reference Lists'!$S$4:$S$5</definedName>
    <definedName name="Profile_HD_GI">Table15[[#Headers],[Profile HD]]</definedName>
    <definedName name="Resona_ResonaC_MR_MAX_MR_MaxC">'Reference Lists'!$I$4:$I$5</definedName>
    <definedName name="Resona_ResonaC_MR_MAX_MR_MaxC_GI">Table5[[#Headers],[Resona ResonaC MR MAX MR MaxC]]</definedName>
    <definedName name="Sierra">'Reference Lists'!$K$4:$K$5</definedName>
    <definedName name="Sierra_GI">Table7[[#Headers],[Sierra]]</definedName>
    <definedName name="Signa_1x_2x_3x">'Reference Lists'!$F$4:$F$5</definedName>
    <definedName name="Signa_1x_2x_3x_GI">Table2[[#Headers],[Signa 1x 2x 3x]]</definedName>
    <definedName name="Signa_Advantage">Table3[Signa Advantage]</definedName>
    <definedName name="Signa_Advantage_GI">Table3[[#Headers],[Signa Advantage]]</definedName>
    <definedName name="SIGNA_Architect_GI">'Reference Lists'!$BI$3:$BL$3</definedName>
    <definedName name="SIGNA_Artist_Evo_GI">Table4269[[#Headers],[SignaArtistEvo]]</definedName>
    <definedName name="SIGNA_Artist_GI">'Reference Lists'!$BN$3:$BP$3</definedName>
    <definedName name="SIGNA_Aviator_Air">Table3849356673[[#Headers],[SignaAviatorAir]]</definedName>
    <definedName name="SIGNA_Creator_DL_GI">Table3848573574[[#Headers],[SignaCreatorDL]]</definedName>
    <definedName name="SIGNA_Creator_GI">'Reference Lists'!$AW$3:$AX$3</definedName>
    <definedName name="Signa_E2">'Reference Lists'!$P$4:$P$5</definedName>
    <definedName name="Signa_E2_GI">Table12[[#Headers],[Signa E2]]</definedName>
    <definedName name="SIGNA_Explorer_DL_GI">Table38485761[[#Headers],[SignaExplorerDL]]</definedName>
    <definedName name="SIGNA_Explorer_GI">'Reference Lists'!$AY$3:$BA$3</definedName>
    <definedName name="Signa_G3">'Reference Lists'!$Q$4:$Q$5</definedName>
    <definedName name="Signa_G3_GI">Table13[[#Headers],[Signa G3]]</definedName>
    <definedName name="Signa_HD">Table23[Signa HD]</definedName>
    <definedName name="Signa_HD_GI">Table23[[#Headers],[Signa HD]]</definedName>
    <definedName name="Signa_HDi">Table265051[SignaHDi]</definedName>
    <definedName name="Signa_HDi_GI">Table265051[[#Headers],[SignaHDi]]</definedName>
    <definedName name="Signa_HDx">Table2650[SignaHDx]</definedName>
    <definedName name="Signa_HDx_GI">Table2650[[#Headers],[SignaHDx]]</definedName>
    <definedName name="Signa_HDxt">Table26[SignaHDxt]</definedName>
    <definedName name="Signa_HDxt_3T">Table27[Signa HDxt 3T]</definedName>
    <definedName name="Signa_HDxt_3T_GI" localSheetId="4">Table27[[#Headers],[Signa HDxt 3T]]</definedName>
    <definedName name="Signa_HDxt_GI">'Reference Lists'!$AD$3:$AE$3</definedName>
    <definedName name="SIGNA_Hero_GI">Table3958[[#Headers],[SignaHero]]</definedName>
    <definedName name="Signa_Horizon">Table4[Signa Horizon]</definedName>
    <definedName name="Signa_Horizon_GI">Table4[[#Headers],[Signa Horizon]]</definedName>
    <definedName name="Signa_Lx">Table9[Signa Lx]</definedName>
    <definedName name="Signa_Lx_GI">Table9[[#Headers],[Signa Lx]]</definedName>
    <definedName name="SIGNA_MR355_GI">Table384739[[#Headers],[SignaMR355MR360]]</definedName>
    <definedName name="SIGNA_MR360_GI">Table38473962[[#Headers],[SignaMR355MR360]]</definedName>
    <definedName name="SIGNA_MR380_GI">Table3847394649[[#Headers],[SignaMR380]]</definedName>
    <definedName name="SIGNA_PET_MR_GI">'Reference Lists'!$AR$3:$AR$3</definedName>
    <definedName name="SIGNA_Pioneer_GI">Table39[[#Headers],[SignaPioneer]]</definedName>
    <definedName name="SIGNA_Premier_GI">'Reference Lists'!$BQ$3:$BR$3</definedName>
    <definedName name="SIGNA_Prime_GI">Table3849[[#Headers],[SignaPrime]]</definedName>
    <definedName name="SIGNA_UHP_GI">Table4356[[#Headers],[SignaUHP]]</definedName>
    <definedName name="Signa_Victor_GI">Table3849356675[[#Headers],[SignaVictor]]</definedName>
    <definedName name="SIGNA_Voyager_GI">'Reference Lists'!$BG$3:$BH$3</definedName>
    <definedName name="SignaArchitect">Table4172[SignaArchitect]</definedName>
    <definedName name="SignaArchitectAir">Table41[SignaArchitectAir]</definedName>
    <definedName name="SignaArchitectT">Table4155[SignaArchitectT]</definedName>
    <definedName name="SignaArchitectT_GI" localSheetId="4">Table4155[[#Headers],[SignaArchitectT]]</definedName>
    <definedName name="SignaArchitectXT">Table4148[SignaArchitectXT]</definedName>
    <definedName name="SignaArtist">Table42[SignaArtist]</definedName>
    <definedName name="SignaArtistEvo">Table4269[SignaArtistEvo]</definedName>
    <definedName name="SignaArtistT">'Reference Lists'!$BP$4:$BP$19</definedName>
    <definedName name="SignaArtistXT">Table4246[SignaArtistXT]</definedName>
    <definedName name="SignaAviatorAir">Table3849356673[SignaAviatorAir]</definedName>
    <definedName name="SignaCreator">Table38485767[SignaCreator]</definedName>
    <definedName name="SignaCreatorDL">Table3848573574[SignaCreatorDL]</definedName>
    <definedName name="SignaCreatorExplorer">Table384857[SignaCreatorExplorer]</definedName>
    <definedName name="SignaExplorer">Table3848576768[SignaExplorer]</definedName>
    <definedName name="SignaExplorerCreator">Table3848576171[SignaCreatorExplorer]</definedName>
    <definedName name="SignaExplorerDL">Table38485761[SignaExplorerDL]</definedName>
    <definedName name="SignaExplorerQuantum">'Reference Lists'!$AZ$4:$AZ$40</definedName>
    <definedName name="SignaHDi">Table265051[SignaHDi]</definedName>
    <definedName name="SignaHDi_GI" localSheetId="4">Table265051[[#Headers],[SignaHDi]]</definedName>
    <definedName name="SignaHDx">Table2650[SignaHDx]</definedName>
    <definedName name="SignaHDx_GI" localSheetId="4">Table2650[[#Headers],[SignaHDx]]</definedName>
    <definedName name="SignaHDxt">Table26[SignaHDxt]</definedName>
    <definedName name="SignaHDxt_GI" localSheetId="4">'Reference Lists'!$AD$3:$AE$3</definedName>
    <definedName name="SignaHero">Table3958[SignaHero]</definedName>
    <definedName name="SignaHero_GI" localSheetId="4">Table3958[[#Headers],[SignaHero]]</definedName>
    <definedName name="SignaMR355MR360">Table384739[SignaMR355MR360]</definedName>
    <definedName name="SignaMR355MR360_GI" localSheetId="4">Table384739[[#Headers],[SignaMR355MR360]]</definedName>
    <definedName name="SignaMR380">'Reference Lists'!$CA$4:$CA$51</definedName>
    <definedName name="SignaPETMR">Table3465[SignaPETMR]</definedName>
    <definedName name="SignaPioneer">Table39[SignaPioneer]</definedName>
    <definedName name="SignaPremier">Table43[SignaPremier]</definedName>
    <definedName name="SignaPremier_GI" localSheetId="4">Table43[[#Headers],[SignaPremier]]</definedName>
    <definedName name="SignaPremierXT">Table4353[SignaPremierXT]</definedName>
    <definedName name="SignaPrime">Table3849[SignaPrime]</definedName>
    <definedName name="SignaPrime_GI" localSheetId="4">Table3849[[#Headers],[SignaPrime]]</definedName>
    <definedName name="SignaStarAir">Table38493566[SignaStarAir]</definedName>
    <definedName name="SignaVictor">Table3849356675[SignaVictor]</definedName>
    <definedName name="SignaVoyager">Table40[SignaVoyager]</definedName>
    <definedName name="SignaVoyagerAIR">Table4052[SignaVoyagerAIR]</definedName>
    <definedName name="SignaVoyagerAIR_GI">Table4052[[#Headers],[SignaVoyagerAIR]]</definedName>
    <definedName name="Subregion">RegionList!$B$2:$B$24</definedName>
    <definedName name="TableA">Table2[[#All],[Signa 1x 2x 3x]]</definedName>
    <definedName name="Unique_Product_Name_on_About_MR_Scanner">'Reference Lists'!$E$8:$E$63</definedName>
    <definedName name="Unique_Subregion">RegionList!$E$2:$E$31</definedName>
    <definedName name="Vectra">'Reference Lists'!$J$4:$J$5</definedName>
    <definedName name="Vectra_GI">Table6[[#Headers],[Vectra]]</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E12" i="17" l="1" a="1"/>
  <c r="E12" i="17" s="1"/>
  <c r="C12" i="17" a="1"/>
  <c r="C12" i="17" s="1"/>
  <c r="C11" i="17" l="1" a="1"/>
  <c r="C11" i="17" s="1"/>
  <c r="C13" i="17" a="1"/>
  <c r="C13" i="17" s="1"/>
  <c r="G13" i="18" l="1"/>
  <c r="X13" i="18"/>
  <c r="AM13" i="18"/>
  <c r="G468" i="18"/>
  <c r="X468" i="18"/>
  <c r="AM468" i="18"/>
  <c r="G464" i="18"/>
  <c r="G465" i="18"/>
  <c r="G466" i="18"/>
  <c r="X466" i="18"/>
  <c r="AM466" i="18"/>
  <c r="G306" i="18"/>
  <c r="X306" i="18"/>
  <c r="AM306" i="18"/>
  <c r="G256" i="18"/>
  <c r="X256" i="18"/>
  <c r="AM256" i="18"/>
  <c r="G467" i="18"/>
  <c r="X467" i="18"/>
  <c r="AM467" i="18"/>
  <c r="G406" i="18"/>
  <c r="X406" i="18"/>
  <c r="AM406" i="18"/>
  <c r="G305" i="18"/>
  <c r="X305" i="18"/>
  <c r="AM305" i="18"/>
  <c r="G14" i="18"/>
  <c r="X14" i="18"/>
  <c r="AM14" i="18"/>
  <c r="G307" i="18"/>
  <c r="X307" i="18"/>
  <c r="AM307" i="18"/>
  <c r="G691" i="18"/>
  <c r="X691" i="18"/>
  <c r="AM691" i="18"/>
  <c r="G216" i="18"/>
  <c r="X216" i="18"/>
  <c r="AM216" i="18"/>
  <c r="G217" i="18"/>
  <c r="X217" i="18"/>
  <c r="AM217" i="18"/>
  <c r="G218" i="18"/>
  <c r="X218" i="18"/>
  <c r="AM218" i="18"/>
  <c r="G219" i="18"/>
  <c r="X219" i="18"/>
  <c r="AM219" i="18"/>
  <c r="G215" i="18"/>
  <c r="X215" i="18"/>
  <c r="AM215" i="18"/>
  <c r="G258" i="18"/>
  <c r="X258" i="18"/>
  <c r="AM258" i="18"/>
  <c r="G257" i="18"/>
  <c r="X257" i="18"/>
  <c r="AM257" i="18"/>
  <c r="G212" i="18"/>
  <c r="X212" i="18"/>
  <c r="AM212" i="18"/>
  <c r="G211" i="18"/>
  <c r="X211" i="18"/>
  <c r="AM211" i="18"/>
  <c r="G203" i="18"/>
  <c r="X203" i="18"/>
  <c r="AM203" i="18"/>
  <c r="G202" i="18"/>
  <c r="X202" i="18"/>
  <c r="AM202" i="18"/>
  <c r="G39" i="18"/>
  <c r="X39" i="18"/>
  <c r="AM39" i="18"/>
  <c r="G41" i="18"/>
  <c r="X41" i="18"/>
  <c r="AM41" i="18"/>
  <c r="G687" i="18"/>
  <c r="X687" i="18"/>
  <c r="AM687" i="18"/>
  <c r="G138" i="18"/>
  <c r="X138" i="18"/>
  <c r="AM138" i="18"/>
  <c r="G135" i="18"/>
  <c r="X135" i="18"/>
  <c r="AM135" i="18"/>
  <c r="G134" i="18"/>
  <c r="X134" i="18"/>
  <c r="AM134" i="18"/>
  <c r="G428" i="18"/>
  <c r="G430" i="18"/>
  <c r="X430" i="18"/>
  <c r="G432" i="18"/>
  <c r="G434" i="18"/>
  <c r="G436" i="18"/>
  <c r="G438" i="18"/>
  <c r="X438" i="18"/>
  <c r="AM438" i="18"/>
  <c r="G429" i="18"/>
  <c r="X429" i="18"/>
  <c r="G431" i="18"/>
  <c r="G433" i="18"/>
  <c r="G435" i="18"/>
  <c r="G437" i="18"/>
  <c r="G439" i="18"/>
  <c r="X439" i="18"/>
  <c r="AM439" i="18"/>
  <c r="X323" i="18"/>
  <c r="AM323" i="18"/>
  <c r="X414" i="18"/>
  <c r="AM414" i="18"/>
  <c r="G137" i="18"/>
  <c r="X137" i="18"/>
  <c r="AM137" i="18"/>
  <c r="G136" i="18"/>
  <c r="X136" i="18"/>
  <c r="AM136" i="18"/>
  <c r="G133" i="18"/>
  <c r="X133" i="18"/>
  <c r="AM133" i="18"/>
  <c r="G132" i="18"/>
  <c r="X132" i="18"/>
  <c r="AM132" i="18"/>
  <c r="G131" i="18"/>
  <c r="X131" i="18"/>
  <c r="AM131" i="18"/>
  <c r="G130" i="18"/>
  <c r="X130" i="18"/>
  <c r="AM130" i="18"/>
  <c r="G690" i="18"/>
  <c r="X690" i="18"/>
  <c r="AM690" i="18"/>
  <c r="G660" i="18"/>
  <c r="G688" i="18"/>
  <c r="G689" i="18"/>
  <c r="X689" i="18"/>
  <c r="AM689" i="18"/>
  <c r="G40" i="18"/>
  <c r="X40" i="18"/>
  <c r="AM40" i="18"/>
  <c r="W397" i="2" l="1"/>
  <c r="W207" i="2"/>
  <c r="W192" i="2"/>
  <c r="W178" i="2"/>
  <c r="W177" i="2"/>
  <c r="W176" i="2"/>
  <c r="W175" i="2"/>
  <c r="W174" i="2"/>
  <c r="W173" i="2"/>
  <c r="W172" i="2"/>
  <c r="B71" i="4" l="1"/>
  <c r="B65" i="4" l="1"/>
  <c r="B68" i="4" l="1"/>
  <c r="B63" i="4" l="1"/>
  <c r="B62" i="4"/>
  <c r="B61" i="4"/>
  <c r="B53" i="4" l="1"/>
  <c r="B60" i="4"/>
  <c r="B59" i="4"/>
  <c r="B56" i="4" l="1"/>
  <c r="B55" i="4"/>
  <c r="B54" i="4"/>
  <c r="B52" i="4"/>
  <c r="B67" i="4" s="1"/>
  <c r="B70" i="4" s="1"/>
  <c r="B50" i="4"/>
  <c r="B66" i="4" s="1"/>
  <c r="W128" i="2" l="1"/>
  <c r="W127" i="2"/>
  <c r="W126" i="2"/>
  <c r="W125" i="2"/>
  <c r="W124" i="2"/>
  <c r="W123" i="2"/>
  <c r="W56" i="2" l="1"/>
  <c r="W64" i="2"/>
  <c r="W63" i="2"/>
  <c r="W170" i="2"/>
  <c r="W181" i="2"/>
  <c r="W26" i="2"/>
  <c r="W25" i="2"/>
  <c r="W171" i="2"/>
  <c r="W162" i="2"/>
  <c r="W161" i="2"/>
  <c r="W160" i="2"/>
  <c r="W159" i="2"/>
  <c r="W158" i="2"/>
  <c r="W157" i="2"/>
  <c r="W156" i="2"/>
  <c r="W155" i="2"/>
  <c r="W154" i="2"/>
  <c r="W153" i="2"/>
  <c r="W152" i="2"/>
  <c r="W151" i="2"/>
  <c r="W150" i="2"/>
  <c r="W149" i="2"/>
  <c r="W148" i="2"/>
  <c r="W146" i="2"/>
  <c r="W145" i="2"/>
  <c r="W144" i="2"/>
  <c r="W143" i="2"/>
  <c r="W142" i="2"/>
  <c r="W141" i="2"/>
  <c r="W140" i="2"/>
  <c r="W139" i="2"/>
  <c r="W138" i="2"/>
  <c r="W136" i="2"/>
  <c r="W135" i="2"/>
  <c r="W122" i="2"/>
  <c r="W121" i="2"/>
  <c r="W120" i="2"/>
  <c r="W119" i="2"/>
  <c r="W118" i="2"/>
  <c r="W117" i="2"/>
  <c r="W110" i="2"/>
  <c r="W109" i="2"/>
  <c r="W108" i="2"/>
  <c r="W107" i="2"/>
  <c r="W106" i="2"/>
  <c r="W105" i="2"/>
  <c r="W104" i="2"/>
  <c r="W103" i="2"/>
  <c r="W102" i="2"/>
  <c r="W101" i="2"/>
  <c r="W100" i="2"/>
  <c r="W99" i="2"/>
  <c r="W66" i="2"/>
  <c r="W65" i="2"/>
  <c r="W62" i="2"/>
  <c r="W61" i="2"/>
  <c r="W60" i="2"/>
  <c r="W59" i="2"/>
  <c r="W58" i="2"/>
  <c r="W57" i="2"/>
  <c r="W55" i="2"/>
  <c r="W54" i="2"/>
  <c r="W53" i="2"/>
  <c r="W52" i="2"/>
  <c r="W51" i="2"/>
  <c r="W50" i="2"/>
  <c r="W49" i="2"/>
  <c r="W48" i="2"/>
  <c r="W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 Karthik (GE Healthcare)</author>
  </authors>
  <commentList>
    <comment ref="AD2" authorId="0" shapeId="0" xr:uid="{E80AA648-CF59-4C39-9CDC-65A19EBC7D22}">
      <text>
        <r>
          <rPr>
            <b/>
            <sz val="9"/>
            <color indexed="81"/>
            <rFont val="Tahoma"/>
            <family val="2"/>
          </rPr>
          <t>K, Karthik (GE Healthcare):</t>
        </r>
        <r>
          <rPr>
            <sz val="9"/>
            <color indexed="81"/>
            <rFont val="Tahoma"/>
            <family val="2"/>
          </rPr>
          <t xml:space="preserve">
Maintain format as "See Note xx" always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 Karthik (GE Healthcare)</author>
  </authors>
  <commentList>
    <comment ref="BA2" authorId="0" shapeId="0" xr:uid="{ECBFC514-DC5F-4E47-BD16-2E0F36450D96}">
      <text>
        <r>
          <rPr>
            <b/>
            <sz val="9"/>
            <color indexed="81"/>
            <rFont val="Tahoma"/>
            <family val="2"/>
          </rPr>
          <t>K, Karthik (GE Healthcare):</t>
        </r>
        <r>
          <rPr>
            <sz val="9"/>
            <color indexed="81"/>
            <rFont val="Tahoma"/>
            <family val="2"/>
          </rPr>
          <t xml:space="preserve">
Maintain format as "See Note xx" always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<sst xmlns="http://schemas.openxmlformats.org/spreadsheetml/2006/main" count="60857" uniqueCount="2909">
  <si>
    <t>Signa Advantage</t>
  </si>
  <si>
    <t>Signa Horizon</t>
  </si>
  <si>
    <t>Resona, Resona-C, MR MAX, MR Max-C</t>
    <phoneticPr fontId="0"/>
  </si>
  <si>
    <t>Vectra</t>
    <phoneticPr fontId="0"/>
  </si>
  <si>
    <t>Sierra</t>
    <phoneticPr fontId="0"/>
  </si>
  <si>
    <t>Contour / Profile</t>
  </si>
  <si>
    <t>Signa Lx</t>
  </si>
  <si>
    <t>Horizon Open Speed</t>
  </si>
  <si>
    <t>Horizon 3T</t>
  </si>
  <si>
    <t>E2</t>
  </si>
  <si>
    <t>G3</t>
  </si>
  <si>
    <t>Profile 5</t>
  </si>
  <si>
    <t>Profile HD</t>
  </si>
  <si>
    <t>Ovation 5</t>
  </si>
  <si>
    <t>Excite</t>
  </si>
  <si>
    <t>Ovation 2</t>
  </si>
  <si>
    <t>Ovation 3</t>
  </si>
  <si>
    <t>HFO5</t>
  </si>
  <si>
    <t>Excite Ovation</t>
  </si>
  <si>
    <t>EXCITE OpenSpeed</t>
  </si>
  <si>
    <t>Signa HD</t>
  </si>
  <si>
    <t>Ovation HD</t>
  </si>
  <si>
    <t>HDe2</t>
  </si>
  <si>
    <t>Signa HDxt 1.5T</t>
  </si>
  <si>
    <t>Signa HDxt 3T</t>
  </si>
  <si>
    <t>SIGNA PET/MR 3.0T</t>
  </si>
  <si>
    <t>ONI,   ORTHONE 1.0</t>
  </si>
  <si>
    <t>ONI,   MSK Extreme 1.5T</t>
  </si>
  <si>
    <t>ONI,   Optima 430s</t>
  </si>
  <si>
    <t>SIGNA Creator/SIGNA Explore</t>
  </si>
  <si>
    <t>SIGNA Pioneer 3.0T</t>
    <phoneticPr fontId="0"/>
  </si>
  <si>
    <t>SIGNA Premier</t>
  </si>
  <si>
    <t>Signa 1x,2x, 3x</t>
  </si>
  <si>
    <t>Discovery MR 450</t>
  </si>
  <si>
    <t>Brivo MR355</t>
  </si>
  <si>
    <t>Optima MR360</t>
  </si>
  <si>
    <t>Discovery MR750</t>
  </si>
  <si>
    <t>Optima MR450w GEM</t>
  </si>
  <si>
    <t>Optima MR450w</t>
  </si>
  <si>
    <t>Discovery MR 750w GEM</t>
  </si>
  <si>
    <t>SIGNA Architect</t>
  </si>
  <si>
    <t>SIGNA Artist</t>
  </si>
  <si>
    <t>Software Version Label</t>
  </si>
  <si>
    <t>Latest Safety Service Pack Label</t>
  </si>
  <si>
    <t>Notes</t>
  </si>
  <si>
    <t>Design Owner</t>
  </si>
  <si>
    <t>1.x, 2.x, 3.x</t>
  </si>
  <si>
    <t>1.8.13,   2.5.19,     3.3.9</t>
  </si>
  <si>
    <t>None</t>
  </si>
  <si>
    <t>MKE</t>
  </si>
  <si>
    <t>Signa 4.8</t>
  </si>
  <si>
    <t>4.8.10</t>
  </si>
  <si>
    <t>Signa 5.3.2</t>
  </si>
  <si>
    <t>5.3.2</t>
  </si>
  <si>
    <t>Signa 5.4</t>
  </si>
  <si>
    <t>5.4.3 / 5.4.3z</t>
  </si>
  <si>
    <t>60434/60427</t>
  </si>
  <si>
    <t>Signa 5.5</t>
  </si>
  <si>
    <t>Signa 5.6</t>
  </si>
  <si>
    <t>Signa 5.7</t>
  </si>
  <si>
    <t>Signa 5.8</t>
  </si>
  <si>
    <t>V/R 5.71</t>
    <phoneticPr fontId="0"/>
  </si>
  <si>
    <t>HNO</t>
  </si>
  <si>
    <t>V/R 4.13</t>
    <phoneticPr fontId="0"/>
  </si>
  <si>
    <t>V/R 4.11,   4.13</t>
  </si>
  <si>
    <t>None</t>
    <phoneticPr fontId="0"/>
  </si>
  <si>
    <t>VMX</t>
  </si>
  <si>
    <t>7.67, 7.72, 7.80,  7.81, 7.82 7.84</t>
  </si>
  <si>
    <t>SP-02</t>
  </si>
  <si>
    <t>83.273Q_M5_0012.a</t>
  </si>
  <si>
    <t>HFO3</t>
  </si>
  <si>
    <t>HFO3.29I_M4_0320.a</t>
  </si>
  <si>
    <t>VH3</t>
  </si>
  <si>
    <t>VH3.29I_M4_0339.a</t>
  </si>
  <si>
    <t>Excite II; E2</t>
  </si>
  <si>
    <t>E2.0_M4_0502.b</t>
  </si>
  <si>
    <t>SP-03</t>
  </si>
  <si>
    <t>Excite II; G3</t>
  </si>
  <si>
    <t>G3.0_M4B_0513.a</t>
  </si>
  <si>
    <t>PROFILE5.293a_M4_0542.a</t>
  </si>
  <si>
    <t>SP-01</t>
  </si>
  <si>
    <t>N/A</t>
  </si>
  <si>
    <t>BJG</t>
  </si>
  <si>
    <t>9.x</t>
  </si>
  <si>
    <t>90.29F_M4_0139.z</t>
  </si>
  <si>
    <t>91.29I_M4A_0723.d</t>
  </si>
  <si>
    <t>DOC0387876</t>
  </si>
  <si>
    <t>ProfileHD</t>
  </si>
  <si>
    <t>PROFILEHD.0_M4_0736.a</t>
  </si>
  <si>
    <t>OVATION5.293a_M4_0737.a</t>
  </si>
  <si>
    <t>Excite Plus</t>
  </si>
  <si>
    <t>10.0_M4_0309.a</t>
  </si>
  <si>
    <t>11.1_M4_0818.a</t>
  </si>
  <si>
    <t>11.0_M4_0403.a</t>
  </si>
  <si>
    <t>See Note 5</t>
  </si>
  <si>
    <t>SP-05</t>
  </si>
  <si>
    <t>11.1_M4_0818.a.PQ</t>
  </si>
  <si>
    <t>MFO2</t>
  </si>
  <si>
    <t>MFO2.29F_M4_0828.a</t>
  </si>
  <si>
    <t>MFO3</t>
  </si>
  <si>
    <t>MFO3.291a_M4_0837.a</t>
  </si>
  <si>
    <t>HNO</t>
    <phoneticPr fontId="0"/>
  </si>
  <si>
    <t>OPENMR5.293a_M4_0838.a</t>
  </si>
  <si>
    <t>MFO4</t>
  </si>
  <si>
    <t>OPENMR4.292a_M4_0844.a</t>
  </si>
  <si>
    <t>SP-04</t>
  </si>
  <si>
    <t>HFO4</t>
  </si>
  <si>
    <t>HD</t>
  </si>
  <si>
    <t>12.0_M4_0520.a</t>
  </si>
  <si>
    <t>12.0_M5B_0846.d</t>
  </si>
  <si>
    <t>See Note 6</t>
  </si>
  <si>
    <t>12.0_M5_0606.a</t>
  </si>
  <si>
    <t>12.0_M5_0606.b</t>
  </si>
  <si>
    <t>12.0_M5A_0745.d</t>
  </si>
  <si>
    <t>12.0_M5A_0819.a</t>
  </si>
  <si>
    <t>12.0_M5B_0846.d.PF</t>
  </si>
  <si>
    <t>OVATIONHD.0_M4_0909.a</t>
  </si>
  <si>
    <t>HDE15.0_M4_0943.c</t>
  </si>
  <si>
    <t>SP-09</t>
    <phoneticPr fontId="0"/>
  </si>
  <si>
    <t>HDx</t>
  </si>
  <si>
    <t>14.0_M5_0737.f</t>
  </si>
  <si>
    <t>15.0_M4B_1034.a</t>
  </si>
  <si>
    <t>14.0_M5A_0828.b</t>
  </si>
  <si>
    <t>HDxt</t>
  </si>
  <si>
    <t>15.0_M4_0910.a</t>
  </si>
  <si>
    <t>15.0_M4_0910.a.PJ</t>
  </si>
  <si>
    <t>67816AB</t>
  </si>
  <si>
    <t>15.0_M4A_0947.a</t>
  </si>
  <si>
    <t>15.0_M4A_0947.a.PJ</t>
  </si>
  <si>
    <t>15.0_M4B_1034.a.PD</t>
  </si>
  <si>
    <t>HD16.0_V03_1638.a</t>
  </si>
  <si>
    <t>60884F</t>
  </si>
  <si>
    <t>HDxt Apps</t>
  </si>
  <si>
    <t>HD16.0_V01_1108.b</t>
  </si>
  <si>
    <t>HD16.0_V01_1108.b.PA</t>
  </si>
  <si>
    <t>HD16.0_V02_1131.a</t>
  </si>
  <si>
    <t>HD16.0_V02_1131.a.PD</t>
  </si>
  <si>
    <t>HD23 V01</t>
  </si>
  <si>
    <t>HD23.0_V01_1210.a</t>
  </si>
  <si>
    <t>HD23.0_V01_1210.a.PG</t>
  </si>
  <si>
    <t>See Note 9</t>
  </si>
  <si>
    <t>HD23 V02</t>
  </si>
  <si>
    <t>HD23.0_V02_1406.a</t>
  </si>
  <si>
    <t>HD23.0_V02_1406.a.PI</t>
  </si>
  <si>
    <t>HD23 V03</t>
  </si>
  <si>
    <t>HD23.0_V03_1614.b</t>
  </si>
  <si>
    <t>60884D</t>
  </si>
  <si>
    <t>HD23.0_V03_1614.b.PD</t>
  </si>
  <si>
    <t>HDSV</t>
  </si>
  <si>
    <t>SV20.1_IB3_1213.a</t>
  </si>
  <si>
    <t>SV20.1_V04_1435.a</t>
  </si>
  <si>
    <t>16 Beat</t>
  </si>
  <si>
    <t>SV23.0_V01_1238.b</t>
    <phoneticPr fontId="0" type="noConversion"/>
  </si>
  <si>
    <t>SV23.0_V02_1309.a</t>
    <phoneticPr fontId="0"/>
  </si>
  <si>
    <t>SV23.0_V03_1323.a</t>
    <phoneticPr fontId="0" type="noConversion"/>
  </si>
  <si>
    <t>SV23.0_V04_1329.b</t>
  </si>
  <si>
    <t>SV23.0_V05_1436.a
SV23.0_V05_1404.b</t>
    <phoneticPr fontId="0"/>
  </si>
  <si>
    <t>SV23.0_V06_1520.a</t>
    <phoneticPr fontId="0"/>
  </si>
  <si>
    <t>Bamboo</t>
  </si>
  <si>
    <t>SV23.1_EB_1507.a</t>
    <phoneticPr fontId="0"/>
  </si>
  <si>
    <t>SV23.1 _R01_1548.a</t>
    <phoneticPr fontId="0"/>
  </si>
  <si>
    <t>DVApps</t>
  </si>
  <si>
    <t>DV24.0_R01_1344.a</t>
  </si>
  <si>
    <t>DV22.0_V02_1122.a.PG</t>
  </si>
  <si>
    <t>GEM</t>
  </si>
  <si>
    <t>DV22.1_V01_1131.a</t>
  </si>
  <si>
    <t>DV22.1_V01_1131.a.PC</t>
  </si>
  <si>
    <t>DV23.0</t>
  </si>
  <si>
    <t>DV23.0_V01_1142.a</t>
  </si>
  <si>
    <t>SP-07</t>
  </si>
  <si>
    <t>DV23.1</t>
  </si>
  <si>
    <t xml:space="preserve">DV23.1_V02_1317.c </t>
  </si>
  <si>
    <t>DV24</t>
  </si>
  <si>
    <t>DV24.0_R02_1607.b</t>
  </si>
  <si>
    <t>DV24.0_R02_1607.b.PA</t>
  </si>
  <si>
    <t>DV25</t>
  </si>
  <si>
    <t>DV25.0_R01_1451.a</t>
  </si>
  <si>
    <t>DV25.0_R02_1549.b</t>
  </si>
  <si>
    <t>DV25.0_R02_1549.b.PD</t>
  </si>
  <si>
    <t>DV25.1</t>
  </si>
  <si>
    <t>DV25.1_R01_1617.b</t>
  </si>
  <si>
    <t>DV25.1_R01_1617.b.PB</t>
  </si>
  <si>
    <t>DOC1931614</t>
  </si>
  <si>
    <t>DV25.1_R02_1649.a</t>
  </si>
  <si>
    <t>DOC1935177</t>
  </si>
  <si>
    <t>DV25.1_R02_1649.a.PA</t>
  </si>
  <si>
    <t>MP24</t>
  </si>
  <si>
    <t>MP24.0_R03_1712.b, petmr_everest.163</t>
  </si>
  <si>
    <t>See Note 26
See Note 25</t>
  </si>
  <si>
    <t>MP24.0_R03_1712.b.PB
petmr_everest.163</t>
  </si>
  <si>
    <t>4.00,  4.01,  4.02</t>
  </si>
  <si>
    <t>SV25.0_R01_1519.a</t>
    <phoneticPr fontId="0"/>
  </si>
  <si>
    <t>SV25.0_R02_1525.a</t>
    <phoneticPr fontId="0"/>
  </si>
  <si>
    <t>SV25.0_R03_1534.a</t>
    <phoneticPr fontId="0"/>
  </si>
  <si>
    <t>SV25.0_R04_1543.b</t>
    <phoneticPr fontId="0"/>
  </si>
  <si>
    <t>SV25.0_R05_1616.a</t>
    <phoneticPr fontId="0"/>
  </si>
  <si>
    <t>SV25.0_R05_1616.a.PA</t>
  </si>
  <si>
    <t>SV25.0_R06_1640.b</t>
  </si>
  <si>
    <t>SV25.0_R06_1712.b</t>
    <phoneticPr fontId="0"/>
  </si>
  <si>
    <t>BJG</t>
    <phoneticPr fontId="0"/>
  </si>
  <si>
    <t>SV25.0_R07_1725.a</t>
    <phoneticPr fontId="0"/>
  </si>
  <si>
    <t>KIZUNA</t>
  </si>
  <si>
    <t>PX25.0_R01_1603.a</t>
  </si>
  <si>
    <t>SP-03</t>
    <phoneticPr fontId="0"/>
  </si>
  <si>
    <t>PX25.0_R01_1603.a.PC</t>
  </si>
  <si>
    <t>SP-04</t>
    <phoneticPr fontId="0"/>
  </si>
  <si>
    <t>PX25.0_R01_1603.a.PD</t>
  </si>
  <si>
    <t>PX26.1_R01_1723.d</t>
  </si>
  <si>
    <t>PX26.1_R01_1723.d.PB</t>
  </si>
  <si>
    <t>PX25.1_R01_1744.a</t>
  </si>
  <si>
    <t>PX25.1_R01_1744.a.PB</t>
  </si>
  <si>
    <t>PX26.0_EA_1635.a</t>
    <phoneticPr fontId="0"/>
  </si>
  <si>
    <t>SV25.1_R01_1719.a</t>
    <phoneticPr fontId="0"/>
  </si>
  <si>
    <t>SV25.1_R02_1723.a</t>
    <phoneticPr fontId="0"/>
  </si>
  <si>
    <t>SV25.1_R03_1733.a</t>
    <phoneticPr fontId="0"/>
  </si>
  <si>
    <t>SV25.1_R04_1743.a</t>
    <phoneticPr fontId="0"/>
  </si>
  <si>
    <t>PX26.0</t>
    <phoneticPr fontId="0"/>
  </si>
  <si>
    <t>PX26.0_R01_1723.a</t>
    <phoneticPr fontId="0"/>
  </si>
  <si>
    <t>DV26.0 EA</t>
  </si>
  <si>
    <t>DV26.0_EA_1644.a.PA</t>
  </si>
  <si>
    <t>DV26.0 EB</t>
  </si>
  <si>
    <t>DV26.0_EB_1707.b.PA</t>
  </si>
  <si>
    <t>DV26.0 EC</t>
  </si>
  <si>
    <t>DV26.0 R01</t>
  </si>
  <si>
    <t>DV26.0_R01_1725.a.PD</t>
  </si>
  <si>
    <t>DV25.1 R03</t>
  </si>
  <si>
    <t>SW RL (DOC2123881)</t>
  </si>
  <si>
    <t>Rio</t>
  </si>
  <si>
    <t>RX27.0_R01_1750.a.PB</t>
  </si>
  <si>
    <t>Release Letter:
DOC1928469
DOC2128608</t>
  </si>
  <si>
    <t>DV22.0_V02_1122.a</t>
  </si>
  <si>
    <t>Discovery MR450</t>
  </si>
  <si>
    <t>Optima MR450W</t>
  </si>
  <si>
    <t>Optima MR450W GEM</t>
  </si>
  <si>
    <t>DV26.0_EA_1641.c</t>
  </si>
  <si>
    <t>DV26.0_EA_1644.a</t>
  </si>
  <si>
    <t>DV26.0_R01_1725.a</t>
  </si>
  <si>
    <t>DV26.0_R02_1810.b</t>
  </si>
  <si>
    <t>DV26.0_EC_1713.c</t>
  </si>
  <si>
    <t>60748</t>
  </si>
  <si>
    <t>MP26</t>
  </si>
  <si>
    <t>ME:MP26.0_EA_1747.c, petmr_k1.77</t>
  </si>
  <si>
    <t>RX27.0_R01_1750.a</t>
  </si>
  <si>
    <t>Quality Service Pack</t>
  </si>
  <si>
    <t>Latest Quality Service Pack Label</t>
  </si>
  <si>
    <t>RSD</t>
  </si>
  <si>
    <t>60832</t>
  </si>
  <si>
    <t>60902B - China
60902A - ROW</t>
  </si>
  <si>
    <t>68008</t>
  </si>
  <si>
    <t xml:space="preserve">DV26.0 R02 </t>
  </si>
  <si>
    <t>Program</t>
  </si>
  <si>
    <t>HDE15.0_M4_0943.c.PF</t>
  </si>
  <si>
    <t>14.0_M5A_0828.b.PF</t>
  </si>
  <si>
    <t>SV20.1_IB3_1213.a.PA</t>
  </si>
  <si>
    <t>14.0_M5_0737.f.PL</t>
  </si>
  <si>
    <t>5316412</t>
  </si>
  <si>
    <t>60758</t>
  </si>
  <si>
    <t>5267444</t>
  </si>
  <si>
    <t>5730789</t>
  </si>
  <si>
    <t>5495319</t>
  </si>
  <si>
    <t>5506178</t>
  </si>
  <si>
    <t>5717381</t>
  </si>
  <si>
    <t>5717383</t>
  </si>
  <si>
    <t>5457115</t>
  </si>
  <si>
    <t>5758507 - China
5758706 - ROW</t>
  </si>
  <si>
    <t>5764293</t>
  </si>
  <si>
    <t>5774692</t>
  </si>
  <si>
    <t>5790331</t>
  </si>
  <si>
    <t>Product</t>
  </si>
  <si>
    <t>SW Revision</t>
  </si>
  <si>
    <t>Note 1</t>
  </si>
  <si>
    <t>Note 2</t>
  </si>
  <si>
    <t>Note 3</t>
  </si>
  <si>
    <t>Note 4</t>
  </si>
  <si>
    <t>Note 5</t>
  </si>
  <si>
    <t>Note 6</t>
  </si>
  <si>
    <t>Note 7</t>
  </si>
  <si>
    <t>Note 8</t>
  </si>
  <si>
    <t>Note 9</t>
  </si>
  <si>
    <t>Note 10</t>
  </si>
  <si>
    <t>Note 11</t>
  </si>
  <si>
    <t>Note 12</t>
  </si>
  <si>
    <t>Note 13</t>
  </si>
  <si>
    <t>Note 14</t>
  </si>
  <si>
    <t>Note 15</t>
  </si>
  <si>
    <t>Note 16</t>
  </si>
  <si>
    <t>Note 17</t>
  </si>
  <si>
    <t>Note 18</t>
  </si>
  <si>
    <t>Note 19</t>
  </si>
  <si>
    <t>Note 20</t>
  </si>
  <si>
    <t>Note 21</t>
  </si>
  <si>
    <t>Note 22</t>
  </si>
  <si>
    <t>Note 23</t>
  </si>
  <si>
    <t>Note 24</t>
  </si>
  <si>
    <t>Note 25</t>
  </si>
  <si>
    <t>Note 26</t>
  </si>
  <si>
    <t xml:space="preserve"> Any site with 5.4 software must be at 5.4.3 or 5.4.3z.  If needed, order FMI 60434 or 60435</t>
  </si>
  <si>
    <t xml:space="preserve"> for this release all Service packs including no service pack is acceptable
          SP1 was released for 7.67, 7.72, 7.81, 7.82, 7.84 and not applied FMI. Refer to Service Note DOC0642991.
          SP2 was released for 7.67, 7.72, 7.81, 7.82, 7.84 and not applied FMI. Refer to Service Note DOC1247033.</t>
  </si>
  <si>
    <t xml:space="preserve"> Sites with prior versions of 9x software must update to 91.29I_M4A_0723.d via FMI  60748</t>
  </si>
  <si>
    <t xml:space="preserve">  SP-01 and SP-02 are optional.  SP-03 was included in forward Production only</t>
  </si>
  <si>
    <t xml:space="preserve">  SV20.1_IB3 sites must be at a minimum of SP-01.  SP-03 is not required as this is an optional FMI.</t>
  </si>
  <si>
    <t xml:space="preserve">  Not used</t>
  </si>
  <si>
    <t xml:space="preserve"> DV26 EA was respinned by including 48Ch Head coil for the Architect configs</t>
  </si>
  <si>
    <t xml:space="preserve"> DV26 R01 is the M3 SW for Gemini Artist and used in forward production of DV26 and Gemini Architects </t>
  </si>
  <si>
    <t xml:space="preserve"> SP-01 is not for the global install base.  SP-01 is only for countries where regulatory clearance allows the purchase of the M8000CD, M8000CE, M8000CF and M8000CG coil catalogs.</t>
  </si>
  <si>
    <t xml:space="preserve"> The MajorCLK patch is for MP24 systems only.  MP26 software already includes these patch files.</t>
  </si>
  <si>
    <t>See Note 2</t>
  </si>
  <si>
    <t>See Note 3</t>
  </si>
  <si>
    <t>See Note 4</t>
  </si>
  <si>
    <t>See Note 7</t>
  </si>
  <si>
    <t>See Note 21</t>
  </si>
  <si>
    <t>See Note 10</t>
  </si>
  <si>
    <t>See Note 19</t>
  </si>
  <si>
    <t>Note #</t>
  </si>
  <si>
    <t>Detail</t>
  </si>
  <si>
    <t>Document:  MR Software Release Matrix</t>
  </si>
  <si>
    <t>Document number:  DOC1667089</t>
  </si>
  <si>
    <t>Revision No</t>
  </si>
  <si>
    <t>What changed</t>
  </si>
  <si>
    <t>Reason for change</t>
  </si>
  <si>
    <t>Author</t>
  </si>
  <si>
    <t>Initial release</t>
  </si>
  <si>
    <t>Khagesh Sailada</t>
  </si>
  <si>
    <t>Added note5. modified note4. Removed the extended labels from base version.</t>
  </si>
  <si>
    <t>Corrected errors found with initial release</t>
  </si>
  <si>
    <t>Improvements from Field Feedback</t>
  </si>
  <si>
    <t>Peter Kargard
Xu Zhang</t>
  </si>
  <si>
    <t>add SIGNA Creator/SIGNA Explore info</t>
  </si>
  <si>
    <t>new product info</t>
  </si>
  <si>
    <t>Diao Zhuo</t>
  </si>
  <si>
    <t xml:space="preserve">Added Pole comlumn in IB MR Products tab and instruction tab; 
Replaced MP24 M3 version with M4;
Updated HD23 V02 latest Service Pack version as SP2 </t>
  </si>
  <si>
    <t>To combine IB and NPI program list in this document such that DOC1140322 will directly refer to this doc;
NPI milestone and new Service pack release</t>
  </si>
  <si>
    <t>Added SIGNA Pioneer info</t>
    <phoneticPr fontId="4"/>
  </si>
  <si>
    <t>new product info</t>
    <phoneticPr fontId="4"/>
  </si>
  <si>
    <t>Masako Ohara</t>
    <phoneticPr fontId="4"/>
  </si>
  <si>
    <t>Updated product name from SIGNA Pioneer to SIGNA Pioneer 3.0T
Updated PX25 EB Latest Service Pack version as SP1</t>
    <phoneticPr fontId="4"/>
  </si>
  <si>
    <t>Added DV25.1 information</t>
  </si>
  <si>
    <t>M3 release of DV25.1</t>
  </si>
  <si>
    <t>Anuradha 
Subramanian</t>
  </si>
  <si>
    <t>Added PX25.0_R01 information.</t>
    <phoneticPr fontId="4"/>
  </si>
  <si>
    <t>R01 release of PX25.0</t>
    <phoneticPr fontId="4"/>
  </si>
  <si>
    <t>Hirotaka Matsuura</t>
    <phoneticPr fontId="4"/>
  </si>
  <si>
    <t>Updated HD23 Service Pack and updated DV24 and DV25 releases.</t>
  </si>
  <si>
    <t>Head SAR FMI's</t>
  </si>
  <si>
    <t>Peter Kargard
Xu Zhang</t>
    <phoneticPr fontId="4"/>
  </si>
  <si>
    <t>Updated for SV23/SV25 software release information</t>
    <phoneticPr fontId="4"/>
  </si>
  <si>
    <t>Yang Ming</t>
    <phoneticPr fontId="4"/>
  </si>
  <si>
    <t>Updated for HDe2 SP09 release.</t>
    <phoneticPr fontId="4"/>
  </si>
  <si>
    <t>SP09 release of HDe2.</t>
    <phoneticPr fontId="4"/>
  </si>
  <si>
    <t>Shinya Sakuma</t>
    <phoneticPr fontId="4"/>
  </si>
  <si>
    <t>Updated for HD23 V03 and DV25 R02 SP2</t>
  </si>
  <si>
    <t>Peter Kargard
Xu Zhang</t>
    <phoneticPr fontId="4"/>
  </si>
  <si>
    <t>Updated for DV25.1 from M3 to M4</t>
  </si>
  <si>
    <t>New release</t>
  </si>
  <si>
    <t>Anuradha Subramanian</t>
  </si>
  <si>
    <t>Updated for SIGNA Pioneer 3.0T (PX25.0)</t>
    <phoneticPr fontId="4"/>
  </si>
  <si>
    <t>PX25.0 R01 SP02 release</t>
    <phoneticPr fontId="4"/>
  </si>
  <si>
    <t>Updated for HD16.0_V03 release and DV24_R02 SP1
Updated rules for approval route</t>
  </si>
  <si>
    <t>HD16 V03 Head SAR FMI's; MR Echo fix for DV24 R02 and rules update</t>
  </si>
  <si>
    <t>Updated for DV25.1 R01 SP1
updated rules for approval route
Updated note 21: removed HD16 V03 1.5T FMI 
Updated DV24, DV25, DV25.1 Products
Updated for DV25.1 R02</t>
  </si>
  <si>
    <t xml:space="preserve">Updated for DV25.1 R01 SP1 and updated rules for approval route
Updated note 21: removed HD16 V03 1.5T FMI 
Updated DV24, DV25, DV25.1 Products
Updated for DV25.1 R02
</t>
  </si>
  <si>
    <t>Peter Kargard
Pranavi Sure
Xu Zhang</t>
  </si>
  <si>
    <t>Updated SIGNA Pinoneer 3.0T (PX25.0)</t>
    <phoneticPr fontId="4"/>
  </si>
  <si>
    <t>Updated for PX25.0 R01 SP03 release</t>
    <phoneticPr fontId="4"/>
  </si>
  <si>
    <t>Updated Brivo MR355/Optima MR360
Updated SIGNA Creator/SIGNA Explore R05/R06
Updated Mulan plus (SV25.1)
Updated  Voyager (PX26.0)</t>
  </si>
  <si>
    <t>Updated Brivo MR355, Optima MR360 FMI Number of Safety to 67916B Optional
Updated SIGNA Creator/SIGNA Explore R05/R06
Updated Mulan plus (SV25.1)
Updated  Voyager (PX26.0)</t>
    <phoneticPr fontId="4"/>
  </si>
  <si>
    <t>Chen Gang</t>
    <phoneticPr fontId="4"/>
  </si>
  <si>
    <t xml:space="preserve">Added Row 77 in MR Products tab for DV25.1 R02 SP1 release </t>
  </si>
  <si>
    <t xml:space="preserve">Update for DV25.1 R02 SP1 release </t>
  </si>
  <si>
    <t>Ramu Siddineni</t>
  </si>
  <si>
    <t>Updated for PX25.0 R01 SP04 release
Added PX26.1_EB_1709.a with SP01 for external evaluation</t>
    <phoneticPr fontId="4"/>
  </si>
  <si>
    <t>Updated SIGNA Pinoneer 3.0T (PX26.1)</t>
    <phoneticPr fontId="4"/>
  </si>
  <si>
    <t>Updated for PX26.1_R01_1723.d release</t>
    <phoneticPr fontId="4"/>
  </si>
  <si>
    <t>Updated SIGNA Creator/SIGNA Explore SV25 R06 V2
Updated Mulan plus (SV25.1)
Updated  Voyager (PX26.0)</t>
    <phoneticPr fontId="4"/>
  </si>
  <si>
    <t>Updated SIGNA Creator/SIGNA Explore SV25 R06 V2
Updated Mulan plus (SV25.1)  SV25.1_R01_1719.a
Updated  Voyager (PX26.0) PX26.0_R01_1723.a and PX26.0_R01_1723.a.PA</t>
    <phoneticPr fontId="4"/>
  </si>
  <si>
    <t>Added SINGA Pioneer Information</t>
    <phoneticPr fontId="4"/>
  </si>
  <si>
    <t>Updated for PX26.1_R01_SP01 release</t>
    <phoneticPr fontId="4"/>
  </si>
  <si>
    <t>Shinya Sakuma</t>
    <phoneticPr fontId="4"/>
  </si>
  <si>
    <t>Added in DV26.0 R01 and R02 Service Packs</t>
  </si>
  <si>
    <t>Refer to iServ for Service Pack content:
- SP01: DOC2058080 
- SP02: DOC2058034</t>
  </si>
  <si>
    <t>Rebecca David</t>
  </si>
  <si>
    <t>Added PX25.1_R01 product</t>
    <phoneticPr fontId="4"/>
  </si>
  <si>
    <t>New release</t>
    <phoneticPr fontId="4"/>
  </si>
  <si>
    <t>Shinya Sakuma</t>
  </si>
  <si>
    <t>Added row 108,109 in MR Products tab for DV25.1 R03 and HD V03 SP1 Releases</t>
  </si>
  <si>
    <t>Updated for DV25.1 R03 and HD23 V03 SP1 Releases</t>
  </si>
  <si>
    <t>Updated row 78 (lastest SIGNA PETMR MP24)
Added row 79 ( SIGNA PETMR MP24 SP)    
Added row 80 (SIGNA PETMR MP26) Service Pack1 in MR Products tab.</t>
  </si>
  <si>
    <t>Updated for MP24 R03,  MP26 EA and MP26 SP1</t>
  </si>
  <si>
    <t>Khagesh Sailada/
Subash Duraipandi</t>
  </si>
  <si>
    <t>Added DV26.0 R02 Canopus to Release list (Row 112)</t>
  </si>
  <si>
    <t>DV26.0 R02 Release</t>
  </si>
  <si>
    <t>Ramu Siddineni/
Tejas Soali</t>
  </si>
  <si>
    <t>Added SV25.1_R02, SV25.1_R03, SV25.1_R04 and SV25.0_R07</t>
    <phoneticPr fontId="4"/>
  </si>
  <si>
    <t>Updated for SIGNA Creator and SIGNA Explorer</t>
    <phoneticPr fontId="4"/>
  </si>
  <si>
    <t>Zhang Quan</t>
    <phoneticPr fontId="4"/>
  </si>
  <si>
    <t xml:space="preserve">Updated DV25.1 R03 Base Release Label (row 117) in MR Products tab
Added DV25.1 R03 SP01 to MR Product tab (row 119) 
Added PX26.1 R01 SP02 to MR Products tab (row 120)
Added PX25.1 R01 SP02 to MR Product tab (row 121) 
</t>
  </si>
  <si>
    <t>Revised for DV25.1 R03 SP01, PX26.1 R01 SP02 and PX25.1 R01 SP02</t>
  </si>
  <si>
    <t>Restored note 11, updated format and rules</t>
  </si>
  <si>
    <t>Bill Vroman and others</t>
  </si>
  <si>
    <t>Added SIGNA Premier product.</t>
  </si>
  <si>
    <t>Rio M3 release and its service pack SP1</t>
  </si>
  <si>
    <t>Tomoko Steinlage</t>
  </si>
  <si>
    <t xml:space="preserve">Modified the entire formatting of the sheet to satisfy requirements per 11x Image Flip CAPA </t>
  </si>
  <si>
    <t>per LSI request for CAPA on missing SPs</t>
  </si>
  <si>
    <t>Minimum Safety Service Pack</t>
  </si>
  <si>
    <t>Step #</t>
  </si>
  <si>
    <t>LSWI</t>
  </si>
  <si>
    <t>LSI</t>
  </si>
  <si>
    <t>Send the document for review and collect feedback.</t>
    <phoneticPr fontId="4"/>
  </si>
  <si>
    <t>Document notification so that this document will be uploaded to documentation library</t>
  </si>
  <si>
    <t>LII (Lead Information Integrator)</t>
  </si>
  <si>
    <t xml:space="preserve">Document approval </t>
  </si>
  <si>
    <t>Pole SW Engg Mgr &amp;
Pole Service Engg Mgr</t>
  </si>
  <si>
    <t xml:space="preserve">Send field communication. </t>
  </si>
  <si>
    <t>SW RL (DOC2127930)</t>
  </si>
  <si>
    <t>Magnet Serial #</t>
  </si>
  <si>
    <t>Magnet Serial#</t>
  </si>
  <si>
    <t>Optional Service Pack</t>
  </si>
  <si>
    <t>DV26.0_EB_1707.b</t>
  </si>
  <si>
    <t>91.29I_M4A_0723.d.PA</t>
  </si>
  <si>
    <t>67625B (SP-05) optional</t>
  </si>
  <si>
    <t>67625C (SP-05) optional</t>
  </si>
  <si>
    <t>5462076 (SP-05)</t>
  </si>
  <si>
    <t>C ,D,</t>
  </si>
  <si>
    <t>C ,D, G, J</t>
  </si>
  <si>
    <t>A</t>
  </si>
  <si>
    <t>V, Z</t>
  </si>
  <si>
    <t>D, G, J, N,P,  R, RA, RB</t>
  </si>
  <si>
    <t>T</t>
  </si>
  <si>
    <t>W, WB</t>
  </si>
  <si>
    <t>D,G,J,N,P R, RA, RB, RD</t>
  </si>
  <si>
    <t>R, RA, RB, RD</t>
  </si>
  <si>
    <t>HM</t>
  </si>
  <si>
    <t>UA</t>
  </si>
  <si>
    <t>RD</t>
  </si>
  <si>
    <t>UA, W , WB</t>
  </si>
  <si>
    <t>5442528</t>
  </si>
  <si>
    <t>60869</t>
  </si>
  <si>
    <t>SP03</t>
  </si>
  <si>
    <t>No FMI Kit Released. SP cut into Forward Production &amp; upgrades. Refer DOC0934117</t>
  </si>
  <si>
    <t>60839</t>
  </si>
  <si>
    <t>See Note 8</t>
  </si>
  <si>
    <t xml:space="preserve">SP-02 </t>
  </si>
  <si>
    <t>SP-01 (research)</t>
  </si>
  <si>
    <t>5750397</t>
  </si>
  <si>
    <t>No FMI. 
Tab 181 distribution</t>
  </si>
  <si>
    <t>PX26.2</t>
  </si>
  <si>
    <t>PX26.2_R01_1824.a</t>
  </si>
  <si>
    <t>SV25.1_EA_1635.a</t>
  </si>
  <si>
    <t>SV25 R08</t>
  </si>
  <si>
    <t>SV25.0_R08_1822.a</t>
  </si>
  <si>
    <t>SW RL (DOC2114974)</t>
  </si>
  <si>
    <t>PX26.0_R01_1723.a.PB</t>
  </si>
  <si>
    <t>FMI not available</t>
  </si>
  <si>
    <t>SIGNA PET MR 3.0T</t>
  </si>
  <si>
    <t>Contour Profile</t>
  </si>
  <si>
    <t>Signa E2</t>
  </si>
  <si>
    <t>Signa G3</t>
  </si>
  <si>
    <t>Resona ResonaC MR MAX MR MaxC</t>
  </si>
  <si>
    <t>Signa 1x 2x 3x</t>
  </si>
  <si>
    <t>HFO 5</t>
  </si>
  <si>
    <t>Hde 2</t>
  </si>
  <si>
    <t>HDe 2</t>
  </si>
  <si>
    <t>ONI ORTHONE 1.0</t>
  </si>
  <si>
    <t>ONI MSK Extreme 1.5T</t>
  </si>
  <si>
    <t>ONI Optima 430s</t>
  </si>
  <si>
    <t>Fieldstrength</t>
  </si>
  <si>
    <t>DV25.1_R03_1802.a</t>
  </si>
  <si>
    <t>5331592</t>
  </si>
  <si>
    <t>DOC0537502</t>
  </si>
  <si>
    <t>DOC1469895</t>
  </si>
  <si>
    <t>DOC1122267</t>
  </si>
  <si>
    <t>67915</t>
  </si>
  <si>
    <t>Mandatory</t>
  </si>
  <si>
    <t>SV23.0_V01_1238.b</t>
  </si>
  <si>
    <t>Optional</t>
  </si>
  <si>
    <t>67816AA</t>
  </si>
  <si>
    <t>5446540</t>
  </si>
  <si>
    <t>DOC1144522</t>
  </si>
  <si>
    <t>DOC1216481</t>
  </si>
  <si>
    <t>60895</t>
  </si>
  <si>
    <t>5746730</t>
  </si>
  <si>
    <t>DOC1842579</t>
  </si>
  <si>
    <t>60905</t>
  </si>
  <si>
    <t>DOC0471093</t>
  </si>
  <si>
    <t>DOC1144519</t>
  </si>
  <si>
    <t>DOC1386131</t>
  </si>
  <si>
    <t>5482719</t>
  </si>
  <si>
    <t>DOC1264645</t>
  </si>
  <si>
    <t>HD16.0_V02_1131.a.PA</t>
  </si>
  <si>
    <t>60923</t>
  </si>
  <si>
    <t>Only for Manufacturing</t>
  </si>
  <si>
    <t>RSD only</t>
  </si>
  <si>
    <t>DOC2110104</t>
  </si>
  <si>
    <t>DOC1216476</t>
  </si>
  <si>
    <t>DOC1878132</t>
  </si>
  <si>
    <t>5766594</t>
  </si>
  <si>
    <t>60901</t>
  </si>
  <si>
    <t>DOC2038874</t>
  </si>
  <si>
    <t>Forward Production Only</t>
  </si>
  <si>
    <t>DOC1800962</t>
  </si>
  <si>
    <t>67818</t>
  </si>
  <si>
    <t>67619</t>
  </si>
  <si>
    <t>67620</t>
  </si>
  <si>
    <t>5458947</t>
  </si>
  <si>
    <t>67816BA</t>
  </si>
  <si>
    <t xml:space="preserve"> DOC1917729</t>
  </si>
  <si>
    <t>DOC1976453</t>
  </si>
  <si>
    <t>5788967</t>
  </si>
  <si>
    <t xml:space="preserve">67921 </t>
  </si>
  <si>
    <t>DOC1879046</t>
  </si>
  <si>
    <t>5758529</t>
  </si>
  <si>
    <t>Note 27</t>
  </si>
  <si>
    <t>DOC1902337</t>
  </si>
  <si>
    <t>DOC1822166</t>
  </si>
  <si>
    <t>SV23.0_V04_1329.b.PA</t>
  </si>
  <si>
    <t>DOC1516173</t>
  </si>
  <si>
    <t>DOC1710277</t>
  </si>
  <si>
    <t>DOC1710275</t>
  </si>
  <si>
    <t>DOC2062097</t>
  </si>
  <si>
    <t>67923</t>
    <phoneticPr fontId="14" type="noConversion"/>
  </si>
  <si>
    <t>5766161</t>
    <phoneticPr fontId="14" type="noConversion"/>
  </si>
  <si>
    <t>DOC1931823</t>
    <phoneticPr fontId="14" type="noConversion"/>
  </si>
  <si>
    <t>OVATION5.293a_M4_0737.a.PD</t>
    <phoneticPr fontId="14" type="noConversion"/>
  </si>
  <si>
    <t>OVATIONHD.0_M4_0909.a.PD</t>
    <phoneticPr fontId="14" type="noConversion"/>
  </si>
  <si>
    <t>SP-03</t>
    <phoneticPr fontId="14" type="noConversion"/>
  </si>
  <si>
    <t>No FMI to China</t>
  </si>
  <si>
    <t>FMI 60901 is a Safety FMI that addressed the body coil heating/arcing issue for MR750w sites only.</t>
  </si>
  <si>
    <t>Task</t>
  </si>
  <si>
    <t>Procedure</t>
  </si>
  <si>
    <t>Owner</t>
  </si>
  <si>
    <t>SV25.1_EC_1646.a</t>
  </si>
  <si>
    <t>SV25.0_R06_1712.a</t>
  </si>
  <si>
    <t>SV25.0_R06_1712.c</t>
  </si>
  <si>
    <t>SV25.0_R06_1712.d</t>
  </si>
  <si>
    <t>SV23.1_R01_1548.a</t>
  </si>
  <si>
    <t>SV23.0_V05_1404.b</t>
  </si>
  <si>
    <t>SV23.0_V05_1436.a</t>
  </si>
  <si>
    <t>SV20.1_V04_1409.a</t>
  </si>
  <si>
    <t>SV20.1_IB2_1122.a</t>
  </si>
  <si>
    <t>PX26.2_EA_1803.a</t>
  </si>
  <si>
    <t>HDE15.0_M4_0916.a</t>
  </si>
  <si>
    <t>Include the new Product into the list called Products…to do this follow below steps:
1. Access the Formulas tab
2. Click on Name Manager
3. Under the Name column, select Products
4. Update the range to include the new Product just added</t>
  </si>
  <si>
    <t>When a new Product is being Released, update the Products list in Reference Lists Sheet continuing at last Column</t>
  </si>
  <si>
    <t>Case 2: Add new SW revision for new Product created in Step 1:
- Type in the SW Revision directly below the new Product
- select the SW Revision cell and another empty cell just below it
- press Ctrl-T to make it a table
- Keeping the selection active, Type the Product name (using exact case) in the cell reference area on the top left conrner of the spread sheet
- In case the Product Name has spaces, use _ instead of the space</t>
  </si>
  <si>
    <t>Add New SW revisions for Spread Sheet Validation 
(Need only for new product or for new Base SW Revisions. Not need for SP release)</t>
  </si>
  <si>
    <t>Add New Product for Spread Sheet Validation 
(Needed only if releasing new Product e.g.: SIGNA Premier)</t>
  </si>
  <si>
    <t>Add new row for either new Software or new Product</t>
  </si>
  <si>
    <t>LSWI/LSI</t>
  </si>
  <si>
    <t>Add new Service Pack</t>
  </si>
  <si>
    <t>1. Select the row of Product and SW on which the Service Pack will be deployed
2. Choose the correct set of columns…Safety Service Pack/Quality Service Pack/Optional Service Pack
3. Enter the details in respective columns
4. If FMI information is not known at the time of entering service pack details, simply enter "Forward Product Only" in the FMI# column
5. When the FMI program is completed, come back and change the entry to point to correct FMI details</t>
  </si>
  <si>
    <t>Add new Software Upgrade FMI</t>
  </si>
  <si>
    <t>1. SW Upgrade FMIs are those that release new SW to the installed base
2. First make sure a separate row entry is available for the software that is being released with FMI
3. Now add this FMI details along with SW Revision in columns S through V for all those Product and SW Revision entries that this FMI applies to</t>
  </si>
  <si>
    <t>Test the SW Check Utility</t>
  </si>
  <si>
    <t>Add Notes as needed</t>
  </si>
  <si>
    <t>Review</t>
  </si>
  <si>
    <t>Approve</t>
  </si>
  <si>
    <t>Notify</t>
  </si>
  <si>
    <t>Approvers</t>
  </si>
  <si>
    <t>Post on SIMS</t>
  </si>
  <si>
    <t>Hide Sheets</t>
  </si>
  <si>
    <t>Unhide sheets</t>
  </si>
  <si>
    <t>Right click on any one sheet and click on unhide and unhide the Reference Lists Sheet and unprotect the workbook</t>
  </si>
  <si>
    <t>Hide the "Reference Lists" sheet and then protect the workbook</t>
  </si>
  <si>
    <t>91.29I_M4_0311.b</t>
  </si>
  <si>
    <t>OPENMR4.292a_M4_0844.a.PB</t>
  </si>
  <si>
    <t>5460545TPH</t>
  </si>
  <si>
    <t>OPENMR5.293a_M4_0838.a.PB</t>
  </si>
  <si>
    <t>DV23.1_V01_1248.a</t>
  </si>
  <si>
    <t>DV25.0_R02_1545.d</t>
  </si>
  <si>
    <t>HD23.0_V02_1347.a</t>
  </si>
  <si>
    <t>See Note 28</t>
  </si>
  <si>
    <t>Note 28</t>
  </si>
  <si>
    <t>No site should be at this softwrae revision, please upgrade to HD23.0_V03</t>
  </si>
  <si>
    <t>HDE14.0_M4_0834.a</t>
  </si>
  <si>
    <t>DOC0064384</t>
  </si>
  <si>
    <t>91.29I_M4_0311.b.PB</t>
  </si>
  <si>
    <t>5125912</t>
  </si>
  <si>
    <t>60688</t>
  </si>
  <si>
    <t>15-Oct-2014</t>
  </si>
  <si>
    <t>30-Nov-2014</t>
  </si>
  <si>
    <t>17-Oct-2017</t>
  </si>
  <si>
    <t>16-Sep-2010</t>
  </si>
  <si>
    <t>7-Jun-2017</t>
  </si>
  <si>
    <t>10-Aug-2010</t>
  </si>
  <si>
    <t>22-Nov-2013</t>
  </si>
  <si>
    <t>10-Jan-2012</t>
  </si>
  <si>
    <t>20-Sep-2006</t>
  </si>
  <si>
    <t>13-Apr-2012</t>
  </si>
  <si>
    <t>3-Nov-2014</t>
  </si>
  <si>
    <t>25-Nov-2013</t>
  </si>
  <si>
    <t>Applications Software Upgrade FMI details (if available)</t>
  </si>
  <si>
    <t>V/R 5.71</t>
  </si>
  <si>
    <t>V/R 4.13</t>
  </si>
  <si>
    <t>PX26.0_R01_1723.a</t>
  </si>
  <si>
    <t>Safety</t>
  </si>
  <si>
    <t>Safety FMI Closure Date</t>
  </si>
  <si>
    <t>Quality FMI FRU Kit PN</t>
  </si>
  <si>
    <t>Safety FMI FRU Kit PN</t>
  </si>
  <si>
    <t>Safety FMI</t>
  </si>
  <si>
    <t>Quality FMI</t>
  </si>
  <si>
    <t>Optional FMI</t>
  </si>
  <si>
    <t>Latest Applications Software for Product GE Svc Contract sites</t>
  </si>
  <si>
    <t>Latest Applications Software for Product Non Contract sites</t>
  </si>
  <si>
    <t>Apps FMI</t>
  </si>
  <si>
    <t>Latest Quality Service pack</t>
  </si>
  <si>
    <t>Latest Optional Service pack</t>
  </si>
  <si>
    <t>Latest Optional Service Pack Label</t>
  </si>
  <si>
    <t>SW Upgrade Kit PN</t>
  </si>
  <si>
    <t>Apps FMI Type</t>
  </si>
  <si>
    <t>Quality FMI Closure Date</t>
  </si>
  <si>
    <t>Optional FMI Kit PN</t>
  </si>
  <si>
    <t>20-Mar-2017</t>
  </si>
  <si>
    <t>20-Oct-2017</t>
  </si>
  <si>
    <t>17-Aug-2017</t>
  </si>
  <si>
    <t>30-Dec-2017</t>
  </si>
  <si>
    <t>28-Sep-2018</t>
  </si>
  <si>
    <t>26-Nov-2013</t>
  </si>
  <si>
    <t>24-Jul-2017</t>
  </si>
  <si>
    <t>14-Mar-2017</t>
  </si>
  <si>
    <t>25-Feb-2016</t>
  </si>
  <si>
    <t>29-May-2017</t>
  </si>
  <si>
    <t>23-Oct-2014</t>
  </si>
  <si>
    <t>25-Mar-2013</t>
  </si>
  <si>
    <t>14-Dec-2016</t>
  </si>
  <si>
    <t>13-Mar-2017</t>
  </si>
  <si>
    <t>26-Apr-2012</t>
  </si>
  <si>
    <t>27-Oct-2014</t>
  </si>
  <si>
    <t>24-Aug-2017</t>
  </si>
  <si>
    <t>31-Dec-2018</t>
  </si>
  <si>
    <t>19-Dec-2014</t>
  </si>
  <si>
    <t>For all the new entries added, check the ePM Form Data Utility to make sure the details are available. If not perform correction as necessary</t>
  </si>
  <si>
    <t xml:space="preserve">Route the document for appoval (SW: LSWI, Engg Mgr; Service: LSI, Engg Mgr, OLE) and notify (LII). List the SW Release Letter MWS DOC ID in the route.  </t>
  </si>
  <si>
    <t>Safety Iserv or FMI</t>
  </si>
  <si>
    <t>Quality Iserv or FMI</t>
  </si>
  <si>
    <t>Apps Iserv or FMI</t>
  </si>
  <si>
    <t>Non-Contract FMI Close Date</t>
  </si>
  <si>
    <t>Svc Contract FMI Close Date</t>
  </si>
  <si>
    <t>Optional FMI Close Date</t>
  </si>
  <si>
    <t>Note 29</t>
  </si>
  <si>
    <t>SW Release Letter References</t>
  </si>
  <si>
    <t>See Note 1</t>
  </si>
  <si>
    <t>1. Add notes regarding FMI deployment and other special restrictions/conditions etc. in the Notes Sheet. 
2. Column A is the Note number and Column B is the description. 
3. Add references to these in the MR SW Matrix sheet Notes column using only the text "See Note xx". 
4. Avoid using multiple notes in one cell. If there is a need, create a new note that has all content and then add the reference.</t>
  </si>
  <si>
    <t>Rio R02 (Arcturus)</t>
  </si>
  <si>
    <t>RX27.0_R02_1831.a</t>
  </si>
  <si>
    <t xml:space="preserve">DOC2103990 </t>
  </si>
  <si>
    <t>DV26.0_R03_1831.b</t>
  </si>
  <si>
    <t>DV26.0 R03</t>
  </si>
  <si>
    <t>SW Release letter: DOC2154847</t>
  </si>
  <si>
    <t>60938</t>
  </si>
  <si>
    <t>60938: 5715001-20</t>
  </si>
  <si>
    <t>60940</t>
  </si>
  <si>
    <t>DOC2164953</t>
  </si>
  <si>
    <t>5809672</t>
  </si>
  <si>
    <t>Added Language Policy and updated formula error in ePM data Tab</t>
  </si>
  <si>
    <t>Correct errors</t>
  </si>
  <si>
    <t>Karthik</t>
  </si>
  <si>
    <t>DOC2155089
DOC2166170</t>
  </si>
  <si>
    <t>YU Moqing</t>
    <phoneticPr fontId="17" type="noConversion"/>
  </si>
  <si>
    <t>PX26.0</t>
    <phoneticPr fontId="17" type="noConversion"/>
  </si>
  <si>
    <t>SIGNA Voyager</t>
  </si>
  <si>
    <t>SIGNA Voyager</t>
    <phoneticPr fontId="0"/>
  </si>
  <si>
    <t>PX26.0_R01_1723.a.PPA</t>
    <phoneticPr fontId="17" type="noConversion"/>
  </si>
  <si>
    <t>Service Pack for DIODS KPA</t>
    <phoneticPr fontId="17" type="noConversion"/>
  </si>
  <si>
    <t>PX26.0_EC_1646.a</t>
  </si>
  <si>
    <t>PX26.0_EC_1646.a</t>
    <phoneticPr fontId="17" type="noConversion"/>
  </si>
  <si>
    <t>PX26.0_EC_1649.a</t>
  </si>
  <si>
    <t>PX26.0_EC_1649.a</t>
    <phoneticPr fontId="17" type="noConversion"/>
  </si>
  <si>
    <t>PX26.0_R01_1713.b</t>
  </si>
  <si>
    <t>PX26.0_R01_1713.b</t>
    <phoneticPr fontId="17" type="noConversion"/>
  </si>
  <si>
    <t>PX26.0_R01_1704.a</t>
  </si>
  <si>
    <t>PX26.0_R01_1704.a</t>
    <phoneticPr fontId="17" type="noConversion"/>
  </si>
  <si>
    <t>PX26.0_R02_1836.a</t>
  </si>
  <si>
    <t>PX26.0_R02_1836.a</t>
    <phoneticPr fontId="17" type="noConversion"/>
  </si>
  <si>
    <t xml:space="preserve">PX26.2_R01_1824.a </t>
    <phoneticPr fontId="17" type="noConversion"/>
  </si>
  <si>
    <t>SIGNA Voyager</t>
    <phoneticPr fontId="17" type="noConversion"/>
  </si>
  <si>
    <t>None</t>
    <phoneticPr fontId="17" type="noConversion"/>
  </si>
  <si>
    <t>BJG</t>
    <phoneticPr fontId="17" type="noConversion"/>
  </si>
  <si>
    <t>SP-02</t>
    <phoneticPr fontId="17" type="noConversion"/>
  </si>
  <si>
    <t>Add new released.
Correct SV23.0 information</t>
    <phoneticPr fontId="17" type="noConversion"/>
  </si>
  <si>
    <t>SV25.0_R07_1725.b</t>
    <phoneticPr fontId="17" type="noConversion"/>
  </si>
  <si>
    <t>R, RA, RB, RD</t>
    <phoneticPr fontId="17" type="noConversion"/>
  </si>
  <si>
    <t>SV25.0_R07_1725.b</t>
    <phoneticPr fontId="17" type="noConversion"/>
  </si>
  <si>
    <t>SV25.0_R07_1725.c</t>
    <phoneticPr fontId="17" type="noConversion"/>
  </si>
  <si>
    <t>SV25.0_R07_1725.d</t>
    <phoneticPr fontId="17" type="noConversion"/>
  </si>
  <si>
    <t>SV25.0_R08_1822.b</t>
    <phoneticPr fontId="17" type="noConversion"/>
  </si>
  <si>
    <t>PX25.0_R01_1603.a</t>
    <phoneticPr fontId="17" type="noConversion"/>
  </si>
  <si>
    <t>SV25.0_R08_1822.c</t>
    <phoneticPr fontId="17" type="noConversion"/>
  </si>
  <si>
    <t>SV25.0_R08_1822.d</t>
    <phoneticPr fontId="17" type="noConversion"/>
  </si>
  <si>
    <t>SV25.1_R05_1823.a</t>
    <phoneticPr fontId="0"/>
  </si>
  <si>
    <t>PX26.0_R02_1836.a</t>
    <phoneticPr fontId="0"/>
  </si>
  <si>
    <t>SV23.1_R01_1548.a</t>
    <phoneticPr fontId="17" type="noConversion"/>
  </si>
  <si>
    <t>SV25.1_R05_1823.a</t>
    <phoneticPr fontId="17" type="noConversion"/>
  </si>
  <si>
    <t>DV26.0_R03_1831.b</t>
    <phoneticPr fontId="17" type="noConversion"/>
  </si>
  <si>
    <t>60936A</t>
  </si>
  <si>
    <t>5809114</t>
  </si>
  <si>
    <t>DOC2165954
DOC2175283</t>
  </si>
  <si>
    <t>60936B</t>
  </si>
  <si>
    <t>16-Oct-2018</t>
  </si>
  <si>
    <t>5809116</t>
  </si>
  <si>
    <t xml:space="preserve">  Sites with prior version of 11x software must update to 11.1 via FMI 60747 and FMI 60808E
 FMI60936A was released in Oct 2018 providing repackaged Apps + SP disc so that same disk will contain SP 05 as well, FMI closure date of original FMI is retained as SP should already be available at site</t>
  </si>
  <si>
    <t xml:space="preserve"> Sites with prior versions of 12x software must update to 12.0_M5B_0846.d per FMI 60752 and FMI 60808B (SP-02)
 FMI60936B was released in Oct 2018 providing repackaged Apps + SP disc so that same disk will contain SP-02 as well, FMI closure date of original FMI is retained as SP should already be available at site</t>
  </si>
  <si>
    <t>Americas: 5805934
EU: 5809855
Asia: 5809857</t>
  </si>
  <si>
    <t>60936CA (Americas)
60936CB (EU)
60936CC (Asia)</t>
  </si>
  <si>
    <t>DOC2172590
DOC2175283</t>
  </si>
  <si>
    <t>60936D</t>
  </si>
  <si>
    <t>5809535</t>
  </si>
  <si>
    <t>DOC2168939
DOC2175283</t>
  </si>
  <si>
    <t>Sites running any version of 14.x should have upgraded to 15.x via FMI's. 
Determine if customer refused upgrade FMI.  If not, site can be upgraded via FMI 60776 + 67816AB
FMI60936CA,CB.CC released in Oct 2018 upgraded all these sites to HD16.0_V03 unless the site may have been out of Service Contract and have had hardware compatibility issues. If hardware in non-contract site were incompatible, then site should receive FMI60936E safety FMI</t>
  </si>
  <si>
    <t>60936CA (Americas)
60936CB (EU)
60936CC (Asia)
60936E(non-contract sites with hardware issue)</t>
  </si>
  <si>
    <t>Americas: 5805934
EU: 5809855
Asia: 5809857
60936E: 5810923</t>
  </si>
  <si>
    <t>DOC2172590
DOC2175283
DOC2172591</t>
  </si>
  <si>
    <t xml:space="preserve"> Sites with HD16.0_V02_1131.a software must be at a minumun of SP-01.  FMI  60839 was an Optional FMI that introduced SP-02. Also SP-03 was released with forward production  HD16.0_V02_1131.a sites to support new hardware. 
FMI60936D released in Oct 2018 upgraded all these sites to HD16.0_V03_1131.a</t>
  </si>
  <si>
    <t>update PX26.0 and PX26.2 from row 188 to 194 for PX26.0 R01 service pack, PX26.0 R02 and PX26.2 R01 service pack
delete SV23.0 1404.b since it wasn't delivered to any customer site.</t>
  </si>
  <si>
    <t>PX26.1_R02_1833.a</t>
  </si>
  <si>
    <t>PX25.1_R02_1833.a</t>
  </si>
  <si>
    <t>PX26.1_R01_1723.d.PC</t>
  </si>
  <si>
    <t>SW RL (DOC2127930)
DOC2166129 - R01_SP03</t>
  </si>
  <si>
    <t>DOC2159662</t>
  </si>
  <si>
    <r>
      <t xml:space="preserve">Deployed with Diode based TDI PA FRU </t>
    </r>
    <r>
      <rPr>
        <b/>
        <sz val="11"/>
        <color theme="1"/>
        <rFont val="GE Inspira"/>
        <family val="2"/>
      </rPr>
      <t xml:space="preserve">5798161 </t>
    </r>
    <r>
      <rPr>
        <sz val="11"/>
        <color theme="1"/>
        <rFont val="GE Inspira"/>
        <family val="2"/>
      </rPr>
      <t>only - No FMI Kit</t>
    </r>
  </si>
  <si>
    <t>Updated FMI60936 details to the 11x, 12x, 14x, 15x and 16x products
Changed classification of FMI 60905 Dv25.1_R01 SP01 from Safety FMI to Quality service pack for MR750W systems 
Added Pioneer PX26.1 and PX25.1 R02 release information. Added PX26.1_R01 SP03 information</t>
  </si>
  <si>
    <t>FMI60936 release
Vega A release
Error correction</t>
  </si>
  <si>
    <t>SW Release letter:DOC2185159</t>
  </si>
  <si>
    <t>SV23.1_EA_1419.a</t>
  </si>
  <si>
    <t>SV23.1_EA_1419.a</t>
    <phoneticPr fontId="0"/>
  </si>
  <si>
    <t>SV25.1_EB_1639.a</t>
  </si>
  <si>
    <t>SV25.1_EB_1639.a</t>
    <phoneticPr fontId="17" type="noConversion"/>
  </si>
  <si>
    <t>SV25.2_EA_1837.b</t>
  </si>
  <si>
    <t>SV25.2_EA_1837.b</t>
    <phoneticPr fontId="17" type="noConversion"/>
  </si>
  <si>
    <t>SV25.0_R06_1640.a</t>
  </si>
  <si>
    <t>SV25.0_R06_1640.a</t>
    <phoneticPr fontId="17" type="noConversion"/>
  </si>
  <si>
    <t>supplement all missing release and FMI information</t>
    <phoneticPr fontId="17" type="noConversion"/>
  </si>
  <si>
    <t>YU Moqing
ZHANG Quan
SUN Lin</t>
    <phoneticPr fontId="17" type="noConversion"/>
  </si>
  <si>
    <t>update:
HDSV: 
  SV20.1_IB3_1213.a, 
  SV20.1_V04_1435.a,
  SV20.1_IB2_1122.a 
16BEAT: 
  SV23.0_V05_1404.b, 
  SV23.0_V05_1436.a
Bamboo: 
  SV23.1_EA_1419.a
SV25.0 R06: 
  SV25.0_R06_1640.a
  SV25.0_R06_1640.b
  SV25.0_R06_1712.b
SV25.1:
  SV25.1_EB_1639.a
  SV25.1_R04_1743.a
  SV25.1_R05_1823.a
SV25.2: SV25.2_EA_1837.b
PX26.0: PX26.0_R01_1723.a</t>
  </si>
  <si>
    <t xml:space="preserve">PX26.2_R01_1824.a </t>
  </si>
  <si>
    <t>1. Updated Architect with Vega B release DV27.0_R01_1850.a
2. Updtaed Premier with Vega B release RX27.0_R03_1850.c</t>
  </si>
  <si>
    <t>Release of Vega B program</t>
  </si>
  <si>
    <t>Note 30</t>
  </si>
  <si>
    <t>DV27.0_R01_1850.a releases only for SIGNA Architect and not Architect T configuration .
It is not a mandatory FMI to the Architect Sites on DV26.0 software.</t>
  </si>
  <si>
    <t>Vega B</t>
  </si>
  <si>
    <t>DV27.0_R01_1850.a</t>
  </si>
  <si>
    <t>DOC2209511</t>
  </si>
  <si>
    <t>RX27.0_R03_1850.a</t>
  </si>
  <si>
    <t>DOC2209511  </t>
  </si>
  <si>
    <t>DV26.0_R03_1831.b.PC</t>
  </si>
  <si>
    <t>11-Oct-2019</t>
  </si>
  <si>
    <t>DOC2214839</t>
  </si>
  <si>
    <t>60948 (RSD + DVD)</t>
  </si>
  <si>
    <t>60947A</t>
  </si>
  <si>
    <t>Note 31</t>
  </si>
  <si>
    <t>E2.0_M4_0502.b.PM</t>
  </si>
  <si>
    <t>28-Jun-2019</t>
  </si>
  <si>
    <t>5814005</t>
  </si>
  <si>
    <t>See Note 31</t>
  </si>
  <si>
    <t>G3.0_M4B_0513.a.PK</t>
  </si>
  <si>
    <t>60947B</t>
  </si>
  <si>
    <t>5814006</t>
  </si>
  <si>
    <t>DOC1158675
DOC2202358</t>
  </si>
  <si>
    <t>E2, G3, 9X  received FMI 60947(A,B or C  refer the matrix) that replaced contents of  FMI 60808 (for E2 and G3) and FMI 60748 for 9x with new SW Media that had combined Apps and Servicepack in one CD/DVD</t>
  </si>
  <si>
    <t>60947C</t>
  </si>
  <si>
    <t>5814007</t>
  </si>
  <si>
    <t>DOC0387876
DOC2202309</t>
  </si>
  <si>
    <t>60947D</t>
  </si>
  <si>
    <t>5815952</t>
  </si>
  <si>
    <t>DOC2202309</t>
  </si>
  <si>
    <t>Safety FMI 60947D containing HD23.0_V03 is shipped to avoid the risk of safety service pack not being loaded as there was a separate service pack Media on HD23.0_V01 Software.</t>
  </si>
  <si>
    <t>15-Mar-2019</t>
  </si>
  <si>
    <t>MP24.0_R03_1712.b</t>
  </si>
  <si>
    <t>MP26.0_EA_1747.c</t>
  </si>
  <si>
    <t>MP26.0_R01_1824.b</t>
  </si>
  <si>
    <t>MP26.0_R01_1824.b.PA</t>
  </si>
  <si>
    <t>DV23.0_V01_1142.a.PH</t>
  </si>
  <si>
    <t>PROFILEHD.0_M4_0736.a.PE</t>
  </si>
  <si>
    <t>4.00</t>
  </si>
  <si>
    <t>4.01</t>
  </si>
  <si>
    <t>4.02</t>
  </si>
  <si>
    <t>Updated Service Packs information for :
FMI 60948  DV 26.0 R03 SP1
FMI 60947A  E2
FMI 60947B  G3
FMI 60947C  9.X
FMI 60947D HD 23
RX27.0_R03 SP01
Added the Following SW for SIGNA Creator Explorer system:
SV25.0_R06_1712.a, c and d</t>
  </si>
  <si>
    <t>Image Flip CAPA FMI and Vega B Service Pack release on Premier
Other clean up on tracker</t>
  </si>
  <si>
    <t>PX26.0_R01_1721.a</t>
  </si>
  <si>
    <t>KIZUNA 1.5T</t>
  </si>
  <si>
    <t>DOC1860300</t>
  </si>
  <si>
    <t>HDE15.0_M4_0916.a.PB</t>
  </si>
  <si>
    <t>67810</t>
  </si>
  <si>
    <t>10-Jun-2011</t>
  </si>
  <si>
    <t>5394518</t>
  </si>
  <si>
    <t>5392366-1EN</t>
  </si>
  <si>
    <t>SV25.2_R01_1849.a</t>
  </si>
  <si>
    <t>SV25.2</t>
  </si>
  <si>
    <t>None only RSD</t>
  </si>
  <si>
    <t>SP-01,SP-02</t>
  </si>
  <si>
    <t>DV25.1_R03_1802.a.PC, DV25.1_R03_1802.a.PD</t>
  </si>
  <si>
    <t>60935 &amp; RSD, 60951 &amp; RSD</t>
  </si>
  <si>
    <t>28-Sep-2018,11-Oct-2019</t>
  </si>
  <si>
    <t xml:space="preserve"> 5799482, 5826052</t>
  </si>
  <si>
    <t xml:space="preserve">DOC2123882, DOC2258470 </t>
  </si>
  <si>
    <t>DOC2254931</t>
  </si>
  <si>
    <t>HFO3.29I_M4_0320.a.PP</t>
  </si>
  <si>
    <t>DOC1151320, DOC2254931</t>
  </si>
  <si>
    <t>DOC1009082, DOC2254931</t>
  </si>
  <si>
    <t>5428939TPH, DOC2254931</t>
  </si>
  <si>
    <t>DOC1151326, DOC2254931</t>
  </si>
  <si>
    <t>DV27.1_R01_1916.a</t>
  </si>
  <si>
    <t>Artist Air</t>
  </si>
  <si>
    <t>NPIs and FMIs roll out</t>
  </si>
  <si>
    <t>THINGS NOT TO DO</t>
  </si>
  <si>
    <t>Do not add multiple service packs of the same kind in the matrix for a given product and software revision. E.g.: 2 safety service packs for a single product on a single software. If there is such a case, then manage by adding notes until the field is completely updated with the new FMI and then replace the old service pack with the new one</t>
  </si>
  <si>
    <t>Note 32</t>
  </si>
  <si>
    <t>Note 33</t>
  </si>
  <si>
    <t>Note 34</t>
  </si>
  <si>
    <t>Note 35</t>
  </si>
  <si>
    <t>Note 36</t>
  </si>
  <si>
    <t>See Note 32</t>
  </si>
  <si>
    <t>OPENMR4.292a_M4_0844.a.PA</t>
  </si>
  <si>
    <t>67815C</t>
  </si>
  <si>
    <t>4-May-2012</t>
  </si>
  <si>
    <t>5428777</t>
  </si>
  <si>
    <t>5432494TPH</t>
  </si>
  <si>
    <t>67815B</t>
  </si>
  <si>
    <t>21-Jun-2012</t>
  </si>
  <si>
    <t>5428776</t>
  </si>
  <si>
    <t>5447880</t>
  </si>
  <si>
    <t>FMI 60947N (Part#: 5815994) deployed a new FMI in Q2 2019, in response to Image Flip CAPA to check and correct sites that did not load the safety service packs. In this case SP04 is sufficient for safety, however if the site did not have the safety service pack installed, FMI 60947N provided them with SP05 which contains fixes from SP04. Refer DOC2254931 in SIMS for more information</t>
  </si>
  <si>
    <t>FMI 60947K (Part#: 5815992)deployed a new FMI in Q2 2019, in response to Image Flip CAPA to check and correct sites that did not load the safety service packs. In this case SP04 is sufficient for afety, however if the site did not have the safety service pack installed, FMI 60947K provided them with SP05 which contains fixes from SP04. Refer DOC2254931 in SIMS for more information</t>
  </si>
  <si>
    <t>FMI 60947M (Part#: 5817565)deployed a new FMI in Q2 2019, in response to Image Flip CAPA to check and correct sites that did not load the safety service packs. In this case SP08 is sufficient for safety, however if the site did not have the safety service pack installed, FMI 60947M provided them with SP09 which contains fixes from SP08. Refer DOC2254931 in SIMS for more information</t>
  </si>
  <si>
    <t>HDE15.0_M4_0943.c.PE</t>
  </si>
  <si>
    <t>67816C</t>
  </si>
  <si>
    <t>27-Oct-2017</t>
  </si>
  <si>
    <t>DOC1189419,DOC1414015</t>
  </si>
  <si>
    <t>Note 37</t>
  </si>
  <si>
    <t>Note 38</t>
  </si>
  <si>
    <t>Note 39</t>
  </si>
  <si>
    <t>FMI 60947G (Part#: 5815988)deployed a new safety FMI in Q2 2019 with repackaged apllications sw and service pack combined media, in response to Image Flip CAPA to check and correct sites that did not load the safety service packs.</t>
  </si>
  <si>
    <t>FMI 60947I (Part#: 5815991)deployed a new safety FMI in Q2 2019 with repackaged apllications sw and service pack combined media, in response to Image Flip CAPA to check and correct sites that did not load the safety service packs.</t>
  </si>
  <si>
    <t>FMI 60947L (Part#: 5815997)deployed a new safety FMI in Q2 2019 with repackaged apllications sw and service pack combined media, in response to Image Flip CAPA to check and correct sites that did not load the safety service packs.</t>
  </si>
  <si>
    <t>FMI 60947H (Part#: 5815989)deployed a new safety FMI in Q2 2019 with repackaged apllications sw and service pack combined media, in response to Image Flip CAPA to check and correct sites that did not load the safety service packs.</t>
  </si>
  <si>
    <t>67815D</t>
  </si>
  <si>
    <t>67706</t>
  </si>
  <si>
    <t>67626</t>
  </si>
  <si>
    <t>67816BC</t>
  </si>
  <si>
    <t>67816BB</t>
  </si>
  <si>
    <t>12-Sep-2014</t>
  </si>
  <si>
    <t>5428778</t>
  </si>
  <si>
    <t>5336643</t>
  </si>
  <si>
    <t>5433682</t>
  </si>
  <si>
    <t>5454305</t>
  </si>
  <si>
    <t>5450216</t>
  </si>
  <si>
    <t>See Note 35</t>
  </si>
  <si>
    <t>See Note 39</t>
  </si>
  <si>
    <t>See Note 37</t>
  </si>
  <si>
    <t>See Note 38</t>
  </si>
  <si>
    <t xml:space="preserve"> For Profile5 SP-01 was released with forward production only, there was no FMI.</t>
  </si>
  <si>
    <t>See Note 33</t>
  </si>
  <si>
    <t>SP-08</t>
  </si>
  <si>
    <t>See Note 34</t>
  </si>
  <si>
    <t>See Note 36</t>
  </si>
  <si>
    <t>FMI 60947J (Part#: 5816524)deployed a new safety FMI in Q2 2019 with repackaged apllications sw and service pack combined media, in response to Image Flip CAPA to check and correct sites that did not load the safety service packs. Refer DOC2254931 in SIMS for more information</t>
  </si>
  <si>
    <t>SP1</t>
  </si>
  <si>
    <t>PX26.2_R01_1824.a.PA</t>
  </si>
  <si>
    <t>Note 40</t>
  </si>
  <si>
    <t>PX26.2_R01_1824.a Service Pack 01 ships only with coil and SW collector. There is no FMI for this service pack. See DOC2175343</t>
  </si>
  <si>
    <t>1. Updated DV25.1_R03_1802.a sw revision for SP02 availability
2. Updated FMI60947G Information
3. Updated FMI60947M Information
4. Updated FMI60947H Information
5. Updated FMI60947I Information
6. Updated FMI60947J Information
7. Updated FMI60947K Information
8. Updated FMI60947N Information
9. Updated FMI60947L Information
10. Updated FMI60947E Information
11. Updated FMI60947F Information
12. Added Artist Air Update for DV27.1 on Artist
13. Added Optional Service Pack for PX26.2_R01_1824.a</t>
  </si>
  <si>
    <t>DV28.0_R01_1929.a</t>
  </si>
  <si>
    <t>Case 1: Add new SW Revision to Existing Product:
- Type in the new SW Revision in Reference Lists sheet directly below the Previous SW revisions for the Product
- Access the Formulas tab
- Click on Name Manager
- Under the Name column, select the Product name that is being updated with new SW
- Click on "Edit"
- Update the range to include the new SW revisions just added</t>
  </si>
  <si>
    <t>RX28.0_R01_1929.a</t>
  </si>
  <si>
    <t>PX28.0_R01_1929.a</t>
  </si>
  <si>
    <t>SIGNA Pioneer 3.0T</t>
  </si>
  <si>
    <t>Vega C</t>
  </si>
  <si>
    <t>DOC2291323</t>
  </si>
  <si>
    <t>DOC2245733</t>
  </si>
  <si>
    <t xml:space="preserve">1. Go to MR SW Matrix sheet scroll down to a new empty row in column A, choose the Product from Drop Down List
2. In Column B key in program name
3. In Column C, drop down and select the SW Revision
4. Enter only 1 Field Strength is column D (15000 or 30000 or 70000 etc.)
5. If more FS are supported then add new rows
6. Columns E, F and G and H are pertaining to any Safety Service Pack released on this SW
7. If no service pack then type None in all columns retaining to Service Packs
8. Follow same for Quality Service Pack and Optional Service Packs
9. Columns V and W are all related to Full SW FMIs that replace the SW version just added. So at the release of the new SW, there will not be any FMI...mention exactly the same software version as in column C.
10. In this scenario, Columns X through AB will record "None". Reference the iServ DOC number in column AC.
11. If there are any special considerations, enter a new line in the "Notes" tab. Then refer to that line in column AD on the "MR SW Matrix" tab as "See Note xxx"
12. Enter makecenter that owns the program in column AE.
13. Reference software release letter in column AF.
</t>
  </si>
  <si>
    <t>PX26.2_R02_1914.a</t>
  </si>
  <si>
    <t>SV25.2_R02_1920.a</t>
  </si>
  <si>
    <t>HD28.0_R01_1925.a</t>
  </si>
  <si>
    <t>SV25.2_R02</t>
  </si>
  <si>
    <t>HOPE</t>
  </si>
  <si>
    <t>Note 41</t>
  </si>
  <si>
    <t>DOC2140085</t>
  </si>
  <si>
    <t>SP-01,
SP-02,
SP-03</t>
  </si>
  <si>
    <t>MP24.0_R03_1712.b.PA,
MP24.0_R03_1712.b.PB
MP24.0_R03_1712.b.PC</t>
  </si>
  <si>
    <t>60916B,
60922
60955</t>
  </si>
  <si>
    <t>27-Nov-2017,
25-Jan-2018,
20-Dec-2019</t>
  </si>
  <si>
    <t>5715001-15,
5715001-16,
5715001-22</t>
  </si>
  <si>
    <t>DOC1987065,
DOC2029527,
DOC2274680</t>
  </si>
  <si>
    <t>DOC2260542</t>
  </si>
  <si>
    <t>DV27.0_R01_1850.a.PF</t>
  </si>
  <si>
    <t>RX27.0_R03_1850.a.PF</t>
  </si>
  <si>
    <t>60953</t>
  </si>
  <si>
    <t>60954</t>
  </si>
  <si>
    <t>DOC2181425, DOC2267569</t>
  </si>
  <si>
    <t>Michaela</t>
  </si>
  <si>
    <t>DV26.0_R04_1921.a</t>
  </si>
  <si>
    <t>Artist DOD</t>
  </si>
  <si>
    <t>Note 42</t>
  </si>
  <si>
    <t>SP01</t>
  </si>
  <si>
    <t>PX26.1_R02_1833.a.PA</t>
  </si>
  <si>
    <t>Note 43</t>
  </si>
  <si>
    <t>PX25.1_R02_1833.a and PX26.1_R02_1833.a Service Pack 1 is needed only for the new GP4 part#: 6237000-3 that is cut in ~Q3 2019 into the Pioneer product. This service pack is not deplyed as an FMI</t>
  </si>
  <si>
    <t>7.67,7.72,7.80,7.81,7.82,7.84</t>
  </si>
  <si>
    <t>V/R 4.11, V/R 4.13</t>
  </si>
  <si>
    <t>Note 44</t>
  </si>
  <si>
    <t>DV26.0_R04 software was released through Artis DOD program on all DV products, Architect and Artist systems. The release on Architect and Artist is only for DoD needs and for shipment to China Region. Forward Production Architect and Artist systems will ship with DV27 or later software.</t>
  </si>
  <si>
    <t>26-Jan-2020</t>
  </si>
  <si>
    <t>1. Update for FMI 67931 PX26.2_R02
2. Added Vega C software release information
3. Updated Vega B service pack information
4. Updated PETMR MP24.0 service pack SP-03 information
5. Added HOPE software release information
6. Added SV25.2_R02 software release information
7. Updated FMI 67928 strategy
8. Added DV26.0_R04 software for all of DV and Architect/Artist products. Release from Artist DOD program
9. Updated Service Pack 1 information for Pioneer on software PX26.1_R02_1833.a and PX25.1_R02_1833.a for GP4 compatibility
10. Added Safety Service Pack for SV25.0_R08</t>
  </si>
  <si>
    <t>SV25.0_R05_1616.a</t>
  </si>
  <si>
    <t>SV25.1_R06_1925.a</t>
  </si>
  <si>
    <t>1. Updated HD23.0_V03_1614.b Field strength 15000. Added SP01 Quality Service Pack
2. Corrected typo in P/N 55061778. Correct number is 5506178
3. Updated SV25.0 software related to FMI60947F to minimum software required as SV25.0_R05_1616.a
4. Added Signa HD 3T field strenth rows
5. Multiple updates for FMI 67933</t>
  </si>
  <si>
    <t>SV25.0_R07_1725.d, SV25.0_R09_1928.b</t>
  </si>
  <si>
    <t>SV25.0_R09_1928.b</t>
  </si>
  <si>
    <t>FMI 67933 rollout and various corrections</t>
  </si>
  <si>
    <t>68017</t>
  </si>
  <si>
    <t>27-Dec-2018</t>
  </si>
  <si>
    <t>DOC2129059</t>
  </si>
  <si>
    <t>60941</t>
  </si>
  <si>
    <t>60942</t>
  </si>
  <si>
    <t>Note 45</t>
  </si>
  <si>
    <t>FMI 60941 (Kit Part # 5813029)- Only for limited CSO release as per the consignee list DOC2181074
FMI 60942 (Kit Part # 5813028)- Only for China- Mandatory for all sites with PX25.1 R01 SW as per the consignee list DOC2181081</t>
  </si>
  <si>
    <t>See Note 45</t>
  </si>
  <si>
    <t>5813029</t>
  </si>
  <si>
    <t>5813028</t>
  </si>
  <si>
    <t>13-Sep-2019</t>
  </si>
  <si>
    <t>31-May-2019</t>
  </si>
  <si>
    <t>5837018</t>
  </si>
  <si>
    <t>67935</t>
  </si>
  <si>
    <t>DV26.0_R04_1921.a.PA</t>
  </si>
  <si>
    <t>DOC2322207</t>
  </si>
  <si>
    <t>DOC2272709, DOC2297136</t>
  </si>
  <si>
    <t>HD28.0_R02_1948.a</t>
  </si>
  <si>
    <t>DV28.1_R01_1948.b</t>
  </si>
  <si>
    <t>DV27.1_R02_1934.a</t>
  </si>
  <si>
    <t>PX26.0_R03_1941.a</t>
  </si>
  <si>
    <t>MP26.0_R02_1941.a</t>
  </si>
  <si>
    <t>Artist IPM</t>
  </si>
  <si>
    <t>DOC2304886</t>
  </si>
  <si>
    <t>IB Release</t>
  </si>
  <si>
    <t>MP26 R02</t>
  </si>
  <si>
    <t>DOC2336900</t>
  </si>
  <si>
    <t>Updates to NPIs and FMIs since Rev 42</t>
  </si>
  <si>
    <t>RX28.0_R02_1946.a</t>
  </si>
  <si>
    <t>Polaris A</t>
  </si>
  <si>
    <t>DOC2288666</t>
  </si>
  <si>
    <t>Discovery MR750W</t>
  </si>
  <si>
    <t>DV28.0_R02_1947.a</t>
  </si>
  <si>
    <t>PX28.0_R02_1947.a</t>
  </si>
  <si>
    <t>Vega C R02</t>
  </si>
  <si>
    <t>DOC2176956</t>
  </si>
  <si>
    <t>SV25.0_R09_1928.a</t>
  </si>
  <si>
    <t>FMI67933</t>
  </si>
  <si>
    <t xml:space="preserve">DOC1884775 </t>
  </si>
  <si>
    <t>SV25.3_R01_1948.b</t>
  </si>
  <si>
    <t>Mulan Skylake</t>
  </si>
  <si>
    <t>DOC2314654</t>
  </si>
  <si>
    <t>Note 46</t>
  </si>
  <si>
    <t>SV25.3_R01_1948.b will phase in SIGNA MR355 / SIGNA MR360 which for China only</t>
  </si>
  <si>
    <t>DV28.1_R02_2002.a</t>
  </si>
  <si>
    <t>DOC2339963</t>
  </si>
  <si>
    <t>1. Updated new SW Revisions DV28.1_R02 forArtist IPM program release
2. Updated FMI strategy for Vega R01 FMI 60961A, B, C and D</t>
  </si>
  <si>
    <t>Updates to NPIs and FMIs since Rev 43</t>
  </si>
  <si>
    <t>Updates to NPIs and FMIs since Rev 44</t>
  </si>
  <si>
    <t>23-May-2020</t>
  </si>
  <si>
    <t>60961E</t>
  </si>
  <si>
    <t>5842577</t>
  </si>
  <si>
    <t>60958</t>
  </si>
  <si>
    <t>15-Aug-2020</t>
  </si>
  <si>
    <t>5715001-23</t>
  </si>
  <si>
    <t xml:space="preserve"> FMI 60884F released HD16.0_V03 to all 3.0T sites that previously were at HD16.0_V01, HD16.0_V02, 15.0_M4A &amp; 15.0_M4B.  This is the Head SAR fix for the noted 15x and HD16 3.0T sites.
 FMI60936CA,CB.CC released in Oct 2018 upgraded all these sites to HD16.0_V03 unless the site may have been out of Service Contract and have had hardware compatibility issues. If hardware in non-contract site were incompatible, then site should receive FMI60936E safety FMI</t>
  </si>
  <si>
    <t xml:space="preserve"> Safety FMI 60884D introduced Head SAR fix for 3.0T sites only.
 Business (Non safety) FMI 60886A and 60886B introduced non-safety fixes for 1.5T </t>
  </si>
  <si>
    <t>DV28.0_R04_2007.a</t>
  </si>
  <si>
    <t>Signa Architect</t>
  </si>
  <si>
    <t>Orion</t>
  </si>
  <si>
    <t>VX28.0_R01_2002.b</t>
  </si>
  <si>
    <t>Signa Voyager</t>
  </si>
  <si>
    <t>Voyager IPMAir</t>
  </si>
  <si>
    <t>DOC2301760</t>
  </si>
  <si>
    <t>Note 47</t>
  </si>
  <si>
    <t>Only for Voyager Air IPM Pilot sites</t>
  </si>
  <si>
    <t>HD16.0_V02_1131.a.PB</t>
  </si>
  <si>
    <t>Note 48</t>
  </si>
  <si>
    <t>FMI 60961 deployed in Q1 2020 is a safety FMI fixing the date/time setting prolem to all sites on the MR28 R01 release of software</t>
  </si>
  <si>
    <t>See Note 48</t>
  </si>
  <si>
    <t>SV25.0_R08_1822.d</t>
  </si>
  <si>
    <t>SV25.0_R08_1822.c</t>
  </si>
  <si>
    <t>SV25.0_R08_1822.b</t>
  </si>
  <si>
    <t>SV_23.1_EB_1507.a. EB software was delivered via FMI67918B to exactly 5 sites</t>
  </si>
  <si>
    <t>Note 49</t>
  </si>
  <si>
    <t>Note 50</t>
  </si>
  <si>
    <t>FMI 60947F: If site is at SV25.0_R05 it must have been installed with SP01. If not,  SV25.0_R06 should be loaded as part of FMI. If software version is earlier than
SV25.0_R05 upgrade to SV25.0_R06 as part of FMI execution</t>
  </si>
  <si>
    <t>Note 51</t>
  </si>
  <si>
    <t>Note 52</t>
  </si>
  <si>
    <t>Note 53</t>
  </si>
  <si>
    <t xml:space="preserve"> The MR750w and MR450w GEM systems received DV25 software via FMI 60867. It is possible for MR750, MR450 or non-GEM systems to also be at DV25.</t>
  </si>
  <si>
    <t>Safety FMI 60884B and 60884BC introduced the Head SAR fix for 3.0T sites only. SP-01 has been released for all international 3T sites. FMI 60884BC is for China only, FMI 60884B is for all other countries.</t>
  </si>
  <si>
    <t xml:space="preserve">
DV24.0_R02 was an cut into Forward Production and was an FMI that shipped through FMI60879 to only 8 customers … refer consignee list DOC1832155 in myworkshop (not accessible outside of GE). All Service Contract sites without BrainWave  hardware should be upgrading to DV25.1_R03_1802.a SP1 via FMI 60925 &amp; 60935. Determine if customer refused upgrade FMI.  If not, site can be upgraded.</t>
  </si>
  <si>
    <t xml:space="preserve">
FMI67933: This is a safety FMI for only 5 countries: Brazil, Colombia, Mexico, Japan and Saudi Arabia and applies only to fixed table configurations. The consignee list for this safety FMI is limited to only these countries.This FMI delivers the software including the Coil DB fix for the 16ch HNA coil warming issue to 1.5T Optima MR360 16 channel with fixed table configuration and 1.5T SIGNA Explorer with fixed table configuration.</t>
  </si>
  <si>
    <t>Note 54</t>
  </si>
  <si>
    <t xml:space="preserve">  
FMI 60895: This is needed for all MR450w sites that shipped as forward production with release DV25.0_R02 software. All Service Contract sites without BrainWave  hardware should be upgrading to DV25.1_R03_1802.a SP1 via FMI 60925 &amp; 60935. Determine if customer refused upgrade FMI.  If not, site can be upgraded.</t>
  </si>
  <si>
    <t>Note 55</t>
  </si>
  <si>
    <t xml:space="preserve">
FMI 67931: This is an on-request FMI. The purpose is only to provide the SIGNA Voyager 1.5T software PX26.2_R02 to the site requested to resolve StudyUID Truncation issue which only occurs when the StudyUID is greater than 62 bits.</t>
  </si>
  <si>
    <t>DV28.0_R03_2006.c</t>
  </si>
  <si>
    <t>PX28.0_R03_2006.c</t>
  </si>
  <si>
    <t>RX28.0_R03_2006.c</t>
  </si>
  <si>
    <t>Signa Premier</t>
  </si>
  <si>
    <t>Vega C R03</t>
  </si>
  <si>
    <t>DOC2341827</t>
  </si>
  <si>
    <t>SW Version</t>
  </si>
  <si>
    <t>OS version</t>
  </si>
  <si>
    <t>MrpApps</t>
  </si>
  <si>
    <t>MrpResSrv</t>
  </si>
  <si>
    <t>Wind River</t>
  </si>
  <si>
    <t>Research Dev</t>
  </si>
  <si>
    <t>Vre OS</t>
  </si>
  <si>
    <t>VRE OS</t>
  </si>
  <si>
    <t>DV26.0_R05_2008.a</t>
  </si>
  <si>
    <t>HELiOS 6.6.2</t>
  </si>
  <si>
    <t>MrpAdvSrv</t>
  </si>
  <si>
    <t>BrainWave</t>
  </si>
  <si>
    <t>1aa2c4d716fb21bf48ed73f14bcf474136f95ba15ada8752900c86fa07d04a00</t>
  </si>
  <si>
    <t>ESE</t>
  </si>
  <si>
    <t>abc54e6f374ff4ab984e1a381b846434db40f3a5374b3f9debe02c94264b9f7e</t>
  </si>
  <si>
    <t>f7331559942c88c6ce15fe90de93c27dfc7e2b21838373b0c275cb795396221d</t>
  </si>
  <si>
    <t>ee7121b9a46fbcd0afa3cb22b5e20400f5c2c7de29eff0e55e5b2ae2025fe564</t>
  </si>
  <si>
    <t>f4294f9597414680299e1aefa8dade36378c613207100c4afcfa686d88b86eb1</t>
  </si>
  <si>
    <t>7b670e2304eba3053e7ebf0d606370978eecd163977aecac3d91518979d76d1f</t>
  </si>
  <si>
    <t>1687181e89982659d5f625e470e3c484cd41cccca91daef06330402d28cd0cb4</t>
  </si>
  <si>
    <t>paradigm studio</t>
  </si>
  <si>
    <t>cdf38b1fcfa8abdc721ce33c4d0a1856c07a62a0e09cd2047fce0a19f236146e</t>
  </si>
  <si>
    <t>d0a5541e638e12cbbe2c4cefcc6c571461d73c4ea44929342cbf95f056fda29f</t>
  </si>
  <si>
    <t>HELiOS 6.10</t>
  </si>
  <si>
    <t>Host OS</t>
  </si>
  <si>
    <t>90d6aedb4572ec2e22197e3268e3408787736660e4dc5cce33b30b62a8ed59c5</t>
  </si>
  <si>
    <t>4ab94931fa42b474ae03557cd4fa3ccdf3053b7fdd5b450d2373754bd881623f</t>
  </si>
  <si>
    <t>DV26.0_R05</t>
  </si>
  <si>
    <t>DOC2388555</t>
  </si>
  <si>
    <t>DOC2368474</t>
  </si>
  <si>
    <t>Note 56</t>
  </si>
  <si>
    <t>3-Apr-2021</t>
  </si>
  <si>
    <t>60860: 55496704
60860B: 55496704-2
60860C: 55496704-3
60959B: 5849458</t>
  </si>
  <si>
    <t>60959B: 5849458</t>
  </si>
  <si>
    <t>60860: 55496704
60860B: 55496704-2
60860C: 55496704-3
60925 for DV25: 5790115
60959B: 5849458</t>
  </si>
  <si>
    <t>DOC1482100 (FMI60860)
DOC2388555 (FMI60959)</t>
  </si>
  <si>
    <t>DOC1833130 (FMI60879)
DOC2388555 (FMI60959)</t>
  </si>
  <si>
    <t>DOC2388555 (FMI60959)</t>
  </si>
  <si>
    <t>FMI 60860: Non Contract MR450, MR450w, MR450wGEM and MR750 sites should have upgraded to DV24.0_R01 through FMI60860.</t>
  </si>
  <si>
    <t>Note 57</t>
  </si>
  <si>
    <t>Note 58</t>
  </si>
  <si>
    <t xml:space="preserve">
FMI 60901: Non Contract MR750w sites should have upgraded to DV25.1_R02 through FMI60901 safety FMI to address body coil heating/arching.
FMI 60925 &amp; FMI 60935: All Service Contract sites without BrainWave  hardware should be upgrading to DV25.1_R03_1802.a SP1 via FMI 60925 &amp; 60935. Determine if customer refused upgrade FMI.  If not, site can be upgraded.</t>
  </si>
  <si>
    <t>See Note 58</t>
  </si>
  <si>
    <t>See Note 56</t>
  </si>
  <si>
    <t>60901: 5766594
60959C: 5849459</t>
  </si>
  <si>
    <t>DOC1935177 (FMI60901)
DOC2388555 (FMI60959)</t>
  </si>
  <si>
    <t>Note 59</t>
  </si>
  <si>
    <t>See Note 59</t>
  </si>
  <si>
    <t>Svc Contract: 60959C</t>
  </si>
  <si>
    <t>Non Contract: 60884BC &amp; 60902B (China), 60884B &amp; 60902A (ROW)
Svc Contract: 60959C</t>
  </si>
  <si>
    <t xml:space="preserve">60884B: 5727484
60884BC: 5724604
60902B: 5758507
60902A: 5758706
60959C: 5849459 </t>
  </si>
  <si>
    <t>60959C: 5849459</t>
  </si>
  <si>
    <t>60888B</t>
  </si>
  <si>
    <t>31-Aug-2016</t>
  </si>
  <si>
    <t>5749272</t>
  </si>
  <si>
    <t>DOC1843552</t>
  </si>
  <si>
    <t>Non Contract: 60884A
Svc Contract: 60959C</t>
  </si>
  <si>
    <t xml:space="preserve">
Safety FMI 60884A introduced the Head SAR fix for 3.0T sites only.</t>
  </si>
  <si>
    <t>Note 60</t>
  </si>
  <si>
    <t>See Note 60</t>
  </si>
  <si>
    <t>Non Contract: 60901
Svc Contract: 60959C</t>
  </si>
  <si>
    <t>Non Service Contract (ROW): 60860
Non Service Contract (China): 60860B
Non Service Contract (China): 60860C
Svc Contract: 60959B</t>
  </si>
  <si>
    <t>Svc Contract: 60959B</t>
  </si>
  <si>
    <t>DOC1781252 (FMI60884)
DOC1878132 (FMI60902)
DOC2258474 (FMI60951)
DOC2388555 (FMI60959)</t>
  </si>
  <si>
    <t>DOC1772650 (FMI60884A)
DOC2258474 (FMI60951)
DOC2388555 (FMI60959)</t>
  </si>
  <si>
    <t>DOC2258474 (FMI60951)
DOC2388555 (FMI60959)</t>
  </si>
  <si>
    <t>Non GE Service Contract: 60939
GE Service Contract: 60959A</t>
  </si>
  <si>
    <t>Non GE Service Contract: 60939B
GE Service Contract: 60959A</t>
  </si>
  <si>
    <t>GE Service Contract: 60959A</t>
  </si>
  <si>
    <t xml:space="preserve">FMI60939B: 5809531-2
FMI60959A: 5849452
DV26 SW: 2156158-145
</t>
  </si>
  <si>
    <t>FMI60939: 5809531
FMI60959A: 5849452
DV26 SW: 2156158-145</t>
  </si>
  <si>
    <t>FMI60959A: 5849452</t>
  </si>
  <si>
    <t>FMI60959: DOC2388555</t>
  </si>
  <si>
    <t>FMI67935: DOC2294453
FMI60959: DOC2388555</t>
  </si>
  <si>
    <t>FMI60939: This business FMI deploys the DV26.0 R03 release of software to the sites defined in Customer Consignee List DOC2164623
DV26.0_R01 SP-01 content is NOT in SP02</t>
  </si>
  <si>
    <t>Note 61</t>
  </si>
  <si>
    <t>See Note 61</t>
  </si>
  <si>
    <t>Note 62</t>
  </si>
  <si>
    <t xml:space="preserve">
FMI 60959A: applies to all sites running DV26.0_R04 and earlier
FMI 60959B: applies to all 1.5T sites running DV25.1 or earlier.
FMI 60959C: applies to all 3.0T sites running DV25.1 or earlier, this C kit includes DST Body Receive Pre-amp Cable Replacement for MR750/MR750W.
FMI 60959 is only eligible for sites running on Dell T5810. FMI 60959 is not available to sites that are not under GE service contract.</t>
  </si>
  <si>
    <t>30-Sep-2020</t>
  </si>
  <si>
    <t>Updates to NPIs and FMIs since Rev 45
- Vega C R03
- DV26.0_R05
- Voyager IPM Air
- Orion
- FMI 60958, 60959
Corrections to the SW Matrix to clear confusion regarding FMI69733</t>
  </si>
  <si>
    <t>SHA256 Check Sums</t>
  </si>
  <si>
    <t>1. Added Orion Release Info
2. Updated for PET/MR FMI 60958
4. Added Vega C R03 entries for Architect Premier and Pioneer
5.Added Voyager IPM Air release
6. Corrected the SV25.0_R07_1725.b, c, d and SV25.0_R07_1822.b,c,d to apply to only Optima Brivo and not Creator Explorer
7. Added Note#s 49 through 61 in Notes Tab and updated references in the MR SW Matrix table
8. Added SW_OS ISO Checksums page to record SW OS mapping and checksums
9. Added DV26.0_R05 Release and FMI 60959 deployment details</t>
  </si>
  <si>
    <t>MR28.0_R03_2006.c</t>
  </si>
  <si>
    <t>HELiOS 7.5</t>
  </si>
  <si>
    <t>HELiOS 7.4</t>
  </si>
  <si>
    <t>10e49974939ca800a7542c854aacb9845cb0b459340ee4ef6d8f664bb458dc9a</t>
  </si>
  <si>
    <t>d4bd055909c72fa3568f6b1ad05e8ce0a89b2aed9daa4fd524eac2d2439b4ec</t>
  </si>
  <si>
    <t>5cbf483b194cfdaf21403f0cd9fffb6b31ab7902b9c4d08617ad3daea06c4d70</t>
  </si>
  <si>
    <t>Antivirus</t>
  </si>
  <si>
    <t>1716370231f9ae17c2ef970a59114a6bbd9d46ee5d79f506d54f8d45c21e6e33</t>
  </si>
  <si>
    <t>7e036fd1f8526e3ba780ac9caba5815a6ae395fb262726d679a6ae97ca019746</t>
  </si>
  <si>
    <t>MrUSBInstaller</t>
  </si>
  <si>
    <t>83c866ed1c5e06f3b2ddf19945dfe3c50f5a26f02373ae91511f281dd0239d06</t>
  </si>
  <si>
    <t>b801a81ea93f093441475e2e79ce48ef1e25c8882864c00c223478a27685e85d</t>
  </si>
  <si>
    <t>2206c63d3dc9c6a097ac4da72fd92d370248e9e9b582a1e9cbe28ea234f0b4f9</t>
  </si>
  <si>
    <t>70549a50c2ac762f372bb8702038548c9f5b8a2873954d8e831f68d9b79d5664</t>
  </si>
  <si>
    <t>881995c15a642b4aa909f60095a81ab4d962c0057b9b1776c78201c5003ef0d3</t>
  </si>
  <si>
    <t>5832c870dee0829ad375e22dd3495ea953a1d01da6c55fcd88db6d9d188e9a1b</t>
  </si>
  <si>
    <t>95d504bba5a3995ca9c7fe2c80151381f13dc03ec8014d135ecac9d71d86f932</t>
  </si>
  <si>
    <t>f98bd1ecffa96cee4d7a7125a65ed25f3830d33be086fab3c3bf4ac4e2b5a8c6</t>
  </si>
  <si>
    <t>Revision created for internal engineering use, updated to include checksums for MR28 software to enable privacy and security manual validation for Antares program</t>
  </si>
  <si>
    <t>Antares Validation need</t>
  </si>
  <si>
    <t>VX28.0_R02_2017.b</t>
  </si>
  <si>
    <t>PX26.3_R01_2018.a</t>
  </si>
  <si>
    <t>SV25.3_R02_2018.a</t>
  </si>
  <si>
    <t>DOC2397833</t>
  </si>
  <si>
    <t>DOC2394000</t>
  </si>
  <si>
    <t>RX28.0_R04_2020.b</t>
  </si>
  <si>
    <t>Polaris B</t>
  </si>
  <si>
    <t xml:space="preserve">DOC2360092 </t>
  </si>
  <si>
    <t>NPI and IB Release updates</t>
  </si>
  <si>
    <t>SIGNA Explorer</t>
  </si>
  <si>
    <t xml:space="preserve">SV25.0_R06_1640.b </t>
  </si>
  <si>
    <t>SV25.2_R03_2015.a</t>
  </si>
  <si>
    <t>SIGNA Creator</t>
  </si>
  <si>
    <t>DOC2333799</t>
  </si>
  <si>
    <t>DOC1521029, DOC2333799</t>
  </si>
  <si>
    <t>SV23.0_V02_1309.a</t>
  </si>
  <si>
    <t>SV23.0_V03_1323.a</t>
  </si>
  <si>
    <t>SV23.0_V06_1520.a</t>
  </si>
  <si>
    <t>SV23.1_EB_1507.a</t>
  </si>
  <si>
    <t>SV25.0_R07_1725.a</t>
  </si>
  <si>
    <t>SV25.0_R07_1725.b</t>
  </si>
  <si>
    <t>SV25.0_R07_1725.c</t>
  </si>
  <si>
    <t>SV25.0_R07_1725.d</t>
  </si>
  <si>
    <t>SV25.1_R01_1719.a</t>
  </si>
  <si>
    <t>SV25.1_R05_1823.a</t>
  </si>
  <si>
    <t>SV25.1_R02_1723.a</t>
  </si>
  <si>
    <t>SV25.1_R03_1733.a</t>
  </si>
  <si>
    <t>SV25.1_R04_1743.a</t>
  </si>
  <si>
    <t>24-Jul-2020, 10-Apr-2021</t>
  </si>
  <si>
    <t>67936A</t>
  </si>
  <si>
    <t>27-Sep -2017, 10-Apr-2021</t>
  </si>
  <si>
    <t>5764003, 5836176</t>
  </si>
  <si>
    <t>5764043, 5836176</t>
  </si>
  <si>
    <t>27-Jun-2018, 10-Apr-2021</t>
  </si>
  <si>
    <t>5780956, 5836176</t>
  </si>
  <si>
    <t>27-Dec-2019, 10-Apr-2021</t>
  </si>
  <si>
    <t>5803705, 5836176</t>
  </si>
  <si>
    <t>5764044, 5836176</t>
  </si>
  <si>
    <t>5764045, 5836176</t>
  </si>
  <si>
    <t>DOC0980692</t>
  </si>
  <si>
    <t>SV20.1_IB3_1213.a.PC</t>
  </si>
  <si>
    <t>DOC1463794
DOC1168246</t>
  </si>
  <si>
    <t xml:space="preserve">DOC1517081
</t>
  </si>
  <si>
    <t>SV23.0_V01_1238.b.PA</t>
  </si>
  <si>
    <t>SV23.0_V02_1309.a.PA</t>
  </si>
  <si>
    <t>67915 (SP-01) Optional</t>
  </si>
  <si>
    <t>67916A Optional</t>
  </si>
  <si>
    <t>DOC1475913</t>
  </si>
  <si>
    <t>67918A Optional</t>
  </si>
  <si>
    <t>SV23.1_EA_1419.a.PA</t>
  </si>
  <si>
    <t>DOC1526753</t>
  </si>
  <si>
    <t>67918B</t>
  </si>
  <si>
    <t>SV25 R01</t>
  </si>
  <si>
    <t>SV25.0_R01_1519.a</t>
  </si>
  <si>
    <t>SV25 R02</t>
  </si>
  <si>
    <t>SV25.0_R02_1525.a</t>
  </si>
  <si>
    <t>SV25 R03</t>
  </si>
  <si>
    <t>SV25.0_R03_1534.a</t>
  </si>
  <si>
    <t>SV25 R04</t>
  </si>
  <si>
    <t>SV25.0_R04_1543.b</t>
  </si>
  <si>
    <t>SV25 R05</t>
  </si>
  <si>
    <t>SV25 R06</t>
  </si>
  <si>
    <t>SV25 R06 V2</t>
  </si>
  <si>
    <t>SV25.0_R06_1712.b</t>
  </si>
  <si>
    <t>SV25 R07</t>
  </si>
  <si>
    <t>SV25.1</t>
  </si>
  <si>
    <t>DOC2148529</t>
  </si>
  <si>
    <t>SV25.0_R06_1640.a, SV25.0_R09_1928.a, SV25.2_R03_2015.a, SV25.2_R03_2015.a</t>
  </si>
  <si>
    <t>60947F, 67933C, 67934A, 67936A</t>
  </si>
  <si>
    <t>23-Aug-2019, 24-Jul-2020, 10-Apr-2021, 10-Apr-2021</t>
  </si>
  <si>
    <t>5816022, 5830159, 5836176, 5836176</t>
  </si>
  <si>
    <t>Safety, Safety, Mandatory, Optional</t>
  </si>
  <si>
    <t>23-Aug-2019, 10-Apr-2021</t>
  </si>
  <si>
    <t>Safety, Optional</t>
  </si>
  <si>
    <t>DOC2254931, DOC2333799</t>
  </si>
  <si>
    <t>Mandatory, Optional</t>
  </si>
  <si>
    <t>5816022, 5836176</t>
  </si>
  <si>
    <t>24-Jul-2020, 10-Apr-2021, 10-Apr-2021</t>
  </si>
  <si>
    <t>Safety, Mandatory, Optional</t>
  </si>
  <si>
    <t>67933C, 67934A, 67936A</t>
  </si>
  <si>
    <t>5830159, 5836176, 5836176</t>
  </si>
  <si>
    <t>67933C, 67922A, 67934A, 67936A</t>
  </si>
  <si>
    <t>24-Jul-2020, 27-Sep -2017, 10-Apr-2021, 10-Apr-2021</t>
  </si>
  <si>
    <t>5830159, 5764003, 5836176, 5836176</t>
  </si>
  <si>
    <t>67933C, 67925A, 67934A, 67936A</t>
  </si>
  <si>
    <t>24-Jul-2020, 27-Jun-2018, 10-Apr-2021, 10-Apr-2021</t>
  </si>
  <si>
    <t>5830159, 5780956, 5836176, 5836176</t>
  </si>
  <si>
    <t>67933C, 67927A, 67934A, 67936A</t>
  </si>
  <si>
    <t>24-Jul-2020, 27-Dec-2019, 10-Apr-2021, 10-Apr-2021</t>
  </si>
  <si>
    <t>5830159, 5803705, 5836176, 5836176</t>
  </si>
  <si>
    <t>67934A, 67936A</t>
  </si>
  <si>
    <t>DOC1381833, DOC2309139, DOC2333799</t>
  </si>
  <si>
    <t>DOC2309139, DOC2333799</t>
  </si>
  <si>
    <t>SV25.0_R06_1640.a, SV25.2_R03_2015.a</t>
  </si>
  <si>
    <t>SV25.0_R06_1640.b, SV25.2_R03_2015.a</t>
  </si>
  <si>
    <t>DOC1915314, DOC2309137, DOC2333799</t>
  </si>
  <si>
    <t>SV25.0_R06_1712.c, SV25.2_R03_2015.a</t>
  </si>
  <si>
    <t>DOC1915346, DOC2309137, DOC2333799</t>
  </si>
  <si>
    <t>SV25.0_R07_1725.a, SV25.2_R03_2015.a</t>
  </si>
  <si>
    <t>DOC2012179, DOC2309137, DOC2333799</t>
  </si>
  <si>
    <t>DOC2012184, DOC2309139, DOC2333799</t>
  </si>
  <si>
    <t>DOC2012185, DOC2309139, DOC2333799</t>
  </si>
  <si>
    <t>DOC2012186, DOC2309139, DOC2333799</t>
  </si>
  <si>
    <t>SV25.0_R08_1822.a, SV25.2_R03_2015.a</t>
  </si>
  <si>
    <t>DOC2140081, DOC2309137, DOC2333799</t>
  </si>
  <si>
    <t>DOC2140084, DOC2309139, DOC2333799</t>
  </si>
  <si>
    <t>DOC2140104, DOC2309139, DOC2333799</t>
  </si>
  <si>
    <t>DOC2140124, DOC2309139, DOC2333799</t>
  </si>
  <si>
    <t>SV25.0_R06_1712.a, SV25.2_R03_2015.a</t>
  </si>
  <si>
    <t>SV25.0_R06_1712.d, SV25.2_R03_2015.a</t>
  </si>
  <si>
    <t>DOC1915347, DOC2309137, DOC2333799</t>
  </si>
  <si>
    <t/>
  </si>
  <si>
    <t>DOC2309139, DOC2333799, DOC2333799</t>
  </si>
  <si>
    <t>DOC2309139, DOC2012184, DOC2333799, DOC2333799</t>
  </si>
  <si>
    <t>DOC2309139, DOC2140084, DOC2333799, DOC2333799</t>
  </si>
  <si>
    <t>DOC2309139, DOC2140104, DOC2333799, DOC2333799</t>
  </si>
  <si>
    <t>DOC2309139, DOC2140124, DOC2333799, DOC2333799</t>
  </si>
  <si>
    <t>DOC2254931, Brazil, Colombia, Japan, Mexico, Saudi Arabia, DOC2254931, DOC2309137, DOC2333799, DOC2333799</t>
  </si>
  <si>
    <t>SV25.0_R09_1928.a, SV25.2_R03_2015.a, SV25.2_R03_2015.a</t>
  </si>
  <si>
    <t>DOC2309137, DOC2309137, DOC2333799, DOC2333799</t>
  </si>
  <si>
    <t>DOC2309137, DOC1915314, DOC2333799, DOC2333799</t>
  </si>
  <si>
    <t>DOC2309137, DOC2012179, DOC2333799, DOC2333799</t>
  </si>
  <si>
    <t>DOC2309137, DOC2140081, DOC2333799, DOC2333799</t>
  </si>
  <si>
    <t>SV25.0_R09_1928.a, SV25.0_R06_1712.a,
SV25.2_R03_2015.a, SV25.0_R06_1712.a,
SV25.2_R03_2015.a</t>
  </si>
  <si>
    <t xml:space="preserve">DOC2333799, </t>
  </si>
  <si>
    <t>60963B (China)</t>
  </si>
  <si>
    <t>Note 63</t>
  </si>
  <si>
    <t>Note 64</t>
  </si>
  <si>
    <t>Note 65</t>
  </si>
  <si>
    <t xml:space="preserve">
FMI 67934: This FMI provides software SV25.0 R09 and SV25.2 R03. The software includes the fix of 16ch HNA coil warming issue, plus additional quality fixes.
The 16ch HNA coil warming issue was also addressed in FMI 67933 where reporting was concluded in 5 countries. FMI 67933 was distributed only to those 5 countries.
This FMI 67934 will be distributed to all countries including those 5 countries covered in FMI 67933, and includes same Coil DB fix for the 16ch HNA coil warming issue.
This FMI 67934 is mandatory to existing IBs with 16ch HNA coil, including 1.5T Optima MR360 with 16 channel fix table, 1.5T SIGNA Explorer with fix table and 1.5T SIGNA MR360 with fix
table. However, if the system is running on any of the following three software versions, this FMI 67934 is NOT required for it since the related HNA coil warming issue has been fixed in
these software versions.
- SV25.0 R09
- SV25.1 R06
- SV25.2 R02</t>
  </si>
  <si>
    <t>Note 66</t>
  </si>
  <si>
    <t>Note 67</t>
  </si>
  <si>
    <t>67925D, 67936E(China)</t>
  </si>
  <si>
    <t>67927D, 67936E(China)</t>
  </si>
  <si>
    <t>5780959, 5840558</t>
  </si>
  <si>
    <t>5803708, 5840558</t>
  </si>
  <si>
    <t>Note 68</t>
  </si>
  <si>
    <t>Note 69</t>
  </si>
  <si>
    <t>See Note 68</t>
  </si>
  <si>
    <t>See Note 69</t>
  </si>
  <si>
    <t>SV25.0_R07_1725.c, SV25.0_R09_1928.c</t>
  </si>
  <si>
    <t>67925C, 67936D(China)</t>
  </si>
  <si>
    <t>5780958, 5840556</t>
  </si>
  <si>
    <t>SV25.0_R09_1928.b, SV25.0_R09_1928.c</t>
  </si>
  <si>
    <t>SV25.0_R09_1928.b, SV23.0_V03_1323.a, SV25.0_R09_1928.c</t>
  </si>
  <si>
    <t>DOC2309139, DOC1381833, DOC2333799</t>
  </si>
  <si>
    <t>SV25.0_R09_1928.b, SV23.0_V05_1404.b,  SV25.0_R09_1928.c</t>
  </si>
  <si>
    <t>SV25.0_R09_1928.b, SV23.0_V05_1436.a,  SV25.0_R09_1928.c</t>
  </si>
  <si>
    <t>SV25.0_R07_1725.d, SV25.0_R09_1928.d</t>
  </si>
  <si>
    <t>SV25.0_R08_1822.d, SV25.0_R09_1928.d</t>
  </si>
  <si>
    <t>SV20.1_V04_1435.a, SV25.0_R09_1928.d,
SV25.0_R09_1928.b</t>
  </si>
  <si>
    <t>SV25.0_R09_1928.c,
SV25.0_R09_1928.b</t>
  </si>
  <si>
    <t>SV23.0_V03_1323.a, SV25.0_R09_1928.c,
SV25.0_R09_1928.b</t>
  </si>
  <si>
    <t>SV23.0_V05_1404.b, SV25.0_R09_1928.c,
SV25.0_R09_1928.b</t>
  </si>
  <si>
    <r>
      <t>SV20.1_V04_1435.a, SV25.0_R09_1928.d</t>
    </r>
    <r>
      <rPr>
        <b/>
        <sz val="11"/>
        <color theme="1"/>
        <rFont val="GE Inspira"/>
      </rPr>
      <t xml:space="preserve">,
</t>
    </r>
    <r>
      <rPr>
        <sz val="11"/>
        <color theme="1"/>
        <rFont val="GE Inspira"/>
      </rPr>
      <t>SV25.0_R09_1928.b</t>
    </r>
  </si>
  <si>
    <t>60947E, 67936E(China), 67936C(Global)</t>
  </si>
  <si>
    <t>67916B, 67936E(China), 67936C(Global)</t>
  </si>
  <si>
    <t>67936D (China), 67936C(Global)</t>
  </si>
  <si>
    <t>67913, 67936D(China), 67936C(Global)</t>
  </si>
  <si>
    <t>67916B, 67936D(China), 67936C(Global)</t>
  </si>
  <si>
    <t>23-Aug-2019, 
10-Apr-2021, 
10-Apr-2021</t>
  </si>
  <si>
    <t>20-Mar-2015, 10-Apr-2021, 
10-Apr-2021</t>
  </si>
  <si>
    <t>23-Aug-2019, 10-Apr-2021, 
10-Apr-2021</t>
  </si>
  <si>
    <t>4/10/2021, 
10-Apr-2021</t>
  </si>
  <si>
    <t>31-Oct-2014, 10-Apr-2021, 
10-Apr-2021</t>
  </si>
  <si>
    <t>24-Jul-2020, 
10-Apr-2021, 
10-Apr-2021</t>
  </si>
  <si>
    <t>24-Jul-2020, 
10-Apr-2021</t>
  </si>
  <si>
    <t>23-Aug-2019,
10-Apr-2021, 
10-Apr-2021</t>
  </si>
  <si>
    <t>5815999, 
5840558,
5840555</t>
  </si>
  <si>
    <t>5815999, 5840558,
5840555</t>
  </si>
  <si>
    <t>5840556,
5840555</t>
  </si>
  <si>
    <t>5482305, 5840556,
5840555</t>
  </si>
  <si>
    <t>5450080, 5840556,
5840555</t>
  </si>
  <si>
    <t>5831659, 5840556,
5840555</t>
  </si>
  <si>
    <t>5831659, 5482305, 5840556,
5840555</t>
  </si>
  <si>
    <t>5831659,
5840556,
5840555</t>
  </si>
  <si>
    <t>5831659, 5450080, 5840556,
5840555</t>
  </si>
  <si>
    <t>5830160, 5840556,
5840555</t>
  </si>
  <si>
    <t>5506178, 
5840558,
5840555</t>
  </si>
  <si>
    <t>Safety, 
Optional, 
Optional</t>
  </si>
  <si>
    <t>Optional, 
Optional, 
Optional</t>
  </si>
  <si>
    <t>Optional, 
Optional</t>
  </si>
  <si>
    <t>Mandatory, Optional, 
Optional</t>
  </si>
  <si>
    <t>Mandatory,
Optional, 
Optional</t>
  </si>
  <si>
    <t>SV25.0_R09_1928.b, 
SV25.0_R09_1928.c</t>
  </si>
  <si>
    <t>67933E, 
67936D(China),
67934D(China), 
67936C(Global), 
67934C(Global)</t>
  </si>
  <si>
    <t>67933E, 67936D(China),
67934D(China), 67936C(Global), 
67934C(Global)</t>
  </si>
  <si>
    <t>67933E, 67913, 67936D(China),
67934D(China), 67936C(Global), 
67934C(Global)</t>
  </si>
  <si>
    <t>67933E, 67916B, 67936D(China),
67934D(China), 67936C(Global), 
67934C(Global)</t>
  </si>
  <si>
    <t>67933D, 67936D(China),
67934D(China), 67936C(Global), 
67934C(Global)</t>
  </si>
  <si>
    <r>
      <t>67933D, 67936D(China),
67934D(China)</t>
    </r>
    <r>
      <rPr>
        <b/>
        <sz val="11"/>
        <color theme="1"/>
        <rFont val="GE Inspira"/>
      </rPr>
      <t xml:space="preserve">, </t>
    </r>
    <r>
      <rPr>
        <sz val="11"/>
        <color theme="1"/>
        <rFont val="GE Inspira"/>
      </rPr>
      <t>67936C(Global)</t>
    </r>
    <r>
      <rPr>
        <sz val="11"/>
        <color theme="1"/>
        <rFont val="GE Inspira"/>
        <family val="2"/>
      </rPr>
      <t>, 
67934C(Global)</t>
    </r>
  </si>
  <si>
    <t>24-Jul-2020, 
10-Apr-2021, 
10-Apr-2021, 
10-Apr-2021, 
10-Apr-2021</t>
  </si>
  <si>
    <t>24-Jul-2020, 
31-Oct-2014, 
10-Apr-2021, 
10-Apr-2021, 
10-Apr-2021</t>
  </si>
  <si>
    <t>24-Jul-2020, 24-Jul-2020, 
10-Apr-2021, 
10-Apr-2021, 
10-Apr-2021, 
10-Apr-2021</t>
  </si>
  <si>
    <t>SV25.0_R09_1928.c,
SV25.0_R09_1928.d, SV25.0_R09_1928.b</t>
  </si>
  <si>
    <t>10-Apr-2021, 
10-Apr-2021, 
10-Apr-2021, 
10-Apr-2021</t>
  </si>
  <si>
    <t>5840558,
5840556,
5840554</t>
  </si>
  <si>
    <t>67936D(China),
67936E(China),
67934D(China),
67936B(Global),
67934B(Global)</t>
  </si>
  <si>
    <t>Optional, 
Optional, 
Mandatory,
Optional,
Mandatory</t>
  </si>
  <si>
    <t>Safety, 
Optional, 
Mandatory,
Optional,
Mandatory</t>
  </si>
  <si>
    <t>Safety, 
Optional,
Mandatory, 
Optional,
Optional,
Mandatory</t>
  </si>
  <si>
    <t>Safety, 
Mandatory,
Optional, 
Mandatory,
Optional,
Mandatory</t>
  </si>
  <si>
    <t>60947F, 67936A</t>
  </si>
  <si>
    <t>67922A, 67936A</t>
  </si>
  <si>
    <t>67922C, 67936A</t>
  </si>
  <si>
    <t>67922D, 67936A</t>
  </si>
  <si>
    <t>67925A, 67936A</t>
  </si>
  <si>
    <t>67927A, 67936A</t>
  </si>
  <si>
    <t>67925B, 67936B(Global)</t>
  </si>
  <si>
    <t>5780957, 
5840554</t>
  </si>
  <si>
    <t>67927B, 67936B(Global)</t>
  </si>
  <si>
    <t>Mandatory, 
Optional</t>
  </si>
  <si>
    <t>SV25.0_R09_1928.c</t>
  </si>
  <si>
    <t>SV25.0_R09_1928.d</t>
  </si>
  <si>
    <t>FMI67936</t>
  </si>
  <si>
    <t xml:space="preserve"> SV25.0_R09_1928.b</t>
  </si>
  <si>
    <t>10-Apr-2021, 
10-Apr-2021</t>
  </si>
  <si>
    <t>5840554</t>
  </si>
  <si>
    <t>SV25.0_R09_1928.c, 
SV25.0_R09_1928.d</t>
  </si>
  <si>
    <t>67936D(China), 67936E (China)</t>
  </si>
  <si>
    <t>5840556, 5840558</t>
  </si>
  <si>
    <t>Optional,Optional</t>
  </si>
  <si>
    <t>DOC2333799, DOC2333799</t>
  </si>
  <si>
    <t>SV25.0_R08_1822.b,  SV25.0_R09_1928.b</t>
  </si>
  <si>
    <t>5803706, 
5840554</t>
  </si>
  <si>
    <t>SV25.0_R08_1822.c, 
SV25.0_R09_1928.c</t>
  </si>
  <si>
    <t>67927C,  67936D(China)</t>
  </si>
  <si>
    <t>24-Jul-2020,10-Apr-2021</t>
  </si>
  <si>
    <t>5803707,  5840556</t>
  </si>
  <si>
    <t>Mandatory,  Optional</t>
  </si>
  <si>
    <t>SV25.0_R07_1725.b, SV25.0_R09_1928.b</t>
  </si>
  <si>
    <t>SV25.0_R07_1725.b,  SV25.0_R09_1928.b</t>
  </si>
  <si>
    <t>Mandatory, Optional,</t>
  </si>
  <si>
    <t>67936B(Global)</t>
  </si>
  <si>
    <r>
      <t xml:space="preserve">SV25.0_R08_1822.d, </t>
    </r>
    <r>
      <rPr>
        <sz val="11"/>
        <rFont val="GE Inspira"/>
      </rPr>
      <t>SV25.0_R09_1928.d</t>
    </r>
  </si>
  <si>
    <t>SV25 R09</t>
  </si>
  <si>
    <t xml:space="preserve">SV25.0_R06_1640.a </t>
  </si>
  <si>
    <t>SV25.0_R09_1928.c, SV25.0_R09_1928.c, 
SV25.0_R09_1928.d</t>
  </si>
  <si>
    <t>10-Apr-2021, 
10-Apr-2021,
10-Apr-2021</t>
  </si>
  <si>
    <t>5840556, 
5840556,
5840558</t>
  </si>
  <si>
    <t>Mandatory, 
Optional,
Optional</t>
  </si>
  <si>
    <t>DOC2333799, DOC2333799,
DOC2333799</t>
  </si>
  <si>
    <t>SV25.0_R09_1928.b, 
SV25.0_R07_1725.b,
SV25.0_R09_1928.b, 
SV25.0_R09_1928.b</t>
  </si>
  <si>
    <t>SV25.0_R09_1928.b, 
SV25.0_R08_1822.b, 
SV25.0_R09_1928.b, 
SV25.0_R09_1928.b</t>
  </si>
  <si>
    <t>67933D, 67925B, 67936E(China),
67936B(Global),
67934B(Global)</t>
  </si>
  <si>
    <t>24-Jul-2020, 
24-Jul-2020, 
10-Apr-2021, 
10-Apr-2021</t>
  </si>
  <si>
    <t>5830160, 
5780957,
5840554,
5840554</t>
  </si>
  <si>
    <t>Safety, 
Mandatory, 
Mandatory,
Optional</t>
  </si>
  <si>
    <t>67925C, 67936D(China),
67934D(China)</t>
  </si>
  <si>
    <t>SV25.0_R09_1928.c, 
SV25.0_R07_1725.c, 
SV25.0_R09_1928.c</t>
  </si>
  <si>
    <t>67925C, 
67936D(China),
67934D(China)</t>
  </si>
  <si>
    <t>5780958,  
5840556, 
5840556</t>
  </si>
  <si>
    <t>Mandatory, 
Optional, 
Mandatory</t>
  </si>
  <si>
    <t>DOC2012185, 
DOC2333799, 
DOC2333799</t>
  </si>
  <si>
    <t>SV25.0_R07_1725.d, 
SV25.0_R09_1928.d</t>
  </si>
  <si>
    <t>67925D, 
67936E(China)</t>
  </si>
  <si>
    <t>5780959, 
5840558</t>
  </si>
  <si>
    <t>DOC2012186, DOC2333799</t>
  </si>
  <si>
    <t>SV25.0_R09_1928.c, SV25.0_R08_1822.c, SV25.0_R09_1928.c</t>
  </si>
  <si>
    <t>5780958,  
5840556</t>
  </si>
  <si>
    <t>Mandatory,
Optional, 
Mandatory</t>
  </si>
  <si>
    <t>5830160, 
5803708, 
5840558</t>
  </si>
  <si>
    <t>SV25.2_R03</t>
  </si>
  <si>
    <t>SV25.0_R09_1928.a, SV25.0_R07_1725.a,
SV25.2_R03_2015.a, 
SV25.2_R03_2015.a</t>
  </si>
  <si>
    <t>Safety, Mandatory,
Mandatory, Optional</t>
  </si>
  <si>
    <t>SV25.0_R09_1928.a, SV25.0_R08_1822.a,
SV25.2_R03_2015.a,
SV25.2_R03_2015.a</t>
  </si>
  <si>
    <t>Note 70</t>
  </si>
  <si>
    <t xml:space="preserve">
FMI 67936: The Business On-Request FMI 67936 provides software SV25.0 R09 and SV25.2
R03 to existing IBs, including 1.5T Brivo MR355 &amp; Optima MR360, 1.5T SIGNA
Creator &amp; SIGNA Explorer, 1.5T SIGNA MR355 &amp; SIGNA MR360.
IBs out of Mandatory FMI 67934 scope are eligible to request On-Request FMI 67936.</t>
  </si>
  <si>
    <t>See Note 70</t>
  </si>
  <si>
    <t>67934D(China), 
67936D(China),
67936E(China)</t>
  </si>
  <si>
    <t>SV23.0_V05_1436.a, SV25.0_R09_1928.c,
SV25.0_R09_1928.b</t>
  </si>
  <si>
    <t>SV25.3_R03_2037.c</t>
  </si>
  <si>
    <t>VX28.0_R03_2037.c</t>
  </si>
  <si>
    <t>PX26.3_R02_2037.c</t>
  </si>
  <si>
    <t>DV28.1_R03_2037.c</t>
  </si>
  <si>
    <t>Non\</t>
  </si>
  <si>
    <t>DV26.0_R05_2008.a.PB</t>
  </si>
  <si>
    <t>60970</t>
  </si>
  <si>
    <t>2-Apr-2021</t>
  </si>
  <si>
    <t>5854567 and RSD</t>
  </si>
  <si>
    <t>DOC2452739</t>
  </si>
  <si>
    <t>MP26.0_R02_1941.a.PB,
MP26.0_R02_1941.a.PC</t>
  </si>
  <si>
    <t>SP-01,
SP-02</t>
  </si>
  <si>
    <t>60966,
60969</t>
  </si>
  <si>
    <t>30-Dec-2020,
28-Feb-2021</t>
  </si>
  <si>
    <t>5715001-24
RSD and 5715001-25</t>
  </si>
  <si>
    <t>DOC2395670, DOC2395664,
DOC2447167</t>
  </si>
  <si>
    <t>DOC2176956,</t>
  </si>
  <si>
    <t>DOC2443993</t>
  </si>
  <si>
    <t>Vega R05</t>
  </si>
  <si>
    <t>Polaris R05</t>
  </si>
  <si>
    <t>HD28.0_R03_2037.a</t>
  </si>
  <si>
    <t>Antares</t>
  </si>
  <si>
    <t>RX29.0_R01_2034.a</t>
  </si>
  <si>
    <t>DV29.0_R01_2034.a</t>
  </si>
  <si>
    <t>Karthik
Weng, Feng</t>
  </si>
  <si>
    <t xml:space="preserve">RX29.0_R01_2034.a </t>
  </si>
  <si>
    <t>RX28.0_R05_2035.a</t>
  </si>
  <si>
    <t>50525ed75191f2e47a9b1aa2b918d5f383f69c29f9b3bb546ddd7f49cccb86e0</t>
  </si>
  <si>
    <t xml:space="preserve">5ce4c728f2f38ce456eb3644af43428e76b8a008820068111c25f7319599ecc0  </t>
  </si>
  <si>
    <t xml:space="preserve">8d37a21d791b4da865f20e8b23db98aac9536e23c117a3110bef5f476fc811f9  </t>
  </si>
  <si>
    <t xml:space="preserve">039faeb3d8665a718cd0f1884334b25fa5d36e4869c68f3a155095e22b090fd0  </t>
  </si>
  <si>
    <t xml:space="preserve">200d911dfe0aa92cc7a997bd232feebae3f8098dbd0bc08f087aec14146c7214  
ddc0f7faa3937622f8562a97da1ad28b93fb1538f6ac795c277996b9d1c37d57  </t>
  </si>
  <si>
    <t xml:space="preserve">4dcb84b39db282958d60a249951ff5750f83ae2b6d50dd01086b20f88a26787c  </t>
  </si>
  <si>
    <t xml:space="preserve">8fa4f5385a7e7f7b674daa1add6e33bc01ccd114089ddd72fa55acd9022a9483  </t>
  </si>
  <si>
    <t xml:space="preserve">73b26896ceb5d14cc147dd6a6a31e90915b1ed7befeb1ada29a9b3027d2775f2  </t>
  </si>
  <si>
    <t xml:space="preserve">49170a8137d9a213ee8306515b766eba204c36e8ebabb649e4a6d686154f3fef  </t>
  </si>
  <si>
    <t xml:space="preserve">0bf430011d8373a206ae96637bfda248f063abcac834a5f7777882369b802ae8  </t>
  </si>
  <si>
    <t xml:space="preserve">PX28.0_R05_2034.a </t>
  </si>
  <si>
    <t>PX29.0_R01_2034.a</t>
  </si>
  <si>
    <t>2f570747dca612cb1ada2648f2ffdc421daeb602e51011ab968c61af440bb682</t>
  </si>
  <si>
    <t>8135f65e71114ef24a6f61b0addee30398ead5192f6f9bd3a54b8336d878aa13</t>
  </si>
  <si>
    <t>339bb2022bf3c86304068741b65a8076ab293a91e44bb344d8b145fcb74575b6</t>
  </si>
  <si>
    <t>12293cc6b9ff02973dd6e95b05ff3b241ba4def33cc49efe0863c9a3b4e7e9a5</t>
  </si>
  <si>
    <t>0d9ce9ce28ec2935e47ec1e8e046123d21be3aee8670e6dc528673a002e919a9</t>
  </si>
  <si>
    <t>adb81d6137a7f776d87e9f3e3c3c575d3edf748782b0f3365c506cfa346bcb07</t>
  </si>
  <si>
    <t>6cec961912926a56abaed9751245ee8452bb735aaefb48bf1847ec2ca209069f</t>
  </si>
  <si>
    <t>00681d9044ba453462b5ca887b544ddc17cf4d9f2d30ee8897b9e37940617141</t>
  </si>
  <si>
    <t>69a63457567ebd644e6416775558bcd23db7403a4044685c91716f09aab94d31</t>
  </si>
  <si>
    <t>1dc1cac393d115b78f800069baa49d8ee972c21182176b3c2ae5b02e6ad20096</t>
  </si>
  <si>
    <t>3df8ddf9c8d9f6034082d038433eea91a25bffe254490867992c2787591e408e</t>
  </si>
  <si>
    <t>HELIOS 7.7</t>
  </si>
  <si>
    <t>6c437d2e52a720cc02c05f5fc38c50c316352dec225677a93f314a41d6c07f06</t>
  </si>
  <si>
    <t>5fe342c88c076ca4dda01cbae84ca4c3369b1cf7e271d9c3e368ea129c69b3b4</t>
  </si>
  <si>
    <t xml:space="preserve">3cc6a69440c2ad99443b439b13c90ff3242e8a02532863ab080dc282a08731d9  </t>
  </si>
  <si>
    <t xml:space="preserve">3980bcaf9f765f29db9cdaabd6484bb5a2b60d20eabab755474be414b2ca2ef9  </t>
  </si>
  <si>
    <t xml:space="preserve">3b282dfd7e2d79fb3d3601e5fb1e7a43b0c2f15ab86f15837e1ed94c2b0b0a95  
8b530629b2e2c28562050dad278e5a6d01fdd5874397e072740b41e3fd6bba49  </t>
  </si>
  <si>
    <t xml:space="preserve">8ce6a739a4ea5f8f0eea2166c2827f3e3de646c4d206e834b231c592ad2cbfd9  </t>
  </si>
  <si>
    <t xml:space="preserve">d2ea9f3dc6078596f4447eb83c597d0bb5c10821fcb957d4f89a1c7b95e2b085  </t>
  </si>
  <si>
    <t xml:space="preserve">d2a4cea90cae2292140a3e51ce453e4de7f07c007507c1ab41d90369c085b013  </t>
  </si>
  <si>
    <t xml:space="preserve">f7163fb0c5ff3b9e90b8fd8be431cfc2b66e878c753d9dec62773573b29990c6  </t>
  </si>
  <si>
    <t xml:space="preserve">390c69279f6642adb34ff1600aaa21855f5549ca60c3697073608c156150b268  </t>
  </si>
  <si>
    <t xml:space="preserve">28e898a66bd2e755a7507af426270ad7f45fa0774ff8df21f71c222a547fab53  </t>
  </si>
  <si>
    <t xml:space="preserve">acd7bd99e8aedca746cce6082734fa08b799af78752f35d8ae44c65e1b16be86  </t>
  </si>
  <si>
    <t xml:space="preserve">e907d76da55d0495c7d2b072e743d4d60110df506fa2caa4910463b2b05401d2  </t>
  </si>
  <si>
    <t xml:space="preserve">41994c8950c7c1619f7ada0fe402185532c215bebfbf07ce2aa1fc80c9d115f4  </t>
  </si>
  <si>
    <t xml:space="preserve">5a3433fe5e9a9f65d1d4d36b77557c8eb507882753fc83c562a0a6f44e96b975  </t>
  </si>
  <si>
    <t xml:space="preserve">b79fe4b4d4e56cd7c0ed8392cee5a55234b84d6b4ca7cfebd32ab7fd75808d66  
a84362f375048b5e514a9952fb622f00584c2ee94593473a58e254cae04ed911  </t>
  </si>
  <si>
    <t xml:space="preserve">86fa7b764f8ee330fd3b24b6ddd24df364cfde090650626995bca1aaff82c53b  </t>
  </si>
  <si>
    <t xml:space="preserve">321322aad61833bf17aa1967c7397b3356333318f41ff0d7842f226bd17d1bce  </t>
  </si>
  <si>
    <t xml:space="preserve">2440387a442652abefa12c5bd93c302adad157d324ba312c97ccaf313c7cb738  </t>
  </si>
  <si>
    <t xml:space="preserve">10d1d669f4569f1426ab3e366c258425c4babec7e6898940041c18fc5e896801  </t>
  </si>
  <si>
    <t xml:space="preserve">40a9f2f157cc289791157e322c707235c6e8855ac61694606381c1ea9a83ace6  </t>
  </si>
  <si>
    <t xml:space="preserve">6f2724c64a20cbab6b12f3fd4e5e7c535f06356d9df1b81b52025674f32880eb  </t>
  </si>
  <si>
    <t xml:space="preserve">4307d85aaa106aeae2ba3dc08c0d9ab958029212adf7a06e1e6c087ea2a63c59  </t>
  </si>
  <si>
    <t xml:space="preserve">f38e0f448defa27d62f20443fcb1a8690f043dd027d11e2138d0b9df0d21e332  </t>
  </si>
  <si>
    <t xml:space="preserve">c0518a8f20fddcf18c2682fd3df3664066e2bfefda81adda31c0b134a9cd5751  </t>
  </si>
  <si>
    <t xml:space="preserve">6c50a101f3d7746cee38916b70026e2621a2f5f258e54e44fd83ee74e4cc98f6  </t>
  </si>
  <si>
    <t xml:space="preserve">4633194d7462e7a2aa561ef039becb87794df8544ed92e10c6deb99c29b6f926  
75a2a92ab6f675fd2b79cbf5b3295d6fa9766a9a81ee986a29cfcc6df290289e  </t>
  </si>
  <si>
    <t xml:space="preserve">4f0e0f01dcd8e21ebc2158aec76eb035c36d722224b218c9b23b0a1e5ab78020  </t>
  </si>
  <si>
    <t xml:space="preserve">28910ee52e9b013be1a795fdb931c93d5633642ef6c7abd6c27e375f29e75ce7  </t>
  </si>
  <si>
    <t xml:space="preserve">0ebddcae22ddcad170d892f8c1769b15960089e585d9e00790570bf1db327a16  </t>
  </si>
  <si>
    <t xml:space="preserve">f3fc1e38877406a20095be2af080ca3e0c59ee8af6b0fc6ea5aa75809056d2a7  </t>
  </si>
  <si>
    <t xml:space="preserve">c809141abe25c99f17738ad89741cda2ccbd588ab35e813a7c3d93fb371d369c  </t>
  </si>
  <si>
    <t xml:space="preserve">8b2d0c997d449bb15c6939c736255f69ee41ea3c4a7e1e821a28876986f4c902  </t>
  </si>
  <si>
    <t xml:space="preserve">27801027ecea31060d9e5840255f458b4eccdbc905cd89accd525f7b29a6cd0b  </t>
  </si>
  <si>
    <t xml:space="preserve">dcd7d37f99b6298a1c5be30cc2f3d9d87c9c6f27bb8587738bd3fa4a08b606c6  </t>
  </si>
  <si>
    <t xml:space="preserve">a8c01da206271c5b352813effb4d72c91f7c139e673090e853ae3ba63b46cb3e  </t>
  </si>
  <si>
    <t xml:space="preserve">73fefbf71f59305817e385f68f46c519018cdcc101c1446a86872f84a063cf71  </t>
  </si>
  <si>
    <t xml:space="preserve">e81abe2a815ee31baf2c57fd1b89aefbc09679244d75b0fd456a135e1154c72b  </t>
  </si>
  <si>
    <t xml:space="preserve">e6c7d8e7896f4606027dfccf93d95a71281c5ce6322a2620bb91f7963646dcf1  </t>
  </si>
  <si>
    <t xml:space="preserve">b4da7bf7574cb8d99ba2621449aaf9fbbfcbf950ff706b12e93651582ed12c57  
91a6841f50f34ec4e30f1506481336463e872b60c150410cd032bd4b89221cb9  </t>
  </si>
  <si>
    <t xml:space="preserve">36cf314fefb6a0334997b5ab550993c6f77f221aefdae40225553b41d756716c  </t>
  </si>
  <si>
    <t xml:space="preserve">efd354a171ad9920151e022c34f126fb8d4fcc6faf1ae31a0472c91e4101dba3  </t>
  </si>
  <si>
    <t xml:space="preserve">75607ec2ebaf064fcb344305288d73165423e9ae9665aa284d13575afa70aa95  </t>
  </si>
  <si>
    <t xml:space="preserve">95a810e0d5d585835467ac098da45ef11776df11fc6accd246c05efc3ce081a0  </t>
  </si>
  <si>
    <t xml:space="preserve">44a7b39bc4a77224a662441da58b3d8d859f3385b930e8490cc9b955abe5ef49  </t>
  </si>
  <si>
    <t xml:space="preserve">e385dc565759057a32c570e05c6b620be8128844e2b98b4cc45242271750ff24  </t>
  </si>
  <si>
    <t xml:space="preserve">8fc59b8fbbd4657a83ba709d45dd1ce27a5eca13b9c6574248c1b7cc63638c87  </t>
  </si>
  <si>
    <t xml:space="preserve">92365fc25039345510c14e91662e8c545c4c5bdf54c926dccaf2ca8c64c53a6d  </t>
  </si>
  <si>
    <t xml:space="preserve">872a08f536a78bc4320b8d4ef9dc66c238b604d9f57a49446bf6d802de5b0221  
e7fa7af15dded9c7e714ddd2da0911fdff6a9a9b51809968d579093ef9dd9559  </t>
  </si>
  <si>
    <t xml:space="preserve">19787f14ebccad9ebc20370c2cac196b01063ac9c58fb005986951c62c21ddf8  </t>
  </si>
  <si>
    <t xml:space="preserve">686ae0cd93831041b9fbb0dabcf53599bbb554e350023d8f8f5c5b3a5ecb06fa  </t>
  </si>
  <si>
    <t xml:space="preserve">fa43d74b5bb2464df14baeb3c777c68e1b1e22e2b1f7b04bfc92cac5a7baca45  </t>
  </si>
  <si>
    <t xml:space="preserve">bbbdb74c3d150b42f1434889e486e2c438acf006d55113f99f17ba1184ae9d23  </t>
  </si>
  <si>
    <t xml:space="preserve">d07c0c28216044f006640e0d715957d4716bc93ab10641ac56bd861d35f82e5b  </t>
  </si>
  <si>
    <t xml:space="preserve">f3c3fd2bb8ccda617eaedd851487c7b4c58ca5299cafc877405b49b705389df9  </t>
  </si>
  <si>
    <t xml:space="preserve">e430afdef74bbd27cb939aab4d0eb26389b15cd6382835052492f404cc548a36  </t>
  </si>
  <si>
    <t xml:space="preserve">b5e323e895f71f96b35b618131e6f258ab71d9f7f5ff3d2d1509fe9f09163b65  </t>
  </si>
  <si>
    <t xml:space="preserve">9a1744159f392a5bfe51a6903bf0fab32e40ddaa278f1a1cd20e4f8302ea3d38  </t>
  </si>
  <si>
    <t xml:space="preserve">b5aadf5c35585323deb00bb06ec6ca94b03c2290be682df2e90bdfb23fa6cb93  </t>
  </si>
  <si>
    <t xml:space="preserve">761b6d29eaf1f65a9600b529e8a24e89910a15510cfb25b932fc83d5a4041766  
3553ab54cded4dbe1fd922e8bc0c120cd27971538827774d1856e9442ea106d9  </t>
  </si>
  <si>
    <t xml:space="preserve">fdec66eee820b2e42b393a5063b307f98e817297ff706d37835ecea5e30d16eb  </t>
  </si>
  <si>
    <t xml:space="preserve">56ccafeebe519be8792466251a9171bd0ad038e63ec6f073a6204e95d2c9d4e6  </t>
  </si>
  <si>
    <t xml:space="preserve">f4c09f2dd44a673bfdbfa30bda882865de6b35097a52d41dc6545709a9972c97  </t>
  </si>
  <si>
    <t xml:space="preserve">de6b5473b3c166cb06a81d173f0853f77995bc56ce277984722d87d7ba5ee9f0  </t>
  </si>
  <si>
    <t xml:space="preserve">6be468304da39b5bbbe4860027b8df87b4bf047dff139e3286fe67755a3c5835  </t>
  </si>
  <si>
    <t xml:space="preserve">3ce0264660fa5d2507c1149880cea43bfd26d6e0be4891833c1a988127a080ee  </t>
  </si>
  <si>
    <t xml:space="preserve">fd963d78a79c0c18b8c4c120376676b14b7817aa31e11e02c5b5d3ffccca3289  </t>
  </si>
  <si>
    <t>MrpResearch</t>
  </si>
  <si>
    <t>6e44740842cbe4c5f03ccbc8e0b759fe9f743e68351746948af8858bcd3b9d76</t>
  </si>
  <si>
    <t>eb78f877dd86543bab132a16903aebc3cbc8619400ac15b7c9fe65fa9c7e821f</t>
  </si>
  <si>
    <t>30345bb1352102359cf4118e043c00ffa1b63409affeb2a53a12504062e38b64</t>
  </si>
  <si>
    <t>1. Added VX28.0_R03 and PX26.3_R02 for Voyager release
2. SV25.3_R03 software release on SIGNA Creator / SIGNA Explorer
3. Release software revisions DV28.1_R03_2037.c with IPM and DVw magnet on the SIGNA Artist
4. Introduction of MP26.0 R02 Service Pack 02 (FMI 60969)
5. Vega C R05 Release on Pioneer and Architect
6. Polaris B  R05 release on Premier
7. HD28.0_R03 software release on HDxt 1.5T products
8. Added DV29.0_R01, PX29.0_R01 and RX29.0_R01 for Architect, Pionner and Premier 
9. DV26.0_R05 service pack 01 release
10. add the checksum for each versions of software</t>
  </si>
  <si>
    <t>30-Jun-2021</t>
  </si>
  <si>
    <t>DOC2464445</t>
  </si>
  <si>
    <t>60963A, 60963B(China only)</t>
  </si>
  <si>
    <t xml:space="preserve"> 5856297-A, 5856297-B (China only)</t>
  </si>
  <si>
    <t>Note 71</t>
  </si>
  <si>
    <t>FMI60963 provides DV26.2 R05, DV28.0 R05, PX25.2 R05 and PX28.0 R05 software version updates, which includes fixes for the unique issues identified in the next section. This FMI applies only to sites under GE service contract with compatible hardware. This FMI will be available to sites in Consignee List.
Impacted software versions Phase 1: DV27.0, DV28.0, PX25.2 and PX28.0
Impacted systems: SIGNA Architect and SIGNA Pioneer
Impacted software versions Phase 2: DV26, Architect only</t>
  </si>
  <si>
    <t>See Note 30, 71</t>
  </si>
  <si>
    <t xml:space="preserve">58e97a717b4b1b1ed71ca8cb47582d57ad4c783efdcff08fe3891ff5a1ff90e5 </t>
  </si>
  <si>
    <t xml:space="preserve">cdb3280ce5c1eaa26763855bcaa05a98528513a28ac1fd72107ce500b7616a97 </t>
  </si>
  <si>
    <t xml:space="preserve">9cd5e627d949159ce3850b7c309205da6ecfe7a8b5f3032edd42c37f55a05455 </t>
  </si>
  <si>
    <t xml:space="preserve">71bb201f95a5834cc5d2a8503fb73084c6e79b9cd6ddc4501048ce3d7037657f </t>
  </si>
  <si>
    <t xml:space="preserve">433a038a515326f1ba05f5a50cbddbefb5bc7dc46aa1b47c078290b0c7e6219f 
7cfd702c63d1bc296f7872cf3077c24dc8d8c9d9ddee3ee0e5b114017345a227 </t>
  </si>
  <si>
    <t xml:space="preserve">28be9e8f869d9f0ab6d75a79d772d17ce97b417dfa38e8da8e89d0cd2c8f27f4 </t>
  </si>
  <si>
    <t xml:space="preserve">409b5a8e1979789cbe486ce9f1ab32166dbebebad94eaf628f810d74a4620fe0 </t>
  </si>
  <si>
    <t xml:space="preserve">a82b5348a8e35a43a49bb13a5a615299ff9e42123b74cfb1b1abdc99b02ae802 </t>
  </si>
  <si>
    <t xml:space="preserve">8f3b661f60443e90f2a08170511068497a76c97363d08fb4a9f1f046227e068f </t>
  </si>
  <si>
    <t xml:space="preserve">091ec6eb6b7c25b40a4417db2cfb083aface6489e15bdbc80fa8ec61c4df4b87 </t>
  </si>
  <si>
    <t xml:space="preserve">1cec92c6b46b062ae8b3a3cb71571ab8e4e1d1630d76e65bac96c451a95f423a </t>
  </si>
  <si>
    <t>DV28.0_R05_2034.a</t>
  </si>
  <si>
    <t xml:space="preserve">6d44136ce4485aa80e7b873f7223067c5ab1661f445c923a3334d6dc2f9b84f1  </t>
  </si>
  <si>
    <t xml:space="preserve">36279e0dd4b145fd8796cdaec1aeb93213fb2906ad32e3b2e9a3c6c3605a43d8  </t>
  </si>
  <si>
    <t xml:space="preserve">48d55f4cae9bc8c47284015548b4ee53af5bfc340db30013bd66642daa243b8f </t>
  </si>
  <si>
    <t xml:space="preserve">ac214ee060922ae76cb101c9f47326509d7d2b53150cf3233809523831e94196  </t>
  </si>
  <si>
    <t xml:space="preserve">6aa2ff532519befc4f6123b7cc0d463d2f15dd9b9350f909898edb54370fedd4  
bafcd800cdae92472996003d07427e847fa26877ae530b1ca29d415b8d953ad4  </t>
  </si>
  <si>
    <t xml:space="preserve">ce0ba4ae8608f8b476f220ff1b9f9bc37ab18924476e722feffe801e1bc6adab  </t>
  </si>
  <si>
    <t xml:space="preserve">d1bbcfc400d16b991c5515a74e7e01e416da63b483aa0359beaa63545529da30 </t>
  </si>
  <si>
    <t>32e3002b9995023019a4ade5cbdf5fd81ca7a933d1e532fd08b17aea40d88481</t>
  </si>
  <si>
    <t xml:space="preserve">e1ee9b1b08cfa00818b38426f6f3c0e4e3d20b8d5ea2e66e9a5928acadfcbb09  </t>
  </si>
  <si>
    <t xml:space="preserve">84def8708ae5ee8e8ef444f3c30da48e9a1e23e27488f80410788855994a4608  </t>
  </si>
  <si>
    <t xml:space="preserve">28aefca866e707353266225a622e80e7862fd3e3a5c9bed38d0f6c308c0ebc80  </t>
  </si>
  <si>
    <t xml:space="preserve">8affedf2fd3a65c9b949a95b623e6e3572dfdffd69f9cebbc7ac11fe5870f859  </t>
  </si>
  <si>
    <t xml:space="preserve">9548d9c818b9002f241ef474ab683a063d9f49057b6a60fa91383bf0a536cb56  </t>
  </si>
  <si>
    <t xml:space="preserve">828abad955deaf51b9e377b5fcfd7b127cdf271506427e6bbad36ce79e35fd36  </t>
  </si>
  <si>
    <t xml:space="preserve">2a78832b048aebe93a503dabfdb86f580964d079ae4826d59844b27af276dede    </t>
  </si>
  <si>
    <t xml:space="preserve">eff4bdb06623bd33e2578f4bdc025c41ed303ec44e63ca794ccfc3f0cc9b566f    </t>
  </si>
  <si>
    <t xml:space="preserve">3d7c031d2c95ec02059852250092608348638f744a10a12b0a71d2c6070f4476  </t>
  </si>
  <si>
    <t xml:space="preserve">99af612216f7ca3634afe12006c36ebb5298657fff238fa4038372613c1283c7  
f247dc9755ff3910a13fcdf6ceee24ec900f8459b2154edbb639059d66572929   </t>
  </si>
  <si>
    <t xml:space="preserve">5a3bc3b19fc2472482af866bd17eeea546c5bd27f863b9fff6ac5eff108e90dd  </t>
  </si>
  <si>
    <t xml:space="preserve">afa1e763e1a0949bafbc77b1fbfc74ed613a47ff4e12437b8a590cec47f15b0d   </t>
  </si>
  <si>
    <t xml:space="preserve">630e64bac5f4cb8b24079e78c8f6cee55522f2af56d94de192c6498616fe35f2    </t>
  </si>
  <si>
    <t xml:space="preserve">6ce30d910164122a00c319abd3486a9d9fd890181d18ed19873ddb8d1302d8cc  </t>
  </si>
  <si>
    <t>DV28.0_R05_2034.a (labeled as DV26.2_R05)</t>
  </si>
  <si>
    <t>3b6533a2a380860d481cd80966a7e6d3399d80efeb0f1489b354c9d4a9d4e7ae</t>
  </si>
  <si>
    <t xml:space="preserve">6d56c36e72d10a728b92e94b7f59e9c29350283335f6eef731a24ff6ee731361  </t>
  </si>
  <si>
    <t xml:space="preserve">41c517406a95af9f7647b0f7fae8646fe9a9cf2c6992915a087aacc9dff138c3  </t>
  </si>
  <si>
    <t xml:space="preserve">2b15ac2a62562bb8b487b299612155a2f1964dfede60b9321fbea587adcd8432  </t>
  </si>
  <si>
    <t xml:space="preserve">e212c8ad24ae48c3daa230c1cea163ecdfe676eb86318b86e5897f9837b3933f  
c13c66540f8553990dd4e1f4dd3dd31690af76da3676a0f8f6f3cd8f19afa31c  </t>
  </si>
  <si>
    <t xml:space="preserve">b6702cd8b433f14a039f8ab48d43eae68d9a8304b34fdb0e0df394f2b8c6e385  </t>
  </si>
  <si>
    <t xml:space="preserve">faa27573e24986fcb3a26ef12c8686c70d0062985190686800daa037f81250dd  </t>
  </si>
  <si>
    <t xml:space="preserve">2f88e0ed8ec1b33a4035c982d8f4d0b54217696e5ba0dcf302e6f727926637fa  </t>
  </si>
  <si>
    <t xml:space="preserve">3ddbf96f605097280ad61c8a10f80f9a6a30b98764060b7dd85bf7f9146cdcec  </t>
  </si>
  <si>
    <t xml:space="preserve">7f26230dfc01a8dee60ece707c0d637239c44a33bc88860a528170cdcd9a1cff  </t>
  </si>
  <si>
    <t xml:space="preserve">041fb055f2040fb7af92ee81e04857f0f9ff1c82117d334fe45f5d640f3d8ce0  </t>
  </si>
  <si>
    <t>PX28.0_R05_2034.a 
(labeled as PX25.2_R05)</t>
  </si>
  <si>
    <t xml:space="preserve">e5f9ff5760527f0f3587a491c4b50238e41c8be443d45d467d402d1f20c80e3d  </t>
  </si>
  <si>
    <t xml:space="preserve">e1b94dbbe34dc7a425a79a1caa21baa7614e991eadbd7e6af06fce951f823728  </t>
  </si>
  <si>
    <t xml:space="preserve">abf3271a25404d86f6513653ffe79b13d7da063a5a1bb13de720f756f7bd515b  </t>
  </si>
  <si>
    <t xml:space="preserve">eb6d5d781ff402e3d40a93771566e4b416865247cae6f568b79c87db9b7510e0  </t>
  </si>
  <si>
    <t xml:space="preserve">3c347cf2bd1cbff48675bc119f16628583e8ea3e5b6339347abe4cdae881a3f9  
b17c13a99cde580d392c8bb61c0d101d4348cfc4011bb95ddc20b4cb92a26831   </t>
  </si>
  <si>
    <t xml:space="preserve">c922f75f1cd45a00123555499666b2991d0122fff0067489ff4251f8559eec22  </t>
  </si>
  <si>
    <t xml:space="preserve">826a10f2678302cfffbe26d84c45755a37792dd71f3593b13dcc86ea842893a0  </t>
  </si>
  <si>
    <t xml:space="preserve">a53b01022c78947427642fa5e0ddf47a381a242da4a0e6c959648d88db23569f  </t>
  </si>
  <si>
    <t xml:space="preserve">3886e59c0c80099357590c82c438ce28a1115a6ac5ae4ce768f7af55c728a2dc  </t>
  </si>
  <si>
    <t xml:space="preserve">b368a809b1cce35df54a6deecdb2ea12667a731dc470d369c164d216479e3c81  </t>
  </si>
  <si>
    <t xml:space="preserve">2a74e80261dca91751fbdb72942d175944b04e07cae04b043a0b9de2b9440d19  </t>
  </si>
  <si>
    <t xml:space="preserve">9b26dad6270ba53f5780068621fcfbeeeb10ff6b9c2fdc1dbdff97e2631129bd  </t>
  </si>
  <si>
    <t xml:space="preserve">e2a0185c48a23290fb9857488e0c79ebd0236b0b4a42e7a02a94427092261833  </t>
  </si>
  <si>
    <t xml:space="preserve">a7b6a7ec6abb378388add9b1b43af23441bc2a4c2b2935eaf65e3a900fc36dc6  </t>
  </si>
  <si>
    <t xml:space="preserve">81a16778182268c38a725bb9833994b07b8d09696dde39b65f2a4069e757d218  </t>
  </si>
  <si>
    <t xml:space="preserve">60e0d698db8bbf23b8ab452d1655c34ef60948404f936261f90307620dcd5bcc  </t>
  </si>
  <si>
    <t xml:space="preserve">86781aeb86ab92f33a9d82afe950ab2a27f6675dea822e37318395bcc7982e74  </t>
  </si>
  <si>
    <t xml:space="preserve">8cbd7d18fa4b07465dc8c79ebcd3e26a2b9075b26d56f1fddc74436596c76297  
0b4f2612876ad925dd9e11bfe6dea0f434f19697b54ec3d77ba22710f8343ac7  </t>
  </si>
  <si>
    <t xml:space="preserve">0d9541aa9f7c25157c68c8787d168b332c198dfbbe76a071e63b70e2e8b31071  </t>
  </si>
  <si>
    <t xml:space="preserve">1a41b36892fbbfc48fb4bae078050bd416b49d181f31bfe5b836e507468bcd8f  </t>
  </si>
  <si>
    <t xml:space="preserve">56894320cb7a30b5fac93a5cf727b5403a98817869f52df9be294946b6f32220  </t>
  </si>
  <si>
    <t xml:space="preserve">0e4de2d66dff10825162a4e7baebdea7fd549ac021f4d9562bc997b1a1abe775  </t>
  </si>
  <si>
    <t>HD28.0_R03_2037.a
(labeled as HD16.1)</t>
  </si>
  <si>
    <t>Updated product name to distingusih between 3.0T and 1.5T
Updated Service Pack info</t>
  </si>
  <si>
    <t>SIGNA Prime</t>
  </si>
  <si>
    <t>PM</t>
  </si>
  <si>
    <t>Weng, Feng</t>
  </si>
  <si>
    <t>Starter</t>
  </si>
  <si>
    <t>SV25.3_R04_2102.b</t>
  </si>
  <si>
    <t>SIGNA MR355</t>
  </si>
  <si>
    <t>SIGNA MR360</t>
  </si>
  <si>
    <t>R, RD</t>
  </si>
  <si>
    <t>SIGNA MR355 / SIGNA MR360</t>
  </si>
  <si>
    <t>ST28.0_R01_2108.a</t>
  </si>
  <si>
    <t>DV28.1_R04_2102.b</t>
  </si>
  <si>
    <t>DOC2505043</t>
  </si>
  <si>
    <t>c145e3882d909d14939c794557a73a59c28a0dcdf41350a0b098f3b8d9129cae</t>
  </si>
  <si>
    <t>.bin</t>
  </si>
  <si>
    <t>Helios-7.7</t>
  </si>
  <si>
    <t>ad0a99df1449df6c7a069c40722868e4bce7e097b93f81bd035f9fcab57fc8ff</t>
  </si>
  <si>
    <t>3d130119e326e21de1a11fccdd8c280f888b9f892aa35285ffb792c689c4d3f5</t>
  </si>
  <si>
    <t>Mulan WG</t>
  </si>
  <si>
    <t>Mulan Delta</t>
  </si>
  <si>
    <t>FMI67936A</t>
  </si>
  <si>
    <t>IB Release update</t>
  </si>
  <si>
    <t>SIGNA MR380</t>
  </si>
  <si>
    <t>PanGu</t>
  </si>
  <si>
    <t>PX28.0_R05_2034.a</t>
  </si>
  <si>
    <t>Note 72</t>
  </si>
  <si>
    <t>5870889</t>
  </si>
  <si>
    <t>5870887</t>
  </si>
  <si>
    <t>5870888</t>
  </si>
  <si>
    <t>FMI 60973</t>
  </si>
  <si>
    <t>SP 1</t>
  </si>
  <si>
    <t>RX29.0_R01_2034.a.PC</t>
  </si>
  <si>
    <t>DV29.0_R01_2034.a.PC</t>
  </si>
  <si>
    <t>PX29.0_R01_2034.a.PC</t>
  </si>
  <si>
    <t xml:space="preserve">SP01 has been released onto forward productions of SIGNA™ Premier, SIGNA™ Architect, and SIGNA™ Pioneer that currently use RX29.0_R01_2034.a, DV29.0_R01_2034.a, and PX29.0_R01_2034.a system software respectively. FMI60973 provides SP01 to installed bases of SIGNA™ Premier, SIGNA™ Architect, and SIGNA™ Pioneer that currently use RX29.0_R01_2034.a, DV29.0_R01_2034.a, and PX29.0_R01_2034.a software by both RSD and physical FMI kits. </t>
  </si>
  <si>
    <t>DOC2530880</t>
  </si>
  <si>
    <t>VX28.0_R04_2102.b</t>
  </si>
  <si>
    <t>PX26.3_R03_2102.b</t>
  </si>
  <si>
    <t xml:space="preserve">b238405259674eb2c757f80cd4d0cc68316bcf7c3655f1049c40ed54ed4b7b24 </t>
  </si>
  <si>
    <t>2f184a7b9189c94a38c45e6ae6abb0caac09ae9f79ffc77dbd12e1a248ab272c</t>
  </si>
  <si>
    <t xml:space="preserve">1. Added ST28.0_R01_2108.a for SIGNA Prime release
2. Added SV25.3_R04_2102.b for SIGNA Creator/SIGNA Explorer/SIGNA MR355/SIGNA MR360 release
3. Added DV28.1_R04_2102.b for SIGNA Artist release
4. Added product of SIGNA MR355 and SIGNA MR360 
5. Added product of SIGNA MR380 for NPI release 
6. Added Optional FMI 60973 for MR29.0 SP 1 release on Pioneer, Architect and Premier
7. Added PX26.3_R03_2102.b and VX28.0_R04_2102.b for SIGNA Voyager release
8. Update the FMI type of FMI60959B &amp; FMI60959C from Mandatory to Optional </t>
  </si>
  <si>
    <t>DV29.1_R01_2111.a</t>
  </si>
  <si>
    <t>Qin</t>
  </si>
  <si>
    <t>DOC2520364</t>
  </si>
  <si>
    <t>DOC2469978</t>
  </si>
  <si>
    <t>HELiOS 7.7</t>
  </si>
  <si>
    <t>HD29.1_R01_2111.a</t>
  </si>
  <si>
    <t>SV29.1_R01_2111.a</t>
  </si>
  <si>
    <t>VX29.1_R01_2111.a</t>
  </si>
  <si>
    <t>RX29.0_R01_2111.a</t>
  </si>
  <si>
    <t>Atlantis</t>
  </si>
  <si>
    <t>RX29.1_R01_2111.a</t>
  </si>
  <si>
    <t xml:space="preserve">b2e9be299dbacdb017e337f615765d5aa8eb0bd57abf8b2211291a0d11e0a92f  </t>
  </si>
  <si>
    <t xml:space="preserve">fdc67bb9def44edfce79aaad4b3d0a7fe6917ed4aa000dc3db4f0bbec6440b19  </t>
  </si>
  <si>
    <t xml:space="preserve">600bb5561d0cb15c32c73d8bd2e1303bf08ebae0731456c1c0d388f7d5a1ccc0  </t>
  </si>
  <si>
    <t xml:space="preserve">b44457bc0275488e17f415a615f801636d53ca7e4f0dbd4d12d4dbaa8fc8456e  </t>
  </si>
  <si>
    <t xml:space="preserve">5eee792d694a18a775ce7d6d70ab9fec950ed262660ba2eb399ae5b059c75554  </t>
  </si>
  <si>
    <t xml:space="preserve">048383e38230a131a366a6cd46b9cc523f26b945f1ddb9bad6920c1fc1ea10fe  </t>
  </si>
  <si>
    <t xml:space="preserve">fe1e455babaf9903bc051d686bc25b4f439c428bc3f8a6897ad61d716e9f2ff8  </t>
  </si>
  <si>
    <t xml:space="preserve">c7c2669bea7cc1a0eb3bf43a0592575dc52c1fb2eab886e2a257fa80653a6197  </t>
  </si>
  <si>
    <t xml:space="preserve">f4985560286f0ddf7ac56ce38133ebc4e9511fdd4dfaf5a7d5f037f7716177e6  </t>
  </si>
  <si>
    <t xml:space="preserve">30345bb1352102359cf4118e043c00ffa1b63409affeb2a53a12504062e38b64  </t>
  </si>
  <si>
    <t xml:space="preserve">519fcf4829f824f9c2491fb26c74ec8598480a37c4b17a11dce7325ff96cf635  </t>
  </si>
  <si>
    <t xml:space="preserve">8aa5f1d30f390dd90e61e6921ad1f3dde02493b6a44e2cd5c39e88df07408a98  </t>
  </si>
  <si>
    <t xml:space="preserve">dda74256a22534673a9223e455a374e17d8480140fc9ef25c56b4460c556e149  </t>
  </si>
  <si>
    <t xml:space="preserve">0936005239843522f36e28d8adcc756eb337207abe7b9e653d86f719cae87e70  </t>
  </si>
  <si>
    <t xml:space="preserve">de2d74a92980870d183697579983f8b371929f705c400d57f79faa512edd1211  </t>
  </si>
  <si>
    <t xml:space="preserve">627810ae46cf8d4dcb61bc6a1b6748b46f7d6d67e95f148efdae9150472ea6b8  </t>
  </si>
  <si>
    <t xml:space="preserve">bf6eb6eb4e4c482f88a2a6f517c8568d02fa4a24d23316638150b454b1fe9eee  </t>
  </si>
  <si>
    <t xml:space="preserve">de920927279770394507a30727285be15d3e8ca5163eedc81abedb93121ef493  </t>
  </si>
  <si>
    <t xml:space="preserve">3620058b780c4cc8bc846fdbc6c99ff2a6e84476771c5c66f4242fe4f30ec901  </t>
  </si>
  <si>
    <t xml:space="preserve">dd8e9b46f401d79f5062a014e307a11ca2a850c3e9a850283f650805218ac006  </t>
  </si>
  <si>
    <t xml:space="preserve">933362397b5f2d267e6295a15e47ce22004d573c123552ed5f1166b7f0e5ca2f  </t>
  </si>
  <si>
    <t xml:space="preserve">18a195a8c9ca9bfe8d155d6c6f86988f67cca4ba2ab1d8d654b7cb1d25c59cd2  </t>
  </si>
  <si>
    <t xml:space="preserve">d25a534002853ea668d3a2d223121e4b80f4d83387db16adb69475b162db7c6c  </t>
  </si>
  <si>
    <t xml:space="preserve">f733cc80ed96ebc4bc5d830504c410009962486c37652c4d93c5a9788107b351  </t>
  </si>
  <si>
    <t xml:space="preserve">70e448a761b00403bcfcab1718598e6a88977af29a9ba8ce43852679292a40c1  </t>
  </si>
  <si>
    <t xml:space="preserve">c1ad03e1e6a26ffe39ee2cb5b94dd51e6d96a74f7ba0ebfdec8bfbbb6da73dda  </t>
  </si>
  <si>
    <t xml:space="preserve">50a0c2f40989916cf9ce3ce6a5987907a30eaa0f3f5bcaf57990bfaee0327992  </t>
  </si>
  <si>
    <t xml:space="preserve">5626f8df9ce506ba81e2826c9011ac91dc952f08b2f73a9788bea7974b15a12a  </t>
  </si>
  <si>
    <t xml:space="preserve">7ef6835a794150064f7bdb795a2066cc41d0b2749307e4f487c2f7110b74b512  </t>
  </si>
  <si>
    <t xml:space="preserve">388f1b477d3055b93f53bf6ef98261124c1f3be42208ad08dd83aeb128b63caf  </t>
  </si>
  <si>
    <t xml:space="preserve">10a13e65242c9ed43f9639a7d0c0aec5e8f3118a754001ca0665f470867c7b6a  </t>
  </si>
  <si>
    <t xml:space="preserve">4f8fc37e920b5ff13d363fc06e5eb3ab0623ec617b2d59599ba201bd63cf4dbf  </t>
  </si>
  <si>
    <t xml:space="preserve">0207723f443dffeecacd31daf4d224044a33085eaf58924d3b2c07f11910dbf8  </t>
  </si>
  <si>
    <t xml:space="preserve">6639be3ecf7bc14f59cada5bd1a23954346fc019e934f50a7ea002e59d6e4e7f  </t>
  </si>
  <si>
    <t xml:space="preserve">7adac8271d8891d8820725f59e253ad0c3552cc13e163aec7e80362fb7c018fc  </t>
  </si>
  <si>
    <t xml:space="preserve">87ece22eec9fcbf4bf9f668a7c07eb0e422c6f3054d74546a88881aee04316ff  </t>
  </si>
  <si>
    <t xml:space="preserve">9659b0cd65b852c1c7e91ab6c3bd5794021822838fbf26e2a66d0c80e2fbabfe  </t>
  </si>
  <si>
    <t xml:space="preserve">0d0980e6e955a1c56781ae4e1964c1df981d8045d57d9566a83082d32734b792  </t>
  </si>
  <si>
    <t xml:space="preserve">479bd3b0e8b6dfbe98d127b5341fa7cb8f36a6375b98be94311b67d32d0f7313  </t>
  </si>
  <si>
    <t xml:space="preserve">aaaa5b78383ae659794acdf6d35d9ec11e54affed608c00aceb2136ca1c52468  </t>
  </si>
  <si>
    <t xml:space="preserve">e970ba069fe624825e897d3e7dfa2610584744651f920627ab810e5192acc5ac  </t>
  </si>
  <si>
    <t xml:space="preserve">b192da5bb955be6d6b03aeba9d444fc9160705cc22009158311d3657ba970b97  </t>
  </si>
  <si>
    <t xml:space="preserve">218a5cc8238df28bebf7b58ad47670c171630ac8b1b8e0ad080fd995cacdc53b  </t>
  </si>
  <si>
    <t xml:space="preserve">f8e28f9f8fac198d65c2772c5a523c278af5d3d323625cb7d240b63e296c9996  </t>
  </si>
  <si>
    <t xml:space="preserve">449111725dc4491ab732c8d2f15220e4914bf402f86b0247a4ba8fee03057466  </t>
  </si>
  <si>
    <t xml:space="preserve">5593345384242bb7a34bccdb599d16b7e7fc01a0504443c28b8bff230eead6eb  </t>
  </si>
  <si>
    <t xml:space="preserve">bab3d2aba8b750ad6f5767850b44421570e8c8e72517f81c617f89cd4443b9b5  </t>
  </si>
  <si>
    <t xml:space="preserve">bdfdc99ed4f53d9594e6608321170314ab833c15f0ca09e09d6dae83067d0b50  </t>
  </si>
  <si>
    <t xml:space="preserve">04cf4e7035076fc1ade4ffd597c54eae986bb08bd17b0dce8e75e8c03fb89468  </t>
  </si>
  <si>
    <t xml:space="preserve">f06de4eeac9085d692cd60dbe626f66dc0676016e315120713fcffa51aa5a574  </t>
  </si>
  <si>
    <t xml:space="preserve">802f7424b4e1b3b34d8eceece74c3773c9e8bba497b5bf3e5877072fcaa2a87e  </t>
  </si>
  <si>
    <t xml:space="preserve">f709e6515ab5f81e53a37e58026bd4bd2035b26ccb70972636c91b278936909c  </t>
  </si>
  <si>
    <t xml:space="preserve">d2251848081fd8794b9744e8ec290e9e360dc0909025aa49697b8740aaac912a  </t>
  </si>
  <si>
    <t xml:space="preserve">48b94c0dad2eb4ff7c2f9d8cee39b54557d2e67122cc58de51d32d97dcd5de3e  </t>
  </si>
  <si>
    <t xml:space="preserve">fe12dbcb1db22fb7f1a4c387623b8bd745b2b0cf8d8d0458e3817a78a0115290  </t>
  </si>
  <si>
    <t xml:space="preserve">ea0c936009bb52ffd623c4e29524df6d6a41d5c9b4ee64fcf8ae1c79d50a6238  </t>
  </si>
  <si>
    <t>PX26.1 R03</t>
  </si>
  <si>
    <t>PX26.1_R03_2128.b</t>
  </si>
  <si>
    <t>DOC2626330</t>
  </si>
  <si>
    <t>Note 73</t>
  </si>
  <si>
    <t>DOC2609921</t>
  </si>
  <si>
    <t>DV26.0 R06</t>
  </si>
  <si>
    <t>DV26.0_R06_2132.a</t>
  </si>
  <si>
    <t>DOC2608459</t>
  </si>
  <si>
    <t xml:space="preserve"> </t>
  </si>
  <si>
    <t>DV28.1_R05_2127.a</t>
  </si>
  <si>
    <t>bdd555f9f1cc15ea23b07a60c6e9cbabac7a248bf982e37c69251493ab809fbf</t>
  </si>
  <si>
    <t xml:space="preserve">HELiOS 7.5 </t>
  </si>
  <si>
    <t>Helios 7.4</t>
  </si>
  <si>
    <t>DV29.1_R02_2131.a</t>
  </si>
  <si>
    <t>79c071084f8b5904f9a42f508d2fec37fae5e4ed5a75ea9dca4fe8ac26258cb0</t>
  </si>
  <si>
    <t>DOC2592031</t>
  </si>
  <si>
    <t>VX29.1_R02_2131.a</t>
  </si>
  <si>
    <t>SV29.1_R02_2131.a</t>
  </si>
  <si>
    <t>HD29.1_R02_2131.a</t>
  </si>
  <si>
    <t>Signa Artist</t>
  </si>
  <si>
    <t xml:space="preserve">HD16.1_R03_2037.a </t>
  </si>
  <si>
    <t>DV25.1_R04_2132.a</t>
  </si>
  <si>
    <t>DV26.0_R06</t>
  </si>
  <si>
    <t>24-Apr-2022</t>
  </si>
  <si>
    <t>Note 74</t>
  </si>
  <si>
    <t>Note 75</t>
  </si>
  <si>
    <t>Note 76</t>
  </si>
  <si>
    <t>FMI60978</t>
  </si>
  <si>
    <t>PX26.4_R02_2131.a</t>
  </si>
  <si>
    <t>1ebbed6909b4056172f33f00e630a6fb68dfa0fa768aae00790c030fb5a96f53</t>
  </si>
  <si>
    <t>SV25.4_R02_2131.a</t>
  </si>
  <si>
    <t>HELiOS 6.10 LTM1-1</t>
  </si>
  <si>
    <t>helios_6.6.2</t>
  </si>
  <si>
    <t>1b840ea2de75392b0a2ddbb9f281e592deb80841f5a5eaf0a2ace5fc1fd797c9</t>
  </si>
  <si>
    <t>a983c8623d73a35ba2adf584fae371700dd70751212e31147c1f197a8952ff8f</t>
  </si>
  <si>
    <t>a922b3e80e9836ee0d9308f6169bec695e561af125da9cd308f6025e8e120724</t>
  </si>
  <si>
    <t>dccc9eb8182ac8ae9d254432d09d18ca3e0d68519f24cfba38dd024979e44dd6</t>
  </si>
  <si>
    <t>308bee7185994e6b060c17c397285325d29828848db3a06741fc09560247085d
5f89f3679359faf70014bcc40163570235598cc48ddc4dc3e7063ddaa290bdc5</t>
  </si>
  <si>
    <t>76bc34b2c7faea8732905891622c81eb31dbb0b9fee636a88e63b2c5b0d48c92</t>
  </si>
  <si>
    <t>14dc69644aebf03d6aec7923f81bca67b70989641ee118887f92d8101b4f0d7a</t>
  </si>
  <si>
    <t>354b89e63b614a2a4f31d5a1f305a8b8b4cda5b766fffb48d1f34fb8b1e88e01</t>
  </si>
  <si>
    <t>VX28.0_R05_2127.a</t>
  </si>
  <si>
    <t>PX26.3_R04_2127.a</t>
  </si>
  <si>
    <t>PX26.2_R03_2127.a</t>
  </si>
  <si>
    <t>PX26.0_R04_2127.a</t>
  </si>
  <si>
    <t>Voyager 2017</t>
  </si>
  <si>
    <t>Kizuna 1.5T</t>
  </si>
  <si>
    <t>HELiOS-7.5</t>
  </si>
  <si>
    <t>helios_7.4</t>
  </si>
  <si>
    <t>helios6.7.1</t>
  </si>
  <si>
    <t>helios6.6.2</t>
  </si>
  <si>
    <t>1c955f61fed677612e2d7aea3d3f59d70de39c0bfe5d16a0da62760a14a23383</t>
  </si>
  <si>
    <t>1d7962ba95dc9cec1b09f78048461b4996bf7094205aaee441becc6995c32d7b</t>
  </si>
  <si>
    <t>e93760bb322d3b2bb0eea2bbf7bc5e37e9520228bf5b862acffc07046d6ca4bc</t>
  </si>
  <si>
    <t>93d4f3d4bc92a4af45715c3bc8180d2641e251d699e31020654048dcd7fb2d5a</t>
  </si>
  <si>
    <t>6fe256b55aa968d08101d3ea99d82a974729daecc31cce6d70dc675267cc9660</t>
  </si>
  <si>
    <t>fd1354b6a7a37cf974293f1988650e2f492821267b3524a6d4aad364b5ee8c18</t>
  </si>
  <si>
    <t>FMI60978A</t>
  </si>
  <si>
    <t>DOC2609926</t>
  </si>
  <si>
    <t>DOC2609927</t>
  </si>
  <si>
    <t>60978A:5877333</t>
  </si>
  <si>
    <t>DOC2626330 (FMI60978)</t>
  </si>
  <si>
    <t>See None 73</t>
  </si>
  <si>
    <t>DV25.1_R05_2131.a</t>
  </si>
  <si>
    <t>FMI60978B</t>
  </si>
  <si>
    <t>60978B: 5877333-2</t>
  </si>
  <si>
    <t>FMI60978C</t>
  </si>
  <si>
    <t>60978C: 5877333-3</t>
  </si>
  <si>
    <t>DV26.3_R02_2122.a</t>
  </si>
  <si>
    <t>DV26.2_R01_1929.a</t>
  </si>
  <si>
    <t>DV26.2_R02_1947.a</t>
  </si>
  <si>
    <t>DV26.2_R04_2007.a</t>
  </si>
  <si>
    <t>DV26.2_R03_2006.c</t>
  </si>
  <si>
    <t>DV26.2_R05_2034.a</t>
  </si>
  <si>
    <t>FMI60978D</t>
  </si>
  <si>
    <t>FMI60978D: 5877333-4</t>
  </si>
  <si>
    <t>DV28.0_R06_2126.a</t>
  </si>
  <si>
    <t>FMI60978A provides DV25.1_R04_2132.a for Discovery MR450, Optima MR450w and Discovery MR750/MR750w running on DV25.1_R02.</t>
  </si>
  <si>
    <t>FMI60978C provides DV26.0_R06_2132.a for Optima MR450w, Discovery MR450/MR750/MR750w, SIGNA Artist and SIGNA Architect running on DV26.0.</t>
  </si>
  <si>
    <t>FMI60978D provides DV26.3_R02_2122.a for SIGNA Architect running on DV26.2. This FMI kit only impact China IBs.</t>
  </si>
  <si>
    <t>FMI60978B provides DV25.1_R05_2132.a for Discovery MR450, Optima MR450w and Discovery MR750/MR750w running on DV25.1_R03. NOTE: DV25.1_R05_2131.a will not support Brainwave.</t>
  </si>
  <si>
    <t>See Note 74</t>
  </si>
  <si>
    <t>See Note 75</t>
  </si>
  <si>
    <t>See Note 76</t>
  </si>
  <si>
    <t>Note 77</t>
  </si>
  <si>
    <t xml:space="preserve">FMI60978E/K/I: This FMI applies to all DV28.0_R0x, PX28.0_R0x, and RX25.2_R0x sites in the installed base not running DV28.0_R06, PX28.0_R06, or PX25.2_R06 software or later as detailed in the Effectivity List in MWS (DOC2615681).
Note: DV28.0_R06_2126.a impacts on SIGNA Architect running on all previously released DV28.0; 
PX25.2_R06_2126.a impacts on SIGNA Pioneer running on all previously release PX25.2 and this is only for China;
PX28.0_R06_2126.a impacts on SIGNA Pioneer running on all previously released PX28.0; </t>
  </si>
  <si>
    <t>FMI60978E</t>
  </si>
  <si>
    <t>60978E: 5877333-5</t>
  </si>
  <si>
    <t>See Note 78</t>
  </si>
  <si>
    <t>See Note 77</t>
  </si>
  <si>
    <t>PX25.2_R06_2126.a</t>
  </si>
  <si>
    <t>PX28.0_R06_2126.a</t>
  </si>
  <si>
    <t>PX25.1_R03_2128.b</t>
  </si>
  <si>
    <t>PX25.2_R01_1929.a</t>
  </si>
  <si>
    <t>PX25.2_R02_1947.a</t>
  </si>
  <si>
    <t>PX25.2_R03_2006.c</t>
  </si>
  <si>
    <t>PX25.2_R05_2034.a</t>
  </si>
  <si>
    <t>FMI60978I</t>
  </si>
  <si>
    <t>60978I: 5877333-9</t>
  </si>
  <si>
    <t>FMI60978K</t>
  </si>
  <si>
    <t>60978K: 5877333-11</t>
  </si>
  <si>
    <t>FMI60978G</t>
  </si>
  <si>
    <t>60978G: 5877333-7</t>
  </si>
  <si>
    <t>Note 78</t>
  </si>
  <si>
    <t>PX29.1_R02_2131.a</t>
  </si>
  <si>
    <t>PX29.1_R01_2111.a</t>
  </si>
  <si>
    <t>FMI60978M</t>
  </si>
  <si>
    <t>60978M: 5877333-13</t>
  </si>
  <si>
    <t>RX29.1_R02_2131.a</t>
  </si>
  <si>
    <t>FMI60978Q</t>
  </si>
  <si>
    <t>60978Q: 5877333-17</t>
  </si>
  <si>
    <t>FMI67938</t>
  </si>
  <si>
    <t>Note 79</t>
  </si>
  <si>
    <t>FMI60978H</t>
  </si>
  <si>
    <t>60978H: 5877333-8</t>
  </si>
  <si>
    <t>See Note 79</t>
  </si>
  <si>
    <t>60978J: 5877333-10</t>
  </si>
  <si>
    <t>FMI60978H/J: This FMI applies to PX26.1_R02 and PX25.1_R02 sites.
Note: PX26.1_R03_2128.b impacts on SIGNA Pioneer running on PX26.1_R02 SW;
PX25.1_R03_2128.b impacts on SIGNA Pioneer running on PX25.1_R02 SW;
PX25.1_R03_2128.b software has same software content as PX26.1_R03_2128.b with only difference in the Software labelling.</t>
  </si>
  <si>
    <t>MP26.0_R03_2125.b</t>
  </si>
  <si>
    <t>FMI60978R</t>
  </si>
  <si>
    <t>FMI60978R: This FMI delivers MP26 R03 software to the relevant SIGNA PET/MR sites currently operating with MP26 R01 or R02 software. This upgrade corrects the Image Annotation and/or Flipped images issue that was a result of inadvertently changing the prescribed patient orientation.
This FMI applies to the SIGNA PET/MR sites running MP26.0 software. These sites are listed in the consignee list in MWS, DOC2578566.</t>
  </si>
  <si>
    <t>Note 80</t>
  </si>
  <si>
    <t>60978R: 5877333-18</t>
  </si>
  <si>
    <t>See Note 80</t>
  </si>
  <si>
    <t>FMI60978W</t>
  </si>
  <si>
    <t>60978W: 5877138</t>
  </si>
  <si>
    <t>See Note 81</t>
  </si>
  <si>
    <t>FMI60978AB</t>
  </si>
  <si>
    <t>60978AB: 5877149</t>
  </si>
  <si>
    <t>FMI60978Z</t>
  </si>
  <si>
    <t>60978Z: 5877146</t>
  </si>
  <si>
    <t>Note 81</t>
  </si>
  <si>
    <t>FMI60978AI</t>
  </si>
  <si>
    <t>60978AI: 5877353</t>
  </si>
  <si>
    <t>SV25.1_R07_2127.a</t>
  </si>
  <si>
    <t>SV25.1 R07</t>
  </si>
  <si>
    <t>FMI60978AC</t>
  </si>
  <si>
    <t>DOC2610745 </t>
  </si>
  <si>
    <t>60978AC: 5877342</t>
  </si>
  <si>
    <t>HD28.0_R04_2125.a</t>
  </si>
  <si>
    <t>HD16.1_R04_2125.a</t>
  </si>
  <si>
    <t>HD28.0 R04</t>
  </si>
  <si>
    <t>DOC2597330</t>
  </si>
  <si>
    <t>FMI60978X</t>
  </si>
  <si>
    <t>60978X: 5877141</t>
  </si>
  <si>
    <t>See Note 82</t>
  </si>
  <si>
    <t>FMI60978Y</t>
  </si>
  <si>
    <t>60978Y: 5877142</t>
  </si>
  <si>
    <t>Note 82</t>
  </si>
  <si>
    <t>SV25.2_R04_2127.a</t>
  </si>
  <si>
    <t>SV25.2 R04</t>
  </si>
  <si>
    <t>DOC2602141</t>
  </si>
  <si>
    <t>FMI60978AD</t>
  </si>
  <si>
    <t>60978AD: 5877343</t>
  </si>
  <si>
    <t>FMI60978AE</t>
  </si>
  <si>
    <t>60978AE: 5877346</t>
  </si>
  <si>
    <t>Note 83</t>
  </si>
  <si>
    <t>FMI 60978AD provides software SV25.2 R04 to 1.5T SIGNA Creator/Explorer sites running on SV25.2. Refer to DOC2613403
FMI 60978AE provides software SV25.2 R04 to 1.5T SIGNA MR355/MR360 sites running on SV25.2. Refer to DOC2602104</t>
  </si>
  <si>
    <t>SV25.3_R05_2127.a</t>
  </si>
  <si>
    <t>SV25.3 R05</t>
  </si>
  <si>
    <t>FMI60978AF</t>
  </si>
  <si>
    <t>60978AF: 5877347</t>
  </si>
  <si>
    <t>See Note 84</t>
  </si>
  <si>
    <t>FMI60978AG</t>
  </si>
  <si>
    <t>60978AG: 5877351</t>
  </si>
  <si>
    <t>Note 84</t>
  </si>
  <si>
    <t>PX26.0_R04_2127.a
PX26.3_R04_2127.a
VX28.0_R05_2127.a</t>
  </si>
  <si>
    <t>60978U: 5877136
60978V: 5877137
60978AJ: 5877354
60978S: 5877134</t>
  </si>
  <si>
    <t>See Note 85</t>
  </si>
  <si>
    <t>VX28.0_R05_2127.a
PX26.3_R04_2127.a
PX26.2_R03_2127.a</t>
  </si>
  <si>
    <t>60978U: 5877136
60978V: 5877137
60978AJ: 5877354
60978T: 5877135</t>
  </si>
  <si>
    <t>60978V: 5877137</t>
  </si>
  <si>
    <t>DOC2301760
DOC2610744
DOC2397833</t>
  </si>
  <si>
    <t>DOC2602138
DOC2301760
DOC2397833</t>
  </si>
  <si>
    <t>60978U: 5877136
60978AJ: 5877354</t>
  </si>
  <si>
    <t>Note 85</t>
  </si>
  <si>
    <t>FMI60978AA</t>
  </si>
  <si>
    <t>60978AA: 5877148</t>
  </si>
  <si>
    <t>See Note 86</t>
  </si>
  <si>
    <t>Note 86</t>
  </si>
  <si>
    <t>Note 87</t>
  </si>
  <si>
    <t>SV25.3_R06_2135.a</t>
  </si>
  <si>
    <t>SV25.3 R06</t>
  </si>
  <si>
    <t>DOC2623071</t>
  </si>
  <si>
    <t>60978AH: 5877352</t>
  </si>
  <si>
    <t>See Note 87</t>
  </si>
  <si>
    <t>c157b2181b21cae291870090a4ed75c0398a17dde03a8b1f094c351c67dd3649</t>
  </si>
  <si>
    <t xml:space="preserve">5676acec1fc70d40abff9fef3f9a809d90c653e86ba7253cf1a4a8524625604c </t>
  </si>
  <si>
    <t>b8c8864461e71e548f3b6a3b649c96275d945904cddc1547dc0cb59752dbb9d8</t>
  </si>
  <si>
    <t>ffe1548e8958a18d2245f5c94cdc6752126e1a9249b8db19e55cd0fa92148de7</t>
  </si>
  <si>
    <t>89e2885ae66180576a0d78bcace60f15cbd6d33f848ffecc52b558224d304bb8</t>
  </si>
  <si>
    <t>10ea67933e74447e39a1f0ebbc8c8203e867d37b38b9de959539cbf35f8a261a</t>
  </si>
  <si>
    <t>6822530c3f2906da7095b35ac5bae4842094bafb66a7c386b9354de25ca2b671</t>
  </si>
  <si>
    <t>0345b679540c1654283b8faa4fbc6a3d8d3a85ef66cffda0c799bcfc25ee10e0</t>
  </si>
  <si>
    <t>57d9e9c7e6913f1885608c9b8fc146fa1c9d8ace8301259f3cfa7fdecc22d36d</t>
  </si>
  <si>
    <t>da874275ca8a0c905800d3a6b4de6a76d01d130952ea585e9021b6a6961ca4cd</t>
  </si>
  <si>
    <t>5edac26ab5fbe9260c8315e80090f4770ae5a275027743f3ff9ea18fd4e699de</t>
  </si>
  <si>
    <t>183387b0a573f8a06df24d203be990d1f3dab3a09c11fffeab0a5fcca1e45b0f</t>
  </si>
  <si>
    <t>b90262cba5faea0e53a35a74bb18abdba8f81f405a78f372dad57dcf851fc536</t>
  </si>
  <si>
    <t>226ac5dcf7b2c7d895f127758acadd17f851be54596410b817f2d4b502772347</t>
  </si>
  <si>
    <t xml:space="preserve">478cd20ad6fc1771edc108da5a6c4818db3d1df0f92f312f5e0e4f0a0735347d </t>
  </si>
  <si>
    <t>7d6d267a99d45fa56bf927ceec79cd8990b2271544377238016bd843e2c8042f</t>
  </si>
  <si>
    <t>1038fce0db9e52bb822ddbe67566e56816030ab24de28175492b7d4c052538fd</t>
  </si>
  <si>
    <t>6d15a3dcfbdc90f4fbf606853262d2b28aae58e32b137ba63b8bf542b4327bd5</t>
  </si>
  <si>
    <t>19d8f768d79b96957f90a189b2a9183fde04de46c2a4be55bbcc0ac64ae67b72</t>
  </si>
  <si>
    <t>2f67414137ad421ca77ec6716adba182a7407e612f15cc2051a99c7bdbcf1d36</t>
  </si>
  <si>
    <t>7d584d5db894d2084e9296df9566cfc123d8989a7eea2206cfc24fc9ab97a97d</t>
  </si>
  <si>
    <t>4813e66f56f43857ed4751229be5f76f71c3b8c3eed5e1cd72b32ffafe1c0a56</t>
  </si>
  <si>
    <t>See Note 83</t>
  </si>
  <si>
    <t>Weng, Feng
Dai, Wenjun</t>
  </si>
  <si>
    <t>RX29.0_R02_2122.a</t>
  </si>
  <si>
    <t>DV29.0_R02_2122.a</t>
  </si>
  <si>
    <t>PX29.0_R02_2122.a</t>
  </si>
  <si>
    <t>Antares R02</t>
  </si>
  <si>
    <t>DOC2578734</t>
  </si>
  <si>
    <t>GEHCMR_6.9.1</t>
  </si>
  <si>
    <t>Applications Software Upgrade FMI details (Safety)</t>
  </si>
  <si>
    <t>Applications Software Upgrade FMI details (Mandatory)</t>
  </si>
  <si>
    <t>Applications Software Upgrade FMI details (Optional)</t>
  </si>
  <si>
    <t>24-Jul-2020</t>
  </si>
  <si>
    <t>DOC2309139</t>
  </si>
  <si>
    <t>PX26.0_EA_1635.a</t>
  </si>
  <si>
    <t>Region</t>
  </si>
  <si>
    <t>Global</t>
  </si>
  <si>
    <t>60947E</t>
  </si>
  <si>
    <t>23-Aug-2019</t>
  </si>
  <si>
    <t>5815999</t>
  </si>
  <si>
    <t>60947F</t>
  </si>
  <si>
    <t>5816022</t>
  </si>
  <si>
    <t>67933E</t>
  </si>
  <si>
    <t>5831659</t>
  </si>
  <si>
    <t>67933D</t>
  </si>
  <si>
    <t>5830160</t>
  </si>
  <si>
    <t>67933C</t>
  </si>
  <si>
    <t>5830159</t>
  </si>
  <si>
    <t>DOC2309137</t>
  </si>
  <si>
    <t>10-Apr-2021</t>
  </si>
  <si>
    <t xml:space="preserve"> 10-Apr-2021</t>
  </si>
  <si>
    <t xml:space="preserve"> DOC2333799</t>
  </si>
  <si>
    <t>5840556</t>
  </si>
  <si>
    <t>67934A</t>
  </si>
  <si>
    <t>5836176</t>
  </si>
  <si>
    <t>5840558</t>
  </si>
  <si>
    <t>DOC1772650 (FMI60884A)
DOC2388555 (FMI60959)</t>
  </si>
  <si>
    <t>60936CA</t>
  </si>
  <si>
    <t>60936CB</t>
  </si>
  <si>
    <t>60936CC</t>
  </si>
  <si>
    <t>60978S</t>
  </si>
  <si>
    <t>60978V</t>
  </si>
  <si>
    <t>60978U
60978AJ</t>
  </si>
  <si>
    <t>60978T</t>
  </si>
  <si>
    <t>60963A</t>
  </si>
  <si>
    <t>60963B</t>
  </si>
  <si>
    <t>5856297-A</t>
  </si>
  <si>
    <t>5856297-B</t>
  </si>
  <si>
    <t>60978K</t>
  </si>
  <si>
    <t>60978X</t>
  </si>
  <si>
    <t>60978C</t>
  </si>
  <si>
    <t>60978R</t>
  </si>
  <si>
    <t>60978AA</t>
  </si>
  <si>
    <t>60978E</t>
  </si>
  <si>
    <t>5840555</t>
  </si>
  <si>
    <t>67936E</t>
  </si>
  <si>
    <t>67936C</t>
  </si>
  <si>
    <t>67936D</t>
  </si>
  <si>
    <t>60978AD</t>
  </si>
  <si>
    <t>67936B</t>
  </si>
  <si>
    <t>60978AC</t>
  </si>
  <si>
    <t>60978AF</t>
  </si>
  <si>
    <t>67934C</t>
  </si>
  <si>
    <t>67934D</t>
  </si>
  <si>
    <t>67934B</t>
  </si>
  <si>
    <t>SV25.0_R09_1928.c,
SV25.0_R09_1928.d</t>
  </si>
  <si>
    <t>67936D
67936E</t>
  </si>
  <si>
    <t>67936D: 5840556
67936E: 5840558</t>
  </si>
  <si>
    <t>67936D: 5840556,
67936E: 5840558</t>
  </si>
  <si>
    <t>60978G</t>
  </si>
  <si>
    <t>60978Q</t>
  </si>
  <si>
    <t>60978M</t>
  </si>
  <si>
    <t>60978AE</t>
  </si>
  <si>
    <t>60978AG</t>
  </si>
  <si>
    <t>60978AH</t>
  </si>
  <si>
    <t>60978AB</t>
  </si>
  <si>
    <t>60978Z</t>
  </si>
  <si>
    <t>60978AI</t>
  </si>
  <si>
    <t>60978W</t>
  </si>
  <si>
    <t>60978Y</t>
  </si>
  <si>
    <t>60978D</t>
  </si>
  <si>
    <t>60978I</t>
  </si>
  <si>
    <t>5877333</t>
  </si>
  <si>
    <t>5877333-3</t>
  </si>
  <si>
    <t>60978A</t>
  </si>
  <si>
    <t>60978B</t>
  </si>
  <si>
    <t>5877333-2</t>
  </si>
  <si>
    <t>5805934</t>
  </si>
  <si>
    <t>5809855</t>
  </si>
  <si>
    <t>5809857</t>
  </si>
  <si>
    <t>5877333-10</t>
  </si>
  <si>
    <t>5877333-8</t>
  </si>
  <si>
    <t>60978J</t>
  </si>
  <si>
    <t>60978H</t>
  </si>
  <si>
    <t>5877134</t>
  </si>
  <si>
    <t>5877137</t>
  </si>
  <si>
    <t>5877135</t>
  </si>
  <si>
    <t>5877148</t>
  </si>
  <si>
    <t>5877333-5</t>
  </si>
  <si>
    <t>5877333-11</t>
  </si>
  <si>
    <t>5877141</t>
  </si>
  <si>
    <t>5877333-18</t>
  </si>
  <si>
    <t>5877343</t>
  </si>
  <si>
    <t>5877342</t>
  </si>
  <si>
    <t>5877347</t>
  </si>
  <si>
    <t>5877333-7</t>
  </si>
  <si>
    <t>5877333-17</t>
  </si>
  <si>
    <t>5877333-13</t>
  </si>
  <si>
    <t>5877346</t>
  </si>
  <si>
    <t>5877351</t>
  </si>
  <si>
    <t>5877352</t>
  </si>
  <si>
    <t>5877149</t>
  </si>
  <si>
    <t>5877146</t>
  </si>
  <si>
    <t>5877353</t>
  </si>
  <si>
    <t>5877138</t>
  </si>
  <si>
    <t>5877142</t>
  </si>
  <si>
    <t>5877333-4</t>
  </si>
  <si>
    <t>5877333-9</t>
  </si>
  <si>
    <t>SignaHDxt</t>
  </si>
  <si>
    <t>SignaHDx</t>
  </si>
  <si>
    <t>SignaHDi</t>
  </si>
  <si>
    <t>SignaVoyager</t>
  </si>
  <si>
    <t>SignaVoyagerAIR</t>
  </si>
  <si>
    <t>SignaMR380</t>
  </si>
  <si>
    <t>SignaMR355MR360</t>
  </si>
  <si>
    <t>OptimaMR360</t>
  </si>
  <si>
    <t>SignaArtist</t>
  </si>
  <si>
    <t>SignaPremier</t>
  </si>
  <si>
    <t>SignaArchitect</t>
  </si>
  <si>
    <t>SignaPioneer</t>
  </si>
  <si>
    <t>Discovery750</t>
  </si>
  <si>
    <t>Discovery750w</t>
  </si>
  <si>
    <t>Optima450wGEM</t>
  </si>
  <si>
    <t>BrivoMR355</t>
  </si>
  <si>
    <t>SignaHero</t>
  </si>
  <si>
    <t>SignaPremierXT</t>
  </si>
  <si>
    <t>SignaArtistT</t>
  </si>
  <si>
    <t>SignaArchitectT</t>
  </si>
  <si>
    <t>SignaCreatorExplorer</t>
  </si>
  <si>
    <t>Discovery450</t>
  </si>
  <si>
    <t>Optima450w</t>
  </si>
  <si>
    <t>60959C</t>
  </si>
  <si>
    <t>60884B</t>
  </si>
  <si>
    <t>5727484</t>
  </si>
  <si>
    <t>5724604</t>
  </si>
  <si>
    <t>60884BC</t>
  </si>
  <si>
    <t>5849459</t>
  </si>
  <si>
    <t>China Mainland</t>
  </si>
  <si>
    <t>60936E</t>
  </si>
  <si>
    <t>5810923</t>
  </si>
  <si>
    <t>DACH
Eastern Europe
FBFA
MENEAT
Northern Europe
RCIS
Southern Europe
SSA</t>
  </si>
  <si>
    <t>60959B</t>
  </si>
  <si>
    <t>5849458</t>
  </si>
  <si>
    <t>60959A</t>
  </si>
  <si>
    <t>5849452</t>
  </si>
  <si>
    <t>SignaPrime</t>
  </si>
  <si>
    <t>ST28.1_R02_2207.f</t>
  </si>
  <si>
    <t>helios_7.7</t>
  </si>
  <si>
    <t>e5e8fc13d51976f5debecbb84b0182964257967a586a01d76a42612c3b1b92d7</t>
  </si>
  <si>
    <t>DOC2667305</t>
  </si>
  <si>
    <t>HELiOS_7.7</t>
  </si>
  <si>
    <t>MP26.0_R03_2125.b.PA</t>
  </si>
  <si>
    <t>DOC2599063</t>
  </si>
  <si>
    <t>Restructuring and NPI updates</t>
  </si>
  <si>
    <t>Dai, Wenjun</t>
  </si>
  <si>
    <t>PX29.1_R03_2206.a</t>
  </si>
  <si>
    <t>Bali A</t>
  </si>
  <si>
    <t>DOC2664231</t>
  </si>
  <si>
    <t>DOC2630346</t>
  </si>
  <si>
    <t>United States of America
USCAN HQ
Canada
Mexico
Brazil
CALA NORTH
CALA SOUTH</t>
  </si>
  <si>
    <t>ANZ
ASEAN
Korea
Japan
China Mainland
Taiwan and Hong Kong
India
South Asia</t>
  </si>
  <si>
    <t>USCAN</t>
  </si>
  <si>
    <t>United States of America</t>
  </si>
  <si>
    <t>Canada</t>
  </si>
  <si>
    <t>LATAM</t>
  </si>
  <si>
    <t>Mexico</t>
  </si>
  <si>
    <t>Brazil</t>
  </si>
  <si>
    <t>CALA NORTH</t>
  </si>
  <si>
    <t>CALA SOUTH</t>
  </si>
  <si>
    <t>AKA</t>
  </si>
  <si>
    <t>Korea</t>
  </si>
  <si>
    <t>Japan</t>
  </si>
  <si>
    <t>ASEAN</t>
  </si>
  <si>
    <t>ANZ</t>
  </si>
  <si>
    <t>Taiwan and Hong Kong</t>
  </si>
  <si>
    <t>India and South Asia</t>
  </si>
  <si>
    <t>India</t>
  </si>
  <si>
    <t>South Asia</t>
  </si>
  <si>
    <t>EMEA</t>
  </si>
  <si>
    <t>MENEAT</t>
  </si>
  <si>
    <t>Eastern Europe</t>
  </si>
  <si>
    <t>FBFA</t>
  </si>
  <si>
    <t>SSA</t>
  </si>
  <si>
    <t>RCIS</t>
  </si>
  <si>
    <t>DACH</t>
  </si>
  <si>
    <t>Northern Europe</t>
  </si>
  <si>
    <t>Southern Europe</t>
  </si>
  <si>
    <t>Subregion</t>
  </si>
  <si>
    <t>FBFA
DACH
Northern Europe</t>
  </si>
  <si>
    <t>Brazil
Cala North
Mexico
Japan
MENEAT</t>
  </si>
  <si>
    <t>AKA HQ</t>
  </si>
  <si>
    <t>Australia</t>
  </si>
  <si>
    <t>New Zealand</t>
  </si>
  <si>
    <t>ASEAN HQ</t>
  </si>
  <si>
    <t>Brunei Darusslam</t>
  </si>
  <si>
    <t>Cambodia</t>
  </si>
  <si>
    <t>Indonesia</t>
  </si>
  <si>
    <t>Laos</t>
  </si>
  <si>
    <t>Malaysia</t>
  </si>
  <si>
    <t>Myanmar</t>
  </si>
  <si>
    <t>Philippines</t>
  </si>
  <si>
    <t>Singapore</t>
  </si>
  <si>
    <t>Thailand</t>
  </si>
  <si>
    <t>Vietnam</t>
  </si>
  <si>
    <t>China</t>
  </si>
  <si>
    <t>Mongolia</t>
  </si>
  <si>
    <t>Hong Kong</t>
  </si>
  <si>
    <t>Taiwan</t>
  </si>
  <si>
    <t>Austria</t>
  </si>
  <si>
    <t>DACH HQ</t>
  </si>
  <si>
    <t>Germany</t>
  </si>
  <si>
    <t>Germany HQ</t>
  </si>
  <si>
    <t>Switzerland</t>
  </si>
  <si>
    <t>Albania</t>
  </si>
  <si>
    <t>Bosnia and Herzegovina</t>
  </si>
  <si>
    <t>Bulgaria</t>
  </si>
  <si>
    <t>Central HQ</t>
  </si>
  <si>
    <t>Croatia</t>
  </si>
  <si>
    <t>Cyprus</t>
  </si>
  <si>
    <t>Czechia</t>
  </si>
  <si>
    <t>EE HQ</t>
  </si>
  <si>
    <t>Greece</t>
  </si>
  <si>
    <t>Hungary</t>
  </si>
  <si>
    <t>Kosovo</t>
  </si>
  <si>
    <t>Latvia</t>
  </si>
  <si>
    <t>Lithuania</t>
  </si>
  <si>
    <t>Macedonia</t>
  </si>
  <si>
    <t>Moldova (Republic of)</t>
  </si>
  <si>
    <t>Montenegro</t>
  </si>
  <si>
    <t>North HQ</t>
  </si>
  <si>
    <t>Poland</t>
  </si>
  <si>
    <t>Romania</t>
  </si>
  <si>
    <t>Serbia</t>
  </si>
  <si>
    <t>Slovakia</t>
  </si>
  <si>
    <t>Slovenia</t>
  </si>
  <si>
    <t>South HQ</t>
  </si>
  <si>
    <t>EMEA HQ</t>
  </si>
  <si>
    <t>Europe - HQ</t>
  </si>
  <si>
    <t>Europe HQ Other</t>
  </si>
  <si>
    <t>Africa FSA Other</t>
  </si>
  <si>
    <t>Algeria</t>
  </si>
  <si>
    <t>Belgium</t>
  </si>
  <si>
    <t>BNL HQ Other</t>
  </si>
  <si>
    <t>Burkina Faso</t>
  </si>
  <si>
    <t>Cameroon</t>
  </si>
  <si>
    <t>Central African Republic</t>
  </si>
  <si>
    <t>Congo, Republic of</t>
  </si>
  <si>
    <t>France</t>
  </si>
  <si>
    <t>Gabon</t>
  </si>
  <si>
    <t>Ivory Coast</t>
  </si>
  <si>
    <t>Mali</t>
  </si>
  <si>
    <t>Morocco</t>
  </si>
  <si>
    <t>Niger</t>
  </si>
  <si>
    <t>Senegal</t>
  </si>
  <si>
    <t>Tchad</t>
  </si>
  <si>
    <t>Togo</t>
  </si>
  <si>
    <t>Tunisia</t>
  </si>
  <si>
    <t>WE HQ</t>
  </si>
  <si>
    <t>Afghanistan</t>
  </si>
  <si>
    <t>Africa East Other</t>
  </si>
  <si>
    <t>Azerbaidjan</t>
  </si>
  <si>
    <t>Bahrain</t>
  </si>
  <si>
    <t>EAGM HQ</t>
  </si>
  <si>
    <t>EGM HQ Other</t>
  </si>
  <si>
    <t>EGM Other</t>
  </si>
  <si>
    <t>Egypt</t>
  </si>
  <si>
    <t>Iran, Islamic Republic of</t>
  </si>
  <si>
    <t>Iraq</t>
  </si>
  <si>
    <t>Jordan</t>
  </si>
  <si>
    <t>Kuwait</t>
  </si>
  <si>
    <t>Lebanon</t>
  </si>
  <si>
    <t>Libyan Arabic Jamahiriya</t>
  </si>
  <si>
    <t>Middle East HQ</t>
  </si>
  <si>
    <t>Oman</t>
  </si>
  <si>
    <t>Pakistan</t>
  </si>
  <si>
    <t>Palestine, State of</t>
  </si>
  <si>
    <t>Qatar</t>
  </si>
  <si>
    <t>Saudi Arabia</t>
  </si>
  <si>
    <t>Sudan</t>
  </si>
  <si>
    <t>Syrian Arab Republic</t>
  </si>
  <si>
    <t>Tajikistan</t>
  </si>
  <si>
    <t>Turkey</t>
  </si>
  <si>
    <t>Turkmenistan</t>
  </si>
  <si>
    <t>United Arab Emirates</t>
  </si>
  <si>
    <t>Yemen</t>
  </si>
  <si>
    <t>Denmark</t>
  </si>
  <si>
    <t>Estonia</t>
  </si>
  <si>
    <t>Finland</t>
  </si>
  <si>
    <t>Iceland</t>
  </si>
  <si>
    <t>Ireland</t>
  </si>
  <si>
    <t>NE HQ</t>
  </si>
  <si>
    <t>Netherlands</t>
  </si>
  <si>
    <t>Nordic-HQ</t>
  </si>
  <si>
    <t>Norway</t>
  </si>
  <si>
    <t>Sweden</t>
  </si>
  <si>
    <t>United Kingdom</t>
  </si>
  <si>
    <t>Armenia</t>
  </si>
  <si>
    <t>Belarus</t>
  </si>
  <si>
    <t>Central Asia HQ</t>
  </si>
  <si>
    <t>Central Asia Other</t>
  </si>
  <si>
    <t>CIS Countries Other</t>
  </si>
  <si>
    <t>Georgia</t>
  </si>
  <si>
    <t>Kazakhstan</t>
  </si>
  <si>
    <t>Kyrhyzstan</t>
  </si>
  <si>
    <t>Russia</t>
  </si>
  <si>
    <t>Russia and CIS HQ</t>
  </si>
  <si>
    <t>Russia and CIS Other</t>
  </si>
  <si>
    <t>Ukraine</t>
  </si>
  <si>
    <t>Uzbekistan</t>
  </si>
  <si>
    <t>Iberia HQ</t>
  </si>
  <si>
    <t>IMI Other</t>
  </si>
  <si>
    <t>Israel</t>
  </si>
  <si>
    <t>Italy</t>
  </si>
  <si>
    <t>Malta</t>
  </si>
  <si>
    <t>Portugal</t>
  </si>
  <si>
    <t>SE HQ</t>
  </si>
  <si>
    <t>Spain</t>
  </si>
  <si>
    <t>Africa HQ</t>
  </si>
  <si>
    <t>Africa South Central Other</t>
  </si>
  <si>
    <t>Africa WCA Other</t>
  </si>
  <si>
    <t>Angola</t>
  </si>
  <si>
    <t>Botswana</t>
  </si>
  <si>
    <t>Equatorial Guinea</t>
  </si>
  <si>
    <t>Ethiopia</t>
  </si>
  <si>
    <t>Ghana</t>
  </si>
  <si>
    <t>Kenya</t>
  </si>
  <si>
    <t>Lesotho</t>
  </si>
  <si>
    <t>Malawi</t>
  </si>
  <si>
    <t>Mozambique</t>
  </si>
  <si>
    <t>Namibia</t>
  </si>
  <si>
    <t>Nigeria</t>
  </si>
  <si>
    <t>Republic of Sierra Leone</t>
  </si>
  <si>
    <t>Rwanda</t>
  </si>
  <si>
    <t>South Africa</t>
  </si>
  <si>
    <t>South Africa HQ</t>
  </si>
  <si>
    <t>South Africa Other</t>
  </si>
  <si>
    <t>Swaziland</t>
  </si>
  <si>
    <t>Tanzania, United Republic of</t>
  </si>
  <si>
    <t>Uganda</t>
  </si>
  <si>
    <t>Zambia</t>
  </si>
  <si>
    <t>Zimbabwe</t>
  </si>
  <si>
    <t>Global HQ</t>
  </si>
  <si>
    <t>Global GSC</t>
  </si>
  <si>
    <t>Africa GSC</t>
  </si>
  <si>
    <t>APAC GSC</t>
  </si>
  <si>
    <t>Asia GSC</t>
  </si>
  <si>
    <t>Brazil GSC</t>
  </si>
  <si>
    <t>Canada GSC</t>
  </si>
  <si>
    <t>China GSC</t>
  </si>
  <si>
    <t>France GSC</t>
  </si>
  <si>
    <t>Germany EGM GSC</t>
  </si>
  <si>
    <t>Germany GSC</t>
  </si>
  <si>
    <t>Germany SHS GSC</t>
  </si>
  <si>
    <t>Hungary GSC</t>
  </si>
  <si>
    <t>India GSC</t>
  </si>
  <si>
    <t>Japan GSC</t>
  </si>
  <si>
    <t>Korea GSC</t>
  </si>
  <si>
    <t>Mexico GSC</t>
  </si>
  <si>
    <t>Poland GSC</t>
  </si>
  <si>
    <t>Singapore GSC</t>
  </si>
  <si>
    <t>USA GSC</t>
  </si>
  <si>
    <t>Bangladesh</t>
  </si>
  <si>
    <t>Bhutan</t>
  </si>
  <si>
    <t>Maldives</t>
  </si>
  <si>
    <t>Sri Lanka</t>
  </si>
  <si>
    <t>CALA HQ</t>
  </si>
  <si>
    <t>Bahamas</t>
  </si>
  <si>
    <t>Barbados</t>
  </si>
  <si>
    <t>Belize</t>
  </si>
  <si>
    <t>British Virgin Islands</t>
  </si>
  <si>
    <t>CAC Other</t>
  </si>
  <si>
    <t>Cayman Islands</t>
  </si>
  <si>
    <t>Colombia</t>
  </si>
  <si>
    <t>Costa Rica</t>
  </si>
  <si>
    <t>Cuba</t>
  </si>
  <si>
    <t>Dominican Republic</t>
  </si>
  <si>
    <t>Ecuador</t>
  </si>
  <si>
    <t>El Salvador</t>
  </si>
  <si>
    <t>French Guiana</t>
  </si>
  <si>
    <t>Grenada</t>
  </si>
  <si>
    <t>Guatemala</t>
  </si>
  <si>
    <t>Guyana</t>
  </si>
  <si>
    <t>Honduras</t>
  </si>
  <si>
    <t>Jamaica</t>
  </si>
  <si>
    <t>Nicaragua</t>
  </si>
  <si>
    <t>Panama</t>
  </si>
  <si>
    <t>Peru</t>
  </si>
  <si>
    <t>Puerto Rico</t>
  </si>
  <si>
    <t>Trinidad and Tobago</t>
  </si>
  <si>
    <t>Venezuela</t>
  </si>
  <si>
    <t>Virgin Islands (U.S.)</t>
  </si>
  <si>
    <t>Argentina</t>
  </si>
  <si>
    <t>Bolivia</t>
  </si>
  <si>
    <t>Chile</t>
  </si>
  <si>
    <t>Paraguay</t>
  </si>
  <si>
    <t>Uruguay</t>
  </si>
  <si>
    <t>LATAM HQ</t>
  </si>
  <si>
    <t>Latin America HQ</t>
  </si>
  <si>
    <t>Omnimed</t>
  </si>
  <si>
    <t>XPRO</t>
  </si>
  <si>
    <t>USCAN - HQ</t>
  </si>
  <si>
    <t>Country</t>
  </si>
  <si>
    <t>Software Revision Check for Safety:</t>
  </si>
  <si>
    <t>Sl#</t>
  </si>
  <si>
    <t>Description</t>
  </si>
  <si>
    <t>Selection/Result</t>
  </si>
  <si>
    <t>Input 1</t>
  </si>
  <si>
    <t>Input 2</t>
  </si>
  <si>
    <t>Record Applications Software version installed on the system:</t>
  </si>
  <si>
    <t>&lt;--- Select Software Revision on System</t>
  </si>
  <si>
    <t>Input 3</t>
  </si>
  <si>
    <t>Record Service pack number installed on the system:</t>
  </si>
  <si>
    <t>&lt;--- Record Service Pack installed on System</t>
  </si>
  <si>
    <t>Output 1</t>
  </si>
  <si>
    <t>Output 2</t>
  </si>
  <si>
    <t>Output 3</t>
  </si>
  <si>
    <t>Minimum Safety Service Pack from MR SW Matrix</t>
  </si>
  <si>
    <t>PM Software Revision Check for Safety Pass/Fail Criteria</t>
  </si>
  <si>
    <t>Actions</t>
  </si>
  <si>
    <t>Pass</t>
  </si>
  <si>
    <t>Applications Software Revision on System is at or later than the Applications Software Revision Required (Ouput 1 above)
AND
Service Pack on System is at or later than the Minimum Safety Service Pack (Output 3 above)</t>
  </si>
  <si>
    <t>Record "Pass" for the PM checks</t>
  </si>
  <si>
    <t>FMI being deployed</t>
  </si>
  <si>
    <t>1. Record "FMI being deployed" and close out PM
2. Wait for deployment</t>
  </si>
  <si>
    <t>Customer Refused/Postponed</t>
  </si>
  <si>
    <t>1. Check CRM for Customer Refusal Code (3 or 4)
2. Contact FMI Admin to check for refusal references</t>
  </si>
  <si>
    <t>1. If satisfactory references are found, then record Customer Refused/Postponed in ePM form and close out PM
2. If no references are found and customer still refuses FMI, document refusal on the refusal form and update CRM
3. If customer does not refuse, then mark PM as fail, create SR and install the FMI/Software</t>
  </si>
  <si>
    <t>Fail</t>
  </si>
  <si>
    <t>Conditions above are not met</t>
  </si>
  <si>
    <t>Record PM as Fail, create SR and install the FMI/Software</t>
  </si>
  <si>
    <t>Note:</t>
  </si>
  <si>
    <t>Always make sure you are accessing the latest revision of this file from SIMS content Viewer or Common Documentation Library</t>
  </si>
  <si>
    <t>IB Update and NPI release</t>
  </si>
  <si>
    <t>Option Iserv or FMI</t>
  </si>
  <si>
    <t>Signa HDxt</t>
  </si>
  <si>
    <t>Signa HDx</t>
  </si>
  <si>
    <t>Signa HDi</t>
  </si>
  <si>
    <t>DISCOVERY MR450</t>
  </si>
  <si>
    <t>DISCOVERY MR750</t>
  </si>
  <si>
    <t>DISCOVERY MR750w</t>
  </si>
  <si>
    <t>SIGNA Hero</t>
  </si>
  <si>
    <t>SIGNA UHP</t>
  </si>
  <si>
    <t>SIGNA Pioneer</t>
  </si>
  <si>
    <t>Vectra</t>
  </si>
  <si>
    <t>Sierra</t>
  </si>
  <si>
    <t>60947K</t>
  </si>
  <si>
    <t>5815992</t>
  </si>
  <si>
    <t>5816524</t>
  </si>
  <si>
    <t>60947J</t>
  </si>
  <si>
    <t>5315509</t>
  </si>
  <si>
    <t>60947N</t>
  </si>
  <si>
    <t>5815994</t>
  </si>
  <si>
    <t>60947M</t>
  </si>
  <si>
    <t>5815998</t>
  </si>
  <si>
    <t>60947G</t>
  </si>
  <si>
    <t>5815988</t>
  </si>
  <si>
    <t>60884A</t>
  </si>
  <si>
    <t>DOC1772650</t>
  </si>
  <si>
    <t>China Mainland
Global</t>
  </si>
  <si>
    <t>60902B
60902A</t>
  </si>
  <si>
    <t>5841744</t>
  </si>
  <si>
    <t>DOC2705276</t>
  </si>
  <si>
    <t>25-Mar-2023</t>
  </si>
  <si>
    <t>PX29.1_R02_2131.a.PK</t>
  </si>
  <si>
    <t>67940A</t>
  </si>
  <si>
    <t>RX29.1_R02_2131.a.PK</t>
  </si>
  <si>
    <t>67940B</t>
  </si>
  <si>
    <t>5841745</t>
  </si>
  <si>
    <t>5841746</t>
  </si>
  <si>
    <t>67940C</t>
  </si>
  <si>
    <t>DV29.1_R02_2131.a.PK</t>
  </si>
  <si>
    <t>5841747</t>
  </si>
  <si>
    <t>67940D</t>
  </si>
  <si>
    <t>VX29.1_R02_2131.a.PK</t>
  </si>
  <si>
    <t>5841748</t>
  </si>
  <si>
    <t>67940E</t>
  </si>
  <si>
    <t>SV29.1_R02_2131.a.PK</t>
  </si>
  <si>
    <t>HD29.1_R02_2131.a.PK</t>
  </si>
  <si>
    <t>67940F</t>
  </si>
  <si>
    <t>5914658</t>
  </si>
  <si>
    <t>PX26.4_R02_2131.a.PK</t>
  </si>
  <si>
    <t>67940G</t>
  </si>
  <si>
    <t>5914666</t>
  </si>
  <si>
    <t>SV25.4_R02_2131.a.PK</t>
  </si>
  <si>
    <t>67940H</t>
  </si>
  <si>
    <t>5914764</t>
  </si>
  <si>
    <t>Product Name on About MR Scanner</t>
  </si>
  <si>
    <t>Product Short Name from Guided Install</t>
  </si>
  <si>
    <t xml:space="preserve">	DOC2516942</t>
  </si>
  <si>
    <t>DOC0934117</t>
  </si>
  <si>
    <t>Note 88</t>
  </si>
  <si>
    <t>FMI60978R delivers MP26 R03 software to the relevant SIGNA PET/MR sites currently operating with MP26 R01 or R02 software. This upgrade corrects the Image Annotation and/or Flipped images issue that was a result of inadvertently changing the prescribed patient orientation. 
FMI60978R also delivers MP26 R03 SP01 software to the relevant SIGNA PET/MR sites currently operating with MP26.0_R03_2125.b software and will be cut into forward production. The scope of MP26 R03 Service Pack 01 includes one bug fix for special characters such as ‘å’, ‘ä’, ‘ö’ that caused the protocol management to fail.</t>
  </si>
  <si>
    <t>DOC2584474
DOC2665298</t>
  </si>
  <si>
    <t>DOC2579535
DOC2668026</t>
  </si>
  <si>
    <t>DOC2592031
DOC2668026</t>
  </si>
  <si>
    <t>Note 89</t>
  </si>
  <si>
    <t>Note 90</t>
  </si>
  <si>
    <t>Select Product (Product Name on About MR Scanner)</t>
  </si>
  <si>
    <t>Input 4</t>
  </si>
  <si>
    <t>&lt;--- Select Product Name on About MR Scanner</t>
  </si>
  <si>
    <t>&lt;--- Select Product Name on GI (Short Name)</t>
  </si>
  <si>
    <t>Select Product (Product Name on GI (Short Name))</t>
  </si>
  <si>
    <t>Input 5</t>
  </si>
  <si>
    <t>Select Site Subregion</t>
  </si>
  <si>
    <t>Product Name on GI (Short Name)</t>
  </si>
  <si>
    <t>&lt;--- Select Site Subregion</t>
  </si>
  <si>
    <t>ICN Dolphin Card</t>
    <phoneticPr fontId="17" type="noConversion"/>
  </si>
  <si>
    <t>DV28.1_R07_2216.a</t>
  </si>
  <si>
    <t xml:space="preserve">
DOC2701083</t>
    <phoneticPr fontId="17" type="noConversion"/>
  </si>
  <si>
    <t>67940K</t>
    <phoneticPr fontId="17" type="noConversion"/>
  </si>
  <si>
    <t>Global</t>
    <phoneticPr fontId="17" type="noConversion"/>
  </si>
  <si>
    <t>31-Mar-2023</t>
    <phoneticPr fontId="17" type="noConversion"/>
  </si>
  <si>
    <t>DOC2705276</t>
    <phoneticPr fontId="17" type="noConversion"/>
  </si>
  <si>
    <t>DOC2717284</t>
    <phoneticPr fontId="17" type="noConversion"/>
  </si>
  <si>
    <t>SignaVoyager</t>
    <phoneticPr fontId="17" type="noConversion"/>
  </si>
  <si>
    <t>PX26.3_R05_2216.a</t>
    <phoneticPr fontId="17" type="noConversion"/>
  </si>
  <si>
    <t>67940N</t>
    <phoneticPr fontId="17" type="noConversion"/>
  </si>
  <si>
    <t>China Mainland</t>
    <phoneticPr fontId="17" type="noConversion"/>
  </si>
  <si>
    <t>5914769</t>
    <phoneticPr fontId="17" type="noConversion"/>
  </si>
  <si>
    <t xml:space="preserve">
DOC2717300</t>
    <phoneticPr fontId="17" type="noConversion"/>
  </si>
  <si>
    <t>Optima MR360</t>
    <phoneticPr fontId="17" type="noConversion"/>
  </si>
  <si>
    <t>SV23.2_R02_2216.a</t>
    <phoneticPr fontId="17" type="noConversion"/>
  </si>
  <si>
    <t>5877357</t>
    <phoneticPr fontId="17" type="noConversion"/>
  </si>
  <si>
    <t xml:space="preserve">
DOC2705276</t>
    <phoneticPr fontId="17" type="noConversion"/>
  </si>
  <si>
    <t xml:space="preserve">
DOC2717303</t>
    <phoneticPr fontId="17" type="noConversion"/>
  </si>
  <si>
    <t>Brivo MR355</t>
    <phoneticPr fontId="17" type="noConversion"/>
  </si>
  <si>
    <t>BrivoMR355</t>
    <phoneticPr fontId="17" type="noConversion"/>
  </si>
  <si>
    <t>SV20.2_R02_ 2216.a</t>
    <phoneticPr fontId="17" type="noConversion"/>
  </si>
  <si>
    <t>67940P</t>
    <phoneticPr fontId="17" type="noConversion"/>
  </si>
  <si>
    <t xml:space="preserve">
DOC2717302</t>
    <phoneticPr fontId="17" type="noConversion"/>
  </si>
  <si>
    <t>SIGNA MR380</t>
    <phoneticPr fontId="17" type="noConversion"/>
  </si>
  <si>
    <t>SV25.3_R07_2216.a</t>
    <phoneticPr fontId="17" type="noConversion"/>
  </si>
  <si>
    <t>67940M</t>
    <phoneticPr fontId="17" type="noConversion"/>
  </si>
  <si>
    <t>5914768</t>
    <phoneticPr fontId="17" type="noConversion"/>
  </si>
  <si>
    <t xml:space="preserve">
DOC2717299</t>
    <phoneticPr fontId="17" type="noConversion"/>
  </si>
  <si>
    <t>SIGNA Creator</t>
    <phoneticPr fontId="17" type="noConversion"/>
  </si>
  <si>
    <t>SIGNA Explorer</t>
    <phoneticPr fontId="17" type="noConversion"/>
  </si>
  <si>
    <t>VX28.0_R07_2216.a</t>
    <phoneticPr fontId="17" type="noConversion"/>
  </si>
  <si>
    <t>67940L</t>
    <phoneticPr fontId="17" type="noConversion"/>
  </si>
  <si>
    <t>5914767</t>
    <phoneticPr fontId="17" type="noConversion"/>
  </si>
  <si>
    <t xml:space="preserve">
DOC2690257</t>
    <phoneticPr fontId="17" type="noConversion"/>
  </si>
  <si>
    <t>SIGNA MR355</t>
    <phoneticPr fontId="17" type="noConversion"/>
  </si>
  <si>
    <t>SIGNA MR360</t>
    <phoneticPr fontId="17" type="noConversion"/>
  </si>
  <si>
    <t>5877355</t>
    <phoneticPr fontId="17" type="noConversion"/>
  </si>
  <si>
    <t>PX26.3_R05_2216.a</t>
  </si>
  <si>
    <t>VX28.0_R07_2216.a</t>
  </si>
  <si>
    <t>SV23.2_R02_2216.a</t>
  </si>
  <si>
    <t>SV20.2_R02_ 2216.a</t>
  </si>
  <si>
    <t>SV25.3_R07_2216.a</t>
  </si>
  <si>
    <t>Note 91</t>
    <phoneticPr fontId="17" type="noConversion"/>
  </si>
  <si>
    <t>1. Added PX26.3_R01_2018.a for Voyager IPM Air
2. Added SV25.3_R02_2018.a for Mulan Skylake
3. Added VX28.0_R02_2017.b for Voyager IPM Air
4. Added RX28.0_R04_2020.b for Polaris B release
5. Added FMI 60966 for MP26.0_R02 release
6. Added FMI 67934 &amp; 67936 release info</t>
    <phoneticPr fontId="17" type="noConversion"/>
  </si>
  <si>
    <t>Xu, Lu</t>
    <phoneticPr fontId="17" type="noConversion"/>
  </si>
  <si>
    <t>67940Q</t>
    <phoneticPr fontId="17" type="noConversion"/>
  </si>
  <si>
    <t>1. Qin R01 release for Optima MR450w GEM, SIGNA Artist, Signa HDxt 1.5T, SIGNA Creator, SIGNA Explorer, SIGNA Voyager
2. Atlantis R01 release for SIGNA Premier
3. add HD28.0_R03 SP01 release for 1.5T HDxt products
4. add SV25.3_R04 SP01 release for SIGNA Creator/Explorer/MR355/MR360
5. Added VX29.1_R01 SP01 release for SIGNA Voyager
6. Added DV28.1_R04 SP01 release for SIGNA Artist
7. Added VX28.0_R04 SP01 (safety) release for SIGNA Voyager
8. Added PX26.3_R03 SP01 release for SIGNA Voyager (China Only)
9. Added HD16.1_R03 SP01 release for SIGNA HDxT 1.5T (China Only)
10. Added DV28.1_R05 release (ArtistIPM program) for SINGNA Artist
11. Added Qin DV29.1_R02 release for SIGNA Artist, Optima MR450w and Optima MR450w GEM
12. Added Qin VX29.1_R02 release for SIGNA Voyager
13. Added Qin SV29.1_R02 release for SIGNA Creator and SIGNA Explorer
14. Added Qin HD29.1_R02 release for SIGNA HDxT 1.5T
15. Added Qin PX26.4_R02 release for SIGNA Voyager
16. Added Qin SV25.4_R02 release for SIGNA Creator and SIGNA Explorer
17. Added Atalantis DV29.1_R01/R02 release for Discovery 750/750w and SIGNA Architect
18. Added Atalantis PX29.1_R01/R02 release for SIGNA Pioneer
19. Added Atalantis RX29.1_R01/R02 release for SIGNA Premier
20. Added FMI60978 DV26.0_R06 release for Optima 450 and Discovery 450w/750/750w, SIGNA Architect/Artist
21. Added FMI60978 DV25.1_R04/R05 release for MR450, MR450w, MR750, MR750w
22. Added FMI60978 DV26.3_R02 release for SIGNA Architect for China
23. Added FMI60978 DV28.0_R06 release for SIGNA Architect
24. Added FMI60978 PX25.2_R06 release for SINGA Pioneer only for China
25. Added PX28.0_R06 release for SIGNA Pioneer (Global)
26. Added PX26.1_R03 and PX25.1_R03 release for SIGNA Pioneer running on PX26.1_R02 and PX25.1_R02 SW respectively
27. Added MP26.0_R03 release for PETMR running on MP26.0_R02
28. Added SV25.1_R07 release for SIGNA Creator/Explorer
29. Added HD28.0/16.1_R04_2125.a release for SIGNA HDx/HDi/HDxT 1.5T
30. Added SV25.2_R04 release for SIGNA Creator/Explorer/MR355/MR360
31. Added SV25.3_R05 release for SIGNA Creator/Explorer/MR355/MR360
32. Added SSV25.3_R06 release for SIGNA MR380 for China only
33. Update FMI60978A/B DV25.1_R04/R05 information for MR450/450w/750/750w running on DV25.1_R02/R03 respectively 
34. Update FMI60978C DV26.0_R06 release for Optima MR450, Optima MR450w Discovery MR750, Discovery MR750w, SIGNA Architect, SIGNA Artist running on DV26.0
35. Update FMI60978D DV26.3 for Architect running on DV26.2
36. Update FMI60978E DV28.0_R06 for Architect running on DV28.0
37. Update FMI60978I PX25.2_R06 for Pioneer (China) running on PX25.2
38. Update FMI60978K PX28.0_R06 for Pioneer running on PX28.0
39. Update FMI60978G DV29.1_R02 for Architect, MR750/750w running on DV29.0 and DV29.1_R01
40. Update FMI60978M PX29.1_R02 for Pioneer running on PX29.0 and PX29.1_R01
41. Update FMI60978Q RX29.1_R02 for Premier running on RX29.0 and RX29.1_R01
42. Update FMI60978H/J PX26.1_R03 and PX25.1_R03 for Pioneer running on PX26.1_R02 and PX25.1_R02 respectively
43. Update FMI60978R MP26.0_R03 for PETMR running on MP26.0_R02
44. Update FMI60978W/AB/Z/AI MR 29.1_R02 for SIGNA Voyager/ Artist/ HD 1.5T/ Creator/Explorer running on MR29.1
45. Update FMI60978AC SV25.1_R07 for SIGNA Creator/Explorer running on SV25.1
46. Update FMI60978X/Y HD28.0/HD16.1_R04 for SIGNA HDxT 1.5T running on HD28.0/HD16.1
47. Update FMI60978AD/AE SV25.2_R04 for SINGA Creator/Explorer/MR355/MR360 running on SV25.2
48. Update FMI60978AF/AG SV25.3_R05 SIGNA Creator/Explorer/MR355/MR360 running on SV25.3
49. Update FMI60978U/V/AJ/S/T PX26.0/PX26.2/PX26.3/VX28.0 for SIGNA Voyager running on previously released software
50. Update FMI60978AA DV28.1_R05 for SIGNA Artist running on DV27.1/28.1
51. Update FMI 60978AH SV25.3_R06 for SINGA MR380 running on SV25.3
52. Added Antares RX29.0_R02, DV29.0_R02 and PX29.0_R02 release for SIGNA Premier, SIGNA Architect and SIGNA Pioneer repectively and uppdate FMI60978 information on these three software</t>
    <phoneticPr fontId="17" type="noConversion"/>
  </si>
  <si>
    <t>Revision created for internal engineering use, updated to include checksums for MR30 software to enable privacy and security manual validation for Cadence 2022 (Bali-B/Han-A) program.</t>
  </si>
  <si>
    <t>Cadence 2022 (Bali-B/Han-A) Validation need</t>
  </si>
  <si>
    <t>John Thompson</t>
  </si>
  <si>
    <t>FMI 60978AA (DOC2613386) provides software DV28.1_R05 to 1.5T SIGNA Artist sites installed with DV27.1 and DV28.1. This applies to 1.5T SIGNA Artist sites running DV27.1 and DV28.1 as detailed in the Customer Consignee List DOC2578566.
FMI 67940K provides DV28.1_R07 to 1.5T SIGNA Artist sites installed with DV28.1,
This new software revision created to add support for Dolphin2 ICN(5941000-2/5941000-10), need to order this FMI if replacing Dolphin2 ICN</t>
    <phoneticPr fontId="17" type="noConversion"/>
  </si>
  <si>
    <t>FMI 67940K provides DV28.1_R07 to 1.5T SIGNA Artist sites installed with DV28.1,
FMI 67940L provides VX28.0_R07 to 1.5T SIGNA Voyager sites installed with VX28.0, 
FMI 67940M provides SV25.3_R07 to 1.5T SIGNA Creator/Explorer/MR355/MR360/MR380 sites installed with SV25.3.
FMI 67940N provides software PX26.3_R05 to 1.5T SIGNA Voyager sites installed with PX26.3.
FMI 67940P provides SV20.2_R02 to 1.5T Brivo MR355/Optima MR360 installed with SV20.2 for China Mainland.
FMI 67940Q provides SV23.2_R02 to 1.5T Brivo MR355 /Optima MR360 sites installed with SV23.2 for China Mainland.
This new software revision created to add support for Dolphin2 ICN(5941000-2/5941000-10), need to order this FMI if replacing Dolphin2 ICN</t>
    <phoneticPr fontId="17" type="noConversion"/>
  </si>
  <si>
    <r>
      <t xml:space="preserve">FMI 60978U (DOC2613382) provides software VX28.0_R05 to 1.5T SIGNA Voyager sites installed with PX26.0, PX26.2 and VX28.0. This applies to 1.5T SIGNA Voyager sites </t>
    </r>
    <r>
      <rPr>
        <b/>
        <sz val="11"/>
        <color theme="1"/>
        <rFont val="Calibri"/>
        <family val="2"/>
        <scheme val="minor"/>
      </rPr>
      <t>running PX26.0, PX26.2 and VX28.0</t>
    </r>
    <r>
      <rPr>
        <sz val="11"/>
        <color theme="1"/>
        <rFont val="Calibri"/>
        <family val="2"/>
        <scheme val="minor"/>
      </rPr>
      <t xml:space="preserve"> as detailed in the Customer Consignee List DOC2578566.
FMI 60978V (DOC2624715) provides software PX26.3_R04 to 1.5T SIGNA Voyager sites installed with PX26.0, PX26.2 and PX26.3. This applies to 1.5T SIGNA Voyager sites in </t>
    </r>
    <r>
      <rPr>
        <b/>
        <sz val="11"/>
        <color theme="1"/>
        <rFont val="Calibri"/>
        <family val="2"/>
        <scheme val="minor"/>
      </rPr>
      <t>China Mainland only</t>
    </r>
    <r>
      <rPr>
        <sz val="11"/>
        <color theme="1"/>
        <rFont val="Calibri"/>
        <family val="2"/>
        <scheme val="minor"/>
      </rPr>
      <t xml:space="preserve"> running PX26.0, PX26.2 and PX26.3 as detailed in the Customer Consignee List DOC2578566. 
FMI 60978AJ (DOC2624717) provides software VX28.0_R05 to 1.5T SIGNA Voyager </t>
    </r>
    <r>
      <rPr>
        <b/>
        <sz val="11"/>
        <color theme="1"/>
        <rFont val="Calibri"/>
        <family val="2"/>
        <scheme val="minor"/>
      </rPr>
      <t>Mobile sites</t>
    </r>
    <r>
      <rPr>
        <sz val="11"/>
        <color theme="1"/>
        <rFont val="Calibri"/>
        <family val="2"/>
        <scheme val="minor"/>
      </rPr>
      <t xml:space="preserve"> installed with PX26.0, PX26.2 and VX28.0. This applies to 1.5T SIGNA Voyager </t>
    </r>
    <r>
      <rPr>
        <b/>
        <sz val="11"/>
        <color theme="1"/>
        <rFont val="Calibri"/>
        <family val="2"/>
        <scheme val="minor"/>
      </rPr>
      <t>Mobile</t>
    </r>
    <r>
      <rPr>
        <sz val="11"/>
        <color theme="1"/>
        <rFont val="Calibri"/>
        <family val="2"/>
        <scheme val="minor"/>
      </rPr>
      <t xml:space="preserve"> sites running PX26.0, PX26.2 and VX28.0 as detailed in the Customer Consignee List DOC2578566.
FMI 60978S (DOC2624723) provides software PX26.0 R04 to 1.5T SIGNA Voyager sites running on PX26.0. This applies to 1.5T SIGNA Voyager sites </t>
    </r>
    <r>
      <rPr>
        <b/>
        <sz val="11"/>
        <color theme="1"/>
        <rFont val="Calibri"/>
        <family val="2"/>
        <scheme val="minor"/>
      </rPr>
      <t>running PX26.0</t>
    </r>
    <r>
      <rPr>
        <sz val="11"/>
        <color theme="1"/>
        <rFont val="Calibri"/>
        <family val="2"/>
        <scheme val="minor"/>
      </rPr>
      <t xml:space="preserve"> as detailed in Customer Consignee List
DOC2578566. This FMI is for particular fields in the following 7 countries in Europe: France, Switzerland, Austria, Denmark, Finland, United Kindom, Ireland.
FMI 60978T (DOC2624727) provides software PX26.2 R03 to 1.5T SIGNA Voyager sites running on PX26.2. This applies to 1.5T SIGNA Voyager sites </t>
    </r>
    <r>
      <rPr>
        <b/>
        <sz val="11"/>
        <color theme="1"/>
        <rFont val="Calibri"/>
        <family val="2"/>
        <scheme val="minor"/>
      </rPr>
      <t>running PX26.2</t>
    </r>
    <r>
      <rPr>
        <sz val="11"/>
        <color theme="1"/>
        <rFont val="Calibri"/>
        <family val="2"/>
        <scheme val="minor"/>
      </rPr>
      <t xml:space="preserve"> as detailed in Customer Consignee List
DOC2578566. This FMI is for particular fields in the following 7 countries in Europe: France, Switzerland, Austria, Denmark, Finland, United Kindom, Ireland.
FMI 67940N provides software PX26.3_R05 to 1.5T SIGNA Voyager sites installed with PX26.3.
FMI 67940L provides VX28.0_R07 to 1.5T SIGNA Voyager sites installed with VX28.0, 
This new software revision created to add support for Dolphin2 ICN(5941000-2/5941000-10), need to order this FMI if replacing Dolphin2 ICN</t>
    </r>
    <phoneticPr fontId="17" type="noConversion"/>
  </si>
  <si>
    <t>Optima MR450w</t>
    <phoneticPr fontId="17" type="noConversion"/>
  </si>
  <si>
    <t>Output 1 or Output 3 indicates Safety FMI(s) Required, but has not been deployed to site
Check the "MR SW Matrix" sheet for FMI closure date
If Closure date is past, then mark PM check for SW as fail</t>
    <phoneticPr fontId="17" type="noConversion"/>
  </si>
  <si>
    <t xml:space="preserve">
Latest Safety Applications Software Revision FMI Version:</t>
    <phoneticPr fontId="17" type="noConversion"/>
  </si>
  <si>
    <t>Optima MR450w</t>
    <phoneticPr fontId="17" type="noConversion"/>
  </si>
  <si>
    <t>SignaArtistXT</t>
    <phoneticPr fontId="17" type="noConversion"/>
  </si>
  <si>
    <t>SignaArchitectXT</t>
    <phoneticPr fontId="17" type="noConversion"/>
  </si>
  <si>
    <t>DiscoveryMR450</t>
    <phoneticPr fontId="17" type="noConversion"/>
  </si>
  <si>
    <t>DV25.1_R05_2131.a</t>
    <phoneticPr fontId="17" type="noConversion"/>
  </si>
  <si>
    <t>OptimaMR450w</t>
    <phoneticPr fontId="17" type="noConversion"/>
  </si>
  <si>
    <t>DiscoveryMR750</t>
  </si>
  <si>
    <t>DiscoveryMR750</t>
    <phoneticPr fontId="17" type="noConversion"/>
  </si>
  <si>
    <t>DV26.0_R06_2132.a</t>
    <phoneticPr fontId="17" type="noConversion"/>
  </si>
  <si>
    <t>DiscoveryMR750w</t>
    <phoneticPr fontId="17" type="noConversion"/>
  </si>
  <si>
    <t>Optima MR450w</t>
    <phoneticPr fontId="17" type="noConversion"/>
  </si>
  <si>
    <t>SignaCreator</t>
  </si>
  <si>
    <t>SignaCreator</t>
    <phoneticPr fontId="17" type="noConversion"/>
  </si>
  <si>
    <t>SignaExplorer</t>
  </si>
  <si>
    <t>SignaExplorer</t>
    <phoneticPr fontId="17" type="noConversion"/>
  </si>
  <si>
    <t>SV25.0_R06_1712.b</t>
    <phoneticPr fontId="17" type="noConversion"/>
  </si>
  <si>
    <t>SignaExplorerQuantum</t>
    <phoneticPr fontId="17" type="noConversion"/>
  </si>
  <si>
    <t>SIGNA Explorer</t>
    <phoneticPr fontId="17" type="noConversion"/>
  </si>
  <si>
    <t>SignaExplorerQuantum</t>
    <phoneticPr fontId="17" type="noConversion"/>
  </si>
  <si>
    <t>SIGNA PET/MR</t>
    <phoneticPr fontId="17" type="noConversion"/>
  </si>
  <si>
    <t>SIGNA PET/MR</t>
    <phoneticPr fontId="17" type="noConversion"/>
  </si>
  <si>
    <t>SIGNA PET/MR</t>
    <phoneticPr fontId="17" type="noConversion"/>
  </si>
  <si>
    <t>MR30.0_R01_2242.a</t>
  </si>
  <si>
    <t>MR30.0_R01_2242.a</t>
    <phoneticPr fontId="17" type="noConversion"/>
  </si>
  <si>
    <t>MR30.0_R01_2242.a</t>
    <phoneticPr fontId="17" type="noConversion"/>
  </si>
  <si>
    <t xml:space="preserve">
DOC2701598</t>
    <phoneticPr fontId="17" type="noConversion"/>
  </si>
  <si>
    <t>MKE</t>
    <phoneticPr fontId="17" type="noConversion"/>
  </si>
  <si>
    <t>Bali-B/Han A</t>
    <phoneticPr fontId="17" type="noConversion"/>
  </si>
  <si>
    <t>PX26.5_R01_2242.a</t>
    <phoneticPr fontId="17" type="noConversion"/>
  </si>
  <si>
    <t xml:space="preserve">DOC1884775 </t>
    <phoneticPr fontId="17" type="noConversion"/>
  </si>
  <si>
    <t>Signa HDi</t>
    <phoneticPr fontId="17" type="noConversion"/>
  </si>
  <si>
    <t>SIGNA Creator</t>
    <phoneticPr fontId="17" type="noConversion"/>
  </si>
  <si>
    <t>SignaCreatorDL</t>
    <phoneticPr fontId="17" type="noConversion"/>
  </si>
  <si>
    <t>SIGNA Explorer</t>
    <phoneticPr fontId="17" type="noConversion"/>
  </si>
  <si>
    <t>SV25.4_R02_2131.a</t>
    <phoneticPr fontId="17" type="noConversion"/>
  </si>
  <si>
    <t>SignaExplorerDL</t>
    <phoneticPr fontId="17" type="noConversion"/>
  </si>
  <si>
    <t>SIGNA MR380</t>
    <phoneticPr fontId="17" type="noConversion"/>
  </si>
  <si>
    <t>SV25.5_R01_2242.a</t>
  </si>
  <si>
    <t>SV25.5_R01_2242.a</t>
    <phoneticPr fontId="17" type="noConversion"/>
  </si>
  <si>
    <t>SignaMR380</t>
    <phoneticPr fontId="17" type="noConversion"/>
  </si>
  <si>
    <t>SV25.5_R01_2242.a</t>
    <phoneticPr fontId="17" type="noConversion"/>
  </si>
  <si>
    <t>SIGNA MR355</t>
    <phoneticPr fontId="17" type="noConversion"/>
  </si>
  <si>
    <t>SignaMR355MR360</t>
    <phoneticPr fontId="17" type="noConversion"/>
  </si>
  <si>
    <t>SIGNA MR360</t>
    <phoneticPr fontId="17" type="noConversion"/>
  </si>
  <si>
    <t>Brivo MR355</t>
    <phoneticPr fontId="17" type="noConversion"/>
  </si>
  <si>
    <t>BrivoMR355</t>
    <phoneticPr fontId="17" type="noConversion"/>
  </si>
  <si>
    <t>Optima MR360</t>
    <phoneticPr fontId="17" type="noConversion"/>
  </si>
  <si>
    <t>OptimaMR360</t>
    <phoneticPr fontId="17" type="noConversion"/>
  </si>
  <si>
    <t>Signa HDxt</t>
    <phoneticPr fontId="17" type="noConversion"/>
  </si>
  <si>
    <t>SIGNA Creator DL</t>
    <phoneticPr fontId="17" type="noConversion"/>
  </si>
  <si>
    <t>SIGNA Explorer DL</t>
    <phoneticPr fontId="17" type="noConversion"/>
  </si>
  <si>
    <t>SV25.2_R02_1920.a</t>
    <phoneticPr fontId="17" type="noConversion"/>
  </si>
  <si>
    <t>RX29.2_R01_2242.a</t>
    <phoneticPr fontId="17" type="noConversion"/>
  </si>
  <si>
    <t>SIGNA Premier</t>
    <phoneticPr fontId="17" type="noConversion"/>
  </si>
  <si>
    <t>SignaPremier</t>
    <phoneticPr fontId="17" type="noConversion"/>
  </si>
  <si>
    <t>SignaArchitect</t>
    <phoneticPr fontId="17" type="noConversion"/>
  </si>
  <si>
    <t>MP24.0_R03_1712.b</t>
    <phoneticPr fontId="17" type="noConversion"/>
  </si>
  <si>
    <t>None</t>
    <phoneticPr fontId="17" type="noConversion"/>
  </si>
  <si>
    <t>Note 92</t>
  </si>
  <si>
    <t>Signa HDx</t>
    <phoneticPr fontId="17" type="noConversion"/>
  </si>
  <si>
    <t>MP26.0_EA_1747.c</t>
    <phoneticPr fontId="17" type="noConversion"/>
  </si>
  <si>
    <t>MP26.0_R03_2125.b</t>
    <phoneticPr fontId="17" type="noConversion"/>
  </si>
  <si>
    <t>HD28.0_R04_2125.a</t>
    <phoneticPr fontId="17" type="noConversion"/>
  </si>
  <si>
    <t>HD28.0_R05_2233.a</t>
  </si>
  <si>
    <t>HD28.0_R05_2233.a</t>
    <phoneticPr fontId="17" type="noConversion"/>
  </si>
  <si>
    <t>HD16.1_R05_2233.a</t>
  </si>
  <si>
    <t>HD16.1_R05_2233.a</t>
    <phoneticPr fontId="17" type="noConversion"/>
  </si>
  <si>
    <t>SignaHDxt</t>
    <phoneticPr fontId="17" type="noConversion"/>
  </si>
  <si>
    <t>None</t>
    <phoneticPr fontId="17" type="noConversion"/>
  </si>
  <si>
    <t>SW Release Letter References</t>
    <phoneticPr fontId="17" type="noConversion"/>
  </si>
  <si>
    <t>SignaHDx</t>
    <phoneticPr fontId="17" type="noConversion"/>
  </si>
  <si>
    <t>SignaHDi</t>
    <phoneticPr fontId="17" type="noConversion"/>
  </si>
  <si>
    <t>67940R</t>
    <phoneticPr fontId="17" type="noConversion"/>
  </si>
  <si>
    <t>5914770</t>
    <phoneticPr fontId="17" type="noConversion"/>
  </si>
  <si>
    <t>DOC2720074</t>
    <phoneticPr fontId="17" type="noConversion"/>
  </si>
  <si>
    <t xml:space="preserve">FMI60978X: FMI 60978X provides software HD28.0_R04 to 1.5T Signa HDxt sites installed with HD28.0.
FMI 60978Y provides software HD16.1_R04 to 1.5T Signa HDx/ HDi /HDxt sites installed with HD16.1. FMI 60978Y provides software HD16.1_R04 to the sites defined in Customer Consignee List DOC2578566.
FMI 67940R provides software HD16.1_R05 to 1.5T Signa HDx/HDi/HDxt sites installed with HD16.1. </t>
    <phoneticPr fontId="17" type="noConversion"/>
  </si>
  <si>
    <t>Signa HDx</t>
    <phoneticPr fontId="17" type="noConversion"/>
  </si>
  <si>
    <t>HD16.1_R04_2125.a</t>
    <phoneticPr fontId="17" type="noConversion"/>
  </si>
  <si>
    <t xml:space="preserve">
DOC2768024</t>
    <phoneticPr fontId="17" type="noConversion"/>
  </si>
  <si>
    <t>SIGNA Artist Evo</t>
    <phoneticPr fontId="17" type="noConversion"/>
  </si>
  <si>
    <t>SignaArtistEvo</t>
    <phoneticPr fontId="17" type="noConversion"/>
  </si>
  <si>
    <t>Signa Artist Evo</t>
    <phoneticPr fontId="17" type="noConversion"/>
  </si>
  <si>
    <t>Signa Artist</t>
    <phoneticPr fontId="17" type="noConversion"/>
  </si>
  <si>
    <t>SignaArtist</t>
    <phoneticPr fontId="17" type="noConversion"/>
  </si>
  <si>
    <t>DV29.1_R03_2224.a</t>
    <phoneticPr fontId="17" type="noConversion"/>
  </si>
  <si>
    <t>N2W</t>
    <phoneticPr fontId="17" type="noConversion"/>
  </si>
  <si>
    <t>DV29.1_R03_2224.a</t>
    <phoneticPr fontId="17" type="noConversion"/>
  </si>
  <si>
    <t xml:space="preserve">
DOC2630346</t>
    <phoneticPr fontId="17" type="noConversion"/>
  </si>
  <si>
    <t>Note 93</t>
    <phoneticPr fontId="17" type="noConversion"/>
  </si>
  <si>
    <t>Note 93</t>
    <phoneticPr fontId="17" type="noConversion"/>
  </si>
  <si>
    <t>Optima MR450w</t>
    <phoneticPr fontId="17" type="noConversion"/>
  </si>
  <si>
    <t>Optima450wGEM</t>
    <phoneticPr fontId="17" type="noConversion"/>
  </si>
  <si>
    <t>SignaArtistT</t>
    <phoneticPr fontId="17" type="noConversion"/>
  </si>
  <si>
    <t>MP26.0_R01_1824.b</t>
    <phoneticPr fontId="17" type="noConversion"/>
  </si>
  <si>
    <t>MP26.0_R02_1941.a</t>
    <phoneticPr fontId="17" type="noConversion"/>
  </si>
  <si>
    <t>DV29.2_R01_2242.a</t>
    <phoneticPr fontId="17" type="noConversion"/>
  </si>
  <si>
    <t>Discovery750</t>
    <phoneticPr fontId="17" type="noConversion"/>
  </si>
  <si>
    <t>DISCOVERY MR750w</t>
    <phoneticPr fontId="17" type="noConversion"/>
  </si>
  <si>
    <t>Discovery750w</t>
    <phoneticPr fontId="17" type="noConversion"/>
  </si>
  <si>
    <t>SIGNA Architect</t>
    <phoneticPr fontId="17" type="noConversion"/>
  </si>
  <si>
    <t>SignaArchitectT</t>
    <phoneticPr fontId="17" type="noConversion"/>
  </si>
  <si>
    <t>SignaArchitect</t>
    <phoneticPr fontId="17" type="noConversion"/>
  </si>
  <si>
    <t>SignaUHP</t>
    <phoneticPr fontId="17" type="noConversion"/>
  </si>
  <si>
    <t>SIGNA Premier</t>
    <phoneticPr fontId="17" type="noConversion"/>
  </si>
  <si>
    <t>SignaPremier</t>
    <phoneticPr fontId="17" type="noConversion"/>
  </si>
  <si>
    <t>SignaPremierXT</t>
    <phoneticPr fontId="17" type="noConversion"/>
  </si>
  <si>
    <t>Product Name on About MR Scanner</t>
    <phoneticPr fontId="17" type="noConversion"/>
  </si>
  <si>
    <t>SV25.5_R01_2242.a</t>
    <phoneticPr fontId="17" type="noConversion"/>
  </si>
  <si>
    <t>SIGNA Hero</t>
    <phoneticPr fontId="17" type="noConversion"/>
  </si>
  <si>
    <t>SignaHero</t>
    <phoneticPr fontId="17" type="noConversion"/>
  </si>
  <si>
    <t>SIGNA Pioneer</t>
    <phoneticPr fontId="17" type="noConversion"/>
  </si>
  <si>
    <t>SignaPioneer</t>
    <phoneticPr fontId="17" type="noConversion"/>
  </si>
  <si>
    <t>SV25.3_R05_2127.a</t>
    <phoneticPr fontId="17" type="noConversion"/>
  </si>
  <si>
    <t>SignaCreatorExplorer</t>
    <phoneticPr fontId="17" type="noConversion"/>
  </si>
  <si>
    <t>Optima450w</t>
    <phoneticPr fontId="17" type="noConversion"/>
  </si>
  <si>
    <t>MR30.0_R01_2242.a</t>
    <phoneticPr fontId="17" type="noConversion"/>
  </si>
  <si>
    <t>SUSE15 SP3</t>
  </si>
  <si>
    <t>NPI and FMI updates</t>
    <phoneticPr fontId="17" type="noConversion"/>
  </si>
  <si>
    <t>Note 94</t>
    <phoneticPr fontId="17" type="noConversion"/>
  </si>
  <si>
    <t>1. Updated FMI# for PX26.1_R01_1723.d to 68017. 68016 was for SP01. Also updated the FMI Doc ID
2. Updated FMI Strategy for 60941 and 60942 for all Pioneer SW Releases
3. Added FMI 67935 for DV26.0_R04 release
4.Added Signa HDxt 1.5T HOPE HD28.0_R02_1948.a
5. Added SIGNA Artist Artist IPM DV28.1_R01_1948.b
6. Added SIGNA Artist Airst Air DV27.1_R02_1934.a
7. Added SIGNA Voyager IB Release+ PX26.0_R03_1941.a
8. SIGNA PET MR 3.0T MP26 R02 MP26.0_R02_1941.a
9. Added Polaris A SW Release
10. Added Vega C R02 SW Release infor for Pioneer and Architect</t>
    <phoneticPr fontId="17" type="noConversion"/>
  </si>
  <si>
    <t>1. Updated new SW Revisions released from FMI67933 on Optima/Brivo and Signa Creator Explorer
2. Added SW relase from NPIs Mulan Skylake (SV25.3) , Artist Air (DV27.1_R02) and Artist IPM (DV28.0_R01)</t>
    <phoneticPr fontId="17" type="noConversion"/>
  </si>
  <si>
    <t>SV25.3_R08_2216.a</t>
    <phoneticPr fontId="17" type="noConversion"/>
  </si>
  <si>
    <t>67940S</t>
    <phoneticPr fontId="17" type="noConversion"/>
  </si>
  <si>
    <t>5914772</t>
    <phoneticPr fontId="17" type="noConversion"/>
  </si>
  <si>
    <t>DOC2749949</t>
    <phoneticPr fontId="17" type="noConversion"/>
  </si>
  <si>
    <t xml:space="preserve">FMI 60978AH provides software SV25.3_R06 to 1.5T SIGNA MR380 sites installed with SV25.3. This applies to1.5T SIGNA MR380 sites running SV25.3 as detailed in Customer Consignee List DOC2578566.
FMI 67940S provides SV25.3_R08 to 1.5T SIGNA Creator/Explorer/MR355/MR360/MR380 sites installed with SV25.3 for China Mainland
This new software revision created to add support for Dolphin2 ICN(5941000-2/5941000-10), need to order this FMI if replacing Dolphin2 ICN
</t>
    <phoneticPr fontId="17" type="noConversion"/>
  </si>
  <si>
    <t>FMI 67940S provides SV25.3_R08 to 1.5T SIGNA Creator/Explorer/MR355/MR360/MR380 sites installed with SV25.3 for China Mainland</t>
    <phoneticPr fontId="17" type="noConversion"/>
  </si>
  <si>
    <t xml:space="preserve">FMI 67940R provides software HD16.1_R05 to 1.5T Signa HDx/HDi/HDxt sites installed with HD16.1. </t>
    <phoneticPr fontId="17" type="noConversion"/>
  </si>
  <si>
    <t>ST28.1_R03_2228.a</t>
    <phoneticPr fontId="17" type="noConversion"/>
  </si>
  <si>
    <t>SignaPrime</t>
    <phoneticPr fontId="17" type="noConversion"/>
  </si>
  <si>
    <t>Starter</t>
    <phoneticPr fontId="17" type="noConversion"/>
  </si>
  <si>
    <t>DOC2720411</t>
    <phoneticPr fontId="17" type="noConversion"/>
  </si>
  <si>
    <t>ST28.1_R02_2207.f</t>
    <phoneticPr fontId="17" type="noConversion"/>
  </si>
  <si>
    <t>DV26.0_R04_1921.a</t>
    <phoneticPr fontId="17" type="noConversion"/>
  </si>
  <si>
    <t>SignaArchitect</t>
    <phoneticPr fontId="17" type="noConversion"/>
  </si>
  <si>
    <t>DV26.2_R05_2034.a</t>
    <phoneticPr fontId="17" type="noConversion"/>
  </si>
  <si>
    <t>SIGNA Architect</t>
    <phoneticPr fontId="17" type="noConversion"/>
  </si>
  <si>
    <t>DV26.3_R02_2122.a</t>
    <phoneticPr fontId="17" type="noConversion"/>
  </si>
  <si>
    <t>CX40.0_R01_2108.a</t>
    <phoneticPr fontId="17" type="noConversion"/>
  </si>
  <si>
    <t>CX40.1_R03_2228.a</t>
    <phoneticPr fontId="17" type="noConversion"/>
  </si>
  <si>
    <t>SignaPrime</t>
    <phoneticPr fontId="17" type="noConversion"/>
  </si>
  <si>
    <t>ST28.0_R01_2108.a</t>
    <phoneticPr fontId="17" type="noConversion"/>
  </si>
  <si>
    <t>MR30.0_R01_2242.a</t>
    <phoneticPr fontId="33" type="noConversion"/>
  </si>
  <si>
    <t>e980e6d5bfde13cf945ff1e095352857c24f948fd783ed2f5759af3c37b6ccee</t>
    <phoneticPr fontId="33" type="noConversion"/>
  </si>
  <si>
    <t>8bb8974b1e5c1590729d0a387de750a0300917d356a245ddbb2f004186c1dfc3</t>
    <phoneticPr fontId="33" type="noConversion"/>
  </si>
  <si>
    <t>e3f8b9673a3966ec8ec64a4a6dde5eac56e50287138f8ec9986a7168c61a2fba</t>
    <phoneticPr fontId="33" type="noConversion"/>
  </si>
  <si>
    <t>77e48f8fa27ddc0a513bb371e764a2e98fddb24209c2e234ef395933641bf9be</t>
    <phoneticPr fontId="33" type="noConversion"/>
  </si>
  <si>
    <t>634281c9036dcc9b2f3fa5e433e0497870712abe0c63fcc98222afe94db822c2</t>
    <phoneticPr fontId="33" type="noConversion"/>
  </si>
  <si>
    <t>e8fad77da4ec050e849c9d6a88a8ac195cedf81b908539f7b1ef0486ae4d3cfa</t>
    <phoneticPr fontId="33" type="noConversion"/>
  </si>
  <si>
    <t>1e3cbf27bf91a10dcc5b56513d28bc3543fe41d0621a03c733da648aa4864dfc</t>
    <phoneticPr fontId="33" type="noConversion"/>
  </si>
  <si>
    <t>1. Added ICN Dolphin Card DV28.1_R07_2216.a release for SIGNA Artist
2. Added ICN Dolphin Card PX26.3_R05_2216.a, VX28.0_R07_2216.a release for SIGNA Vovager
3. Added ICN Dolphin Card SV23.2_R02_2216.a release for Optima MR350
4. Added ICN Dolphin Card SV20.2_R02_ 2216.a release for Brivo MR355
5. Added ICN Dolphin Card SV25.3_R07_2216.a release for SIGNA MR380, SIGNA Creator SIGNA Explorer, SIGNA MR355, SIGNA MR360
6. Updated FMI67940L information for all VX28.0_R0x
7. Updated FMI67940M information for all SV25.3_R0x
8. Updated FMI67940N information for all PX26.3_R0x
9. Updated FMI67940P information for all SV20.2
10. Updated FMI67938Q information for all SV23.2
11. Updated FMI67940K information for all DV28.1_R0x
12. Updated FMI67940J information for all HD28.0
13. Updated ePM Form Data with additional input features
14. Added FMI67940K information to Notes 86
15. Added FMI67940N information to Notes 85
16. Added FMI67940M information to Notes 84, Notes 87
17. Added FMI67940L information to Notes 85
18. Added FMI67940R information to Notes 92
19. Update product name to SignaArtistXT, SignaArchitectXT, DiscoveryMR450, OptimaMR450w, DiscoveryMR750, DiscoveryMR750w, SignaPETMR, Signa PETMR
20. Add Bali-B/Han A MR30.0_R01_2242.a release for Voyager, SIGNA HDxt, SIGNA Creator, SIGNA Explorer, SIGNA Artist, SIGNA Artist EVO, Optima MR 450w, Optima MR450wGEM, ArtistT, Hero, Pioneer, Architect, MR30.0_R01_2242.a.88 release for SIGNA PET/MR
21. Add Bali-B/Han A PX26.5_R01_2242.a release for Voyager
22. Add Bali-B/Han A SV25.5_R01_2242.a release for SIGNA Creator/Explorer, SIGNA MR355/360, SIGNA MR380
23. Added FMI67940R information to Notes 92
24. Added ICN Dolphin Card HD16.1_R05_2233.a release for Signa HDxt/HDx/HDi with HD16.1_R0x
25. Added ICN Dolphin Card HD28.0_R05_2233.a release for Signa HDxt with HD16.1_R0x
26. Added N2W DV29.1_R03_2224.a release for Artist EVO
27. Updated FMI67940S information for SV25.3_R08 applied in China Mainland and added FMI67940S information to Notes 94
28. Added ST28.1_R03_2228.a release for SignaPrime
29. Added CX40.x to reference list and matrix for all Starter release
30. Added DV26.0* to Artist &amp; Architect
31. Updated check checksum for MR30 software for Bali-B/Han A program</t>
    <phoneticPr fontId="17" type="noConversion"/>
  </si>
  <si>
    <t>SIGNA Prime</t>
    <phoneticPr fontId="17" type="noConversion"/>
  </si>
  <si>
    <t>Mulan NX</t>
    <phoneticPr fontId="17" type="noConversion"/>
  </si>
  <si>
    <t>ST28.2_R01_2310.b</t>
    <phoneticPr fontId="17" type="noConversion"/>
  </si>
  <si>
    <t>None</t>
    <phoneticPr fontId="17" type="noConversion"/>
  </si>
  <si>
    <t>DOC2772688</t>
    <phoneticPr fontId="17" type="noConversion"/>
  </si>
  <si>
    <t>CX40.2_R01_2310.b</t>
    <phoneticPr fontId="17" type="noConversion"/>
  </si>
  <si>
    <t>SignaVictor</t>
    <phoneticPr fontId="17" type="noConversion"/>
  </si>
  <si>
    <t>SIGNA Victor</t>
    <phoneticPr fontId="17" type="noConversion"/>
  </si>
  <si>
    <t>DOC2810946</t>
    <phoneticPr fontId="17" type="noConversion"/>
  </si>
  <si>
    <t>DOC2165954
DOC2175283</t>
    <phoneticPr fontId="17" type="noConversion"/>
  </si>
  <si>
    <t>SIGNA Victor</t>
  </si>
  <si>
    <t>CX40.2_R01_2310.b</t>
    <phoneticPr fontId="17" type="noConversion"/>
  </si>
  <si>
    <t>BJG</t>
    <phoneticPr fontId="17" type="noConversion"/>
  </si>
  <si>
    <t>FMI60978</t>
    <phoneticPr fontId="17" type="noConversion"/>
  </si>
  <si>
    <t>China Mainland</t>
    <phoneticPr fontId="17" type="noConversion"/>
  </si>
  <si>
    <t>Note 95</t>
    <phoneticPr fontId="17" type="noConversion"/>
  </si>
  <si>
    <t>FMI 67943J provides software DV28.4_R04 or DV27.3_R04 to 3.0T SIGNA Architect sites installed with DV28.4 or DV27.3 in China mainland only.</t>
    <phoneticPr fontId="17" type="noConversion"/>
  </si>
  <si>
    <t>Note 96</t>
    <phoneticPr fontId="17" type="noConversion"/>
  </si>
  <si>
    <t>01b1e9fcff987d87ec2faa920a7bcaf91ab231fa683e249d380346bee4b3c7e1</t>
  </si>
  <si>
    <t>CX40.2_R01_2310.b</t>
    <phoneticPr fontId="33" type="noConversion"/>
  </si>
  <si>
    <t>94a39d2bb630c6419a14862b264ba0588237387ddf917c81b2e2082f9978d04b</t>
  </si>
  <si>
    <t>HELiOS 7.7</t>
    <phoneticPr fontId="33" type="noConversion"/>
  </si>
  <si>
    <t>CX40.2_R01_2310.b China</t>
    <phoneticPr fontId="33" type="noConversion"/>
  </si>
  <si>
    <t>VX29.1_R04_2313.a</t>
    <phoneticPr fontId="17" type="noConversion"/>
  </si>
  <si>
    <t>67943A</t>
    <phoneticPr fontId="17" type="noConversion"/>
  </si>
  <si>
    <t>Global</t>
    <phoneticPr fontId="17" type="noConversion"/>
  </si>
  <si>
    <t>5914773</t>
    <phoneticPr fontId="17" type="noConversion"/>
  </si>
  <si>
    <t>DOC2842740</t>
    <phoneticPr fontId="17" type="noConversion"/>
  </si>
  <si>
    <t>SV25.0_R09_1928.c</t>
    <phoneticPr fontId="17" type="noConversion"/>
  </si>
  <si>
    <t>SV25.0_R09_1929.c</t>
  </si>
  <si>
    <t>SV29.1_R04_2313.a</t>
  </si>
  <si>
    <t>SV29.1_R04_2313.a</t>
    <phoneticPr fontId="17" type="noConversion"/>
  </si>
  <si>
    <t>67943B</t>
    <phoneticPr fontId="17" type="noConversion"/>
  </si>
  <si>
    <t>5914774</t>
    <phoneticPr fontId="17" type="noConversion"/>
  </si>
  <si>
    <t>HD29.1_R04_2313.a</t>
    <phoneticPr fontId="17" type="noConversion"/>
  </si>
  <si>
    <t>67943C</t>
    <phoneticPr fontId="17" type="noConversion"/>
  </si>
  <si>
    <t>5914895</t>
    <phoneticPr fontId="17" type="noConversion"/>
  </si>
  <si>
    <t>DV29.1_R04_2313.a</t>
  </si>
  <si>
    <t>67943F</t>
    <phoneticPr fontId="17" type="noConversion"/>
  </si>
  <si>
    <t>5914898</t>
    <phoneticPr fontId="17" type="noConversion"/>
  </si>
  <si>
    <t>FMI60978W: FMI 60978W provides software VX29.1 R02 to 1.5T SIGNA Voyager sites installed with VX29.1.
FMI60978AB: : FMI 60978AB provides software DV29.1 R02 to 1.5T SIGNA Artist and 1.5T Optima MR450w sites installed with DV29.1.
FMI60978Z: FMI 60978Z provides software HD29.1 R02 to 1.5T Signa HDx/ HDi/ HDxt sites installed with HD29.1.
FMI60978AI: FMI 60978AI provides software SV29.1 R02 to 1.5T SIGNA Creator/Explorer sites installed with SV29.1.
FMI60978AC: FMI 60978AC provides software SV25.1 R07 to 1.5T SIGNA Creator/Explorer sites running on SV25.1
FMI 67943A provides software VX29.1_R04 to 1.5T SIGNA Voyager sites installed with VX29.1.
FMI 67943B provides software SV29.1_R04 to 1.5T SIGNA Creator/ Explorer sites installed with SV29.1.
FMI 67943C provides software HD29.1_R04 to 1.5T SIGNA HDxt sites installed with HD29.1.
FMI 67943F provides software DV29.1_R04 to 1.5T SIGNA Artist/Optima MR450w &amp; 3.0T SIGNA Architect/Discovery MR750w/MR750 sites installed with DV29.1.</t>
    <phoneticPr fontId="17" type="noConversion"/>
  </si>
  <si>
    <t>PX29.1_R04_2313.a</t>
  </si>
  <si>
    <t>67943G</t>
    <phoneticPr fontId="17" type="noConversion"/>
  </si>
  <si>
    <t>5914899</t>
    <phoneticPr fontId="17" type="noConversion"/>
  </si>
  <si>
    <t>RX29.1_R04_2313.a</t>
    <phoneticPr fontId="17" type="noConversion"/>
  </si>
  <si>
    <t>67943H</t>
    <phoneticPr fontId="17" type="noConversion"/>
  </si>
  <si>
    <t>5914900</t>
    <phoneticPr fontId="17" type="noConversion"/>
  </si>
  <si>
    <t>FMI60978G/M/Q: This FMI applies to all DV29.0, DV29.1, PX29.0, PX29.1, RX28.0, RX29.0, and RX29.1 sites in the installed base not running DV29.1 R02, PX29.1 R02, or RX29.1 R02 software or later as detailed in the Effectivity List in MWS, DOC2578566.
Note: DV29.1_R02_2131.a impacts on SIGNA Architect, Discovery MR450w/MR750/MR750w running on all previously released DV29.0/DV29.1 SW;
PX29.1_R02_2131.a impacts on SIGNA Pioneer running on all previously released PX29.0/29.1 SW;
RX29.1_R02_2131.a impacts on SIGNA Premier running on all previously released RX29.0/29.1 SW
For SIGNA Architect, SIGNA Pioneer and SIGNA Premier running on DV29.0/PX29.0/RX29.0_R02 respectively, FMI60978G/M/Q is not needed as the system has already got safety issue fixed.
FMI 67943F provides software DV29.1_R04 to 1.5T SIGNA Artist/Optima MR450w &amp; 3.0T SIGNA Architect/Discovery MR750w/MR750 sites installed with DV29.1.
FMI 67943G provides software PX29.1_R04 to 3.0T SIGNA Pioneer sites installed with PX29.1 R01/R02.
FMI 67943H provides software RX29.1_R04 to 3.0T SIGNA Premier sites installed with RX29.1.</t>
    <phoneticPr fontId="17" type="noConversion"/>
  </si>
  <si>
    <t>The MR29.1_R02_SP01 is being introduced into forward production &amp; FRU stock to allow for the integration of a new family of Gen 7 ICNs that contain a new PCIe interface (nicknamed “Dolphin 2”).
FMI 67940A provides Service Pack (PX29.1_R02_SP01) to SIGNA Pioneer running on PX29.1_R02
FMI 67940B provides Service Pack (RX29.1_R02_SP01) to SIGNA Premier running on RX29.1_R02
FMI 67940C provides Service Pack (DV29.1_R02_SP01) to SIGNA Architect/ SIGNA Artist/ Discovery MR750w 3.0T/ Discovery MR750 3.0T/ Optima MR450w 1.5T running on DV29.1_R02
FMI 67940D provides Service Pack (VX29.1_R02_SP01) to SIGNA Voyager running on VX29.1_R02
FMI 67940E provides Service Pack (SV29.1_R02_SP01) to SIGNA Creator/Explorer running on SV29.1_R02
FMI 67940F provides Service Pack (HD29.1_R02_SP01) to Signa HDx/HDi/HDxt running on HD29.1_R02
FMI 67943A provides software VX29.1_R04 to 1.5T SIGNA Voyager sites installed with VX29.1.
FMI 67943B provides software SV29.1_R04 to 1.5T SIGNA Creator/ Explorer sites installed with SV29.1.
FMI 67943C provides software HD29.1_R04 to 1.5T SIGNA HDxt sites installed with HD29.1.
FMI 67943F provides software DV29.1_R04 to 1.5T SIGNA Artist/Optima MR450w &amp; 3.0T SIGNA Architect/Discovery MR750w/MR750 sites installed with DV29.1.
FMI 67943G provides software PX29.1_R04 to 3.0T SIGNA Pioneer sites installed with PX29.1 R01/R02.
FMI 67943H provides software RX29.1_R04 to 3.0T SIGNA Premier sites installed with RX29.1.</t>
    <phoneticPr fontId="17" type="noConversion"/>
  </si>
  <si>
    <t>PX26.4_R04_2313.a</t>
  </si>
  <si>
    <t>67943D</t>
    <phoneticPr fontId="17" type="noConversion"/>
  </si>
  <si>
    <t>China Mainland</t>
    <phoneticPr fontId="17" type="noConversion"/>
  </si>
  <si>
    <t>5914896</t>
    <phoneticPr fontId="17" type="noConversion"/>
  </si>
  <si>
    <t>DOC2842761</t>
    <phoneticPr fontId="17" type="noConversion"/>
  </si>
  <si>
    <t>The MR29.1_R02_SP01 is being introduced into forward production &amp; FRU stock to allow for the integration of a new family of Gen 7 ICNs that contain a new PCIe interface (nicknamed “Dolphin 2”).
FMI 67940G provides Service Pack (PX26.4_R02_SP01) to SIGNA Voyager running on PX26.4_R02
FMI 67940H provides Service Pack (SV25.4_R02_SP01) to SIGNA Creator/Explorer, SIGNA MR355/MR360 running on SV25.4_R02.
FMI 67943D provides software PX26.4_R04 to 1.5T SIGNA Voyager sites installed with PX26.4 in China Mainland Only.</t>
    <phoneticPr fontId="17" type="noConversion"/>
  </si>
  <si>
    <t>SV25.4_R04_2313.a</t>
  </si>
  <si>
    <t>67943E</t>
    <phoneticPr fontId="17" type="noConversion"/>
  </si>
  <si>
    <t>5914897</t>
    <phoneticPr fontId="17" type="noConversion"/>
  </si>
  <si>
    <t>PX26.4_R04_2313.a</t>
    <phoneticPr fontId="17" type="noConversion"/>
  </si>
  <si>
    <t>RD, PM, PC</t>
    <phoneticPr fontId="17" type="noConversion"/>
  </si>
  <si>
    <t>RD, PM</t>
    <phoneticPr fontId="17" type="noConversion"/>
  </si>
  <si>
    <t>PX26.4_R01_2111.a</t>
    <phoneticPr fontId="17" type="noConversion"/>
  </si>
  <si>
    <t>DOC2626330</t>
    <phoneticPr fontId="17" type="noConversion"/>
  </si>
  <si>
    <t>None</t>
    <phoneticPr fontId="17" type="noConversion"/>
  </si>
  <si>
    <t>PX26.4_R04_2313.a</t>
    <phoneticPr fontId="17" type="noConversion"/>
  </si>
  <si>
    <t>Note 97</t>
    <phoneticPr fontId="17" type="noConversion"/>
  </si>
  <si>
    <t>Note 97</t>
    <phoneticPr fontId="17" type="noConversion"/>
  </si>
  <si>
    <t>SV25.4_R01_2111.a</t>
    <phoneticPr fontId="17" type="noConversion"/>
  </si>
  <si>
    <t>SV29.1_R02_2131.a</t>
    <phoneticPr fontId="17" type="noConversion"/>
  </si>
  <si>
    <t>SV25.4_R04_2313.a</t>
    <phoneticPr fontId="17" type="noConversion"/>
  </si>
  <si>
    <t>SV25.4_R01_2112.a</t>
  </si>
  <si>
    <t>SignaMR355MR360</t>
    <phoneticPr fontId="17" type="noConversion"/>
  </si>
  <si>
    <t>SIGNA MR360</t>
    <phoneticPr fontId="17" type="noConversion"/>
  </si>
  <si>
    <t>RX27.3_R01_2111.a</t>
    <phoneticPr fontId="17" type="noConversion"/>
  </si>
  <si>
    <t>RX27.3_R04_2313.a</t>
    <phoneticPr fontId="17" type="noConversion"/>
  </si>
  <si>
    <t>67943K</t>
    <phoneticPr fontId="17" type="noConversion"/>
  </si>
  <si>
    <t>5914905</t>
    <phoneticPr fontId="17" type="noConversion"/>
  </si>
  <si>
    <t>DV26.4_R01_2111.a</t>
    <phoneticPr fontId="17" type="noConversion"/>
  </si>
  <si>
    <t>DV26.4_R04_2313.a</t>
    <phoneticPr fontId="17" type="noConversion"/>
  </si>
  <si>
    <t>67943L</t>
    <phoneticPr fontId="17" type="noConversion"/>
  </si>
  <si>
    <t>5914908</t>
    <phoneticPr fontId="17" type="noConversion"/>
  </si>
  <si>
    <t>PX28.1_R01_2111.a</t>
    <phoneticPr fontId="17" type="noConversion"/>
  </si>
  <si>
    <t>PX25.4_R01_2111.a</t>
    <phoneticPr fontId="17" type="noConversion"/>
  </si>
  <si>
    <t>DV27.3_R01_2111.a</t>
    <phoneticPr fontId="17" type="noConversion"/>
  </si>
  <si>
    <t>DV27.3_R04_2313.a</t>
    <phoneticPr fontId="17" type="noConversion"/>
  </si>
  <si>
    <t>67943J</t>
    <phoneticPr fontId="17" type="noConversion"/>
  </si>
  <si>
    <t>5914903</t>
    <phoneticPr fontId="17" type="noConversion"/>
  </si>
  <si>
    <t>DOC2842788</t>
    <phoneticPr fontId="17" type="noConversion"/>
  </si>
  <si>
    <t>DV28.4_R01_2111.a</t>
    <phoneticPr fontId="17" type="noConversion"/>
  </si>
  <si>
    <t>DV28.4_R04_2313.a</t>
    <phoneticPr fontId="17" type="noConversion"/>
  </si>
  <si>
    <t>12.0_M5B_0846.d</t>
    <phoneticPr fontId="17" type="noConversion"/>
  </si>
  <si>
    <t>DOC2667305</t>
    <phoneticPr fontId="17" type="noConversion"/>
  </si>
  <si>
    <t>CX40.0_R02_2207.f</t>
    <phoneticPr fontId="17" type="noConversion"/>
  </si>
  <si>
    <t>Signa HDxt 3T</t>
    <phoneticPr fontId="17" type="noConversion"/>
  </si>
  <si>
    <t>HD29.1_R02_2131.a</t>
    <phoneticPr fontId="33" type="noConversion"/>
  </si>
  <si>
    <t>HD29.1_R04_2313.a</t>
    <phoneticPr fontId="33" type="noConversion"/>
  </si>
  <si>
    <t>20d80a02ec4d13b9504669c33f953b2f521cea8b2aed0f7c2c978eece9b39b9f</t>
  </si>
  <si>
    <t>VX29.1_R04_2313.a</t>
    <phoneticPr fontId="33" type="noConversion"/>
  </si>
  <si>
    <t>c5d951cf026bd11c7d5095a2d2b07c6a8bd806fea021255b7caa9d4eed49c281</t>
  </si>
  <si>
    <t>PX26.4_R04_2313.a</t>
    <phoneticPr fontId="33" type="noConversion"/>
  </si>
  <si>
    <t>1e6d63cbc27552cf9782feb744029773b106352e428bf27eb099179bbdf05606</t>
  </si>
  <si>
    <t>SV25.4_R04_2313.a</t>
    <phoneticPr fontId="33" type="noConversion"/>
  </si>
  <si>
    <t>beaa299778fff3d19f438c641b61607261c5a99b0356b9563c6249ec89b18f94</t>
  </si>
  <si>
    <t>PX29.1_R04_2313.a</t>
    <phoneticPr fontId="33" type="noConversion"/>
  </si>
  <si>
    <t>SV29.1_R04_2313.a</t>
    <phoneticPr fontId="33" type="noConversion"/>
  </si>
  <si>
    <t>bbb1b99d130948f38b0db618d3ffacfb7ac4533e1b98af5adad1a289097f27ae</t>
  </si>
  <si>
    <t>DV29.1_R04_2313.a</t>
    <phoneticPr fontId="33" type="noConversion"/>
  </si>
  <si>
    <t>c592c18eb1cd8f32f4dfb6fd3ae2099e6a7fcdd374cb43b3d4dbc7a8e1bae109</t>
    <phoneticPr fontId="33" type="noConversion"/>
  </si>
  <si>
    <t>c6ff343737b3e0db5d5e4abb710dc7d69a094cdffcba3bb739d359720d8668a9</t>
  </si>
  <si>
    <t>DV26.4_R04_2313.a</t>
    <phoneticPr fontId="33" type="noConversion"/>
  </si>
  <si>
    <t>DV27.3_R04_2313.a</t>
    <phoneticPr fontId="33" type="noConversion"/>
  </si>
  <si>
    <t>f1ae6a197edb526127372de704d966cb13f73bb29b7cf489675fd69adb8dec13</t>
  </si>
  <si>
    <t>DV28.4_R04_2313.a</t>
    <phoneticPr fontId="33" type="noConversion"/>
  </si>
  <si>
    <t>3cea57c1c5785371146b4c8cd536658ec600dd0740ce7718a5f30d3c0631c845</t>
    <phoneticPr fontId="33" type="noConversion"/>
  </si>
  <si>
    <t>726f0a22ee887b0cc7136f271ae7032a010c6b57e4bdd9b76467b1947d89b3d5</t>
  </si>
  <si>
    <t>RX29.1_R04_2313.a</t>
    <phoneticPr fontId="33" type="noConversion"/>
  </si>
  <si>
    <t>RX27.3_R04_2313.a</t>
    <phoneticPr fontId="33" type="noConversion"/>
  </si>
  <si>
    <t>ad9477a9d1aac5ac7b7f34c63e8f9171fae89dc6b177ea698b1a743a37b2003c</t>
  </si>
  <si>
    <t>ee56ccc5330898473b927a6149443796cbb72b231964652ad2aac145e4f727b2</t>
  </si>
  <si>
    <t>2f6c8fed63cbbb7ec4c7087497613cc121c1e1b366d983330d482c4b4562a77e</t>
  </si>
  <si>
    <t>PX28.3_R04_2313.a</t>
    <phoneticPr fontId="33" type="noConversion"/>
  </si>
  <si>
    <t>PX25.4_R04_2313.a</t>
    <phoneticPr fontId="33" type="noConversion"/>
  </si>
  <si>
    <t>0778bcad2302ca8b87e9bace59bd2038e95c19e0237cbc937be397f8e401d59a</t>
  </si>
  <si>
    <t>Han B / Bali C</t>
  </si>
  <si>
    <t>MR30.1_R01_2322.c</t>
  </si>
  <si>
    <t>Qin, Yu</t>
  </si>
  <si>
    <t>VX29.2_R01_2322.c</t>
  </si>
  <si>
    <t>SV29.2_R01_2322.c</t>
  </si>
  <si>
    <t>SV25.6_R01_2322.c</t>
  </si>
  <si>
    <t>SV20.3_R01_2322.c</t>
  </si>
  <si>
    <t>SV23.3_R01_2322.c</t>
  </si>
  <si>
    <t>CX40.2_R01_2310.b</t>
  </si>
  <si>
    <t>SIGNA Artist Evo</t>
  </si>
  <si>
    <t>SignaArtistEvo</t>
  </si>
  <si>
    <t>SIGNA Creator DL</t>
  </si>
  <si>
    <t>SignaCreatorDL</t>
  </si>
  <si>
    <t>SIGNA Explorer DL</t>
  </si>
  <si>
    <t>SignaExplorerDL</t>
  </si>
  <si>
    <t>SIGNA Star</t>
  </si>
  <si>
    <t>OptimaMR450w</t>
  </si>
  <si>
    <t>SignaStar</t>
  </si>
  <si>
    <t>SIGNA Aviator</t>
  </si>
  <si>
    <t>SignaAviator</t>
  </si>
  <si>
    <t>Note 98</t>
  </si>
  <si>
    <t>28da96934404a0031a87cdc99edd80eb64793b7d9df1f324456baa2f46c0193a</t>
  </si>
  <si>
    <t>1. Update FMI60978A&amp;B&amp;C for Optima MR450W GEM
2. Update FMI60978 H&amp;J for SIGNA Pioneer to cover all PX26.1 and PX25.1 (both R01 and R02)
3. Update FMI60978 R for SIGNA PETMR to cover all MP26.0
4. Remove FMI60978 G&amp;M&amp;Q Information from Architect/Pioneer/Premier system running on MR29.0_R02_2122.a baseline
5. Update Starter 2.0 Release (ST28.1_R02_2207.f) for SIGNA Prime
6. Add SIGNA Hero Bali A Release (PX29.1_R03_2206.a)
7. Fix the reflected notes for DV29</t>
  </si>
  <si>
    <t xml:space="preserve">1.  Reformat  FMI information by FMI type (Safety, Mandatory, Optional)
2. Add applicable region for each FMI
3. Service Pack 01 release via FMI60978R for SIGNA PETMR running on MP26.0_R03
4. Remove previous service packs from baselines with FMI60936E
5. Update FMI67940 ServicePack01 kit for MR29.1_R02 across 1.5T and 3T products (ICN Dolphin Card)
</t>
  </si>
  <si>
    <t>This SW release applies to more than 1 product as noted above. Per Bali C NPI applicable products are: Premier, Hero, Pioneer, Architect, Architect T, MR750W GEM, MR750. Per Han B for 1.5T products：applicable products are: SIGNA Artist 1.5, SIGNA Artist EVO, SIGNA Artist T, SIGNA Voyager/Voyager Air, SIGNA Creator(DL)/Explorer(DL)/355/360/380/Star/Aviator,Brivo355/Optma360, SIGNA 1.5T HDxt, SIGNA 450w.</t>
  </si>
  <si>
    <t>SLESE15 SP4</t>
  </si>
  <si>
    <t>·</t>
  </si>
  <si>
    <t>f8b8dd57d08c0b2f35905ea914bc3ac4c8800c26a93f6df9b423125cf8af2ddd</t>
  </si>
  <si>
    <t xml:space="preserve">68b409058f8e94d5f29d64ba8bcadfcca516c332f9399bede4c589da251b28da </t>
  </si>
  <si>
    <t>FMI 60978AF provides software SV25.3_R05 to 1.5T SIGNA Creator/Explorer sites installed with SV25.3. Refer to DOC2613396
FMI 60978AG provides software SV25.3_R05 to 1.5T SIGNA MR355/MR360 sites installed with SV25.3. Refer to DOC2613398
FMI 67940M provides SV25.3_R07 to 1.5T SIGNA Creator/Explorer/MR355/MR360/MR380 sites installed with SV25.3
FMI 67940S provides SV25.3_R08 to 1.5T SIGNA Creator/Explorer/MR355/MR360/MR380 sites installed with SV25.3 for China Mainland
This new software revision created to add support for Dolphin2 ICN(5941000-2/5941000-10), need to order this FMI if replacing Dolphin2 ICN</t>
  </si>
  <si>
    <t>SV25.3_R08_2244.c</t>
  </si>
  <si>
    <t>SP_02</t>
    <phoneticPr fontId="17" type="noConversion"/>
  </si>
  <si>
    <t>FMI60936B</t>
  </si>
  <si>
    <t>DOC2175283</t>
  </si>
  <si>
    <t>Refreshed Safety Service Pack</t>
    <phoneticPr fontId="17" type="noConversion"/>
  </si>
  <si>
    <t>Refreshed Safety Service Pack Label</t>
    <phoneticPr fontId="17" type="noConversion"/>
  </si>
  <si>
    <t>SP_05</t>
    <phoneticPr fontId="17" type="noConversion"/>
  </si>
  <si>
    <t>11.1_M4_0818.a.PQ</t>
    <phoneticPr fontId="17" type="noConversion"/>
  </si>
  <si>
    <t>FMI60936A</t>
  </si>
  <si>
    <t xml:space="preserve"> Safety Applications Software With Refreshed FMI Version :</t>
    <phoneticPr fontId="17" type="noConversion"/>
  </si>
  <si>
    <t>Cadence 2023 (Mauna Kea/Bali-C/Han-B) Validation need</t>
  </si>
  <si>
    <t>1. Revision created for internal engineering use, updated to include checksums for MR30.1 software to enable privacy and security manual validation for Cadence 2023 (Mauna Kea/Bali-C/Han-B) program.
2. Update Note for MR450w GEM DV26.0_R04 line (row 699).
3. SIGNA Explorer SV25.3_R01 - R08 fix.
4. Add "Refreshed Service Pack" and "Refreshed Service pack software label" columns.
5. Update ePM data form to have refreshed full application software with service pack.
6. Add SIGNA HD and Excite 11.0 11.1 12.0 refreshed service pack label.</t>
  </si>
  <si>
    <t>Mauna Kea B</t>
  </si>
  <si>
    <t>MR30.1_R02_2332.a</t>
  </si>
  <si>
    <t>DV26.5_R01_2322.c</t>
  </si>
  <si>
    <t>RX29.2_R01_2322.c</t>
  </si>
  <si>
    <t>DV29.2_R01_2322.c</t>
  </si>
  <si>
    <t>DV28.5_R01_2322.c</t>
  </si>
  <si>
    <t>PX25.5_R01_2322.c</t>
  </si>
  <si>
    <t>PX28.4_R01_2322.c</t>
  </si>
  <si>
    <t>PX26.6_R01_2322.c</t>
  </si>
  <si>
    <t>SignaArchitect Air</t>
  </si>
  <si>
    <t>SIGNA Voyager Air</t>
  </si>
  <si>
    <t>VX29.1_R04_2313.a</t>
  </si>
  <si>
    <t>SIGNA PET/MR</t>
  </si>
  <si>
    <t>HD29.1_R04_2313.a</t>
  </si>
  <si>
    <t>DV28.4_R04_2313.a</t>
  </si>
  <si>
    <t>DV27.3_R04_2313.a</t>
  </si>
  <si>
    <t>RX29.1_R04_2313.a</t>
  </si>
  <si>
    <t>DV26.4_R04_2313.a</t>
  </si>
  <si>
    <t>SignaArchitectAir</t>
  </si>
  <si>
    <t>FMI67943</t>
  </si>
  <si>
    <t>DOC2788610</t>
  </si>
  <si>
    <t>DOC2774485</t>
  </si>
  <si>
    <t>SignaPETMR</t>
  </si>
  <si>
    <t>HD16.4_R01_2322.c</t>
  </si>
  <si>
    <t>294c178d85f35ff8f9869051c0c68953d68b753d698b49848a53b8b02d42e925</t>
  </si>
  <si>
    <t>2b73c4c84d3a1cceed1855ac819a8af6dc9ce5de96460f45e6ceba556104551f</t>
  </si>
  <si>
    <t>54df2f330e2b4b01c47b7b4f7f8f5357c33bde05d335fe324d4c02bbabc32235</t>
  </si>
  <si>
    <t>3e72ef1f2c6611100edd607e1fc75f8045d82a0c016c2812069f850b15224be9</t>
  </si>
  <si>
    <t>NPI and FMI update</t>
  </si>
  <si>
    <t>1. Add MulanNX ST28.2_R01_2310.b release for SIGNA Prime
2. Add MulanNX CX40.2_R01_2310.b release for SIGNA Prime, Victor
3. Updated FMI6743A of VX29.1_R04
4. Updated FMI67943B of SV29.1_R04
5. Updated FMI67943C of HD29.1_R04
6. Updated FMI67943F of DV29.1_R04
7. Updated FMI67943G of PX29.1_R04
8. Updated FMI67943H of RX29.1_R04
9. Updated FMI67943D of PX26.4_R04 (China Mainland only)
10. Updated FMI67943E of SV25.4_R04 (China Mainland only)
11. Updated FMI67943K of RX27.3_R04 (China Mainland only)
12. Updated FMI67943L of DV26.4_R04 (China Mainland only)
13. Updated FMI67943J of DV28.4_R04 &amp; DV27.3_R04 (China Mainland only)
14. Add Qin release for China Mainland software PX26.4, SV25.4, RX27.3, PX28.1, PX25.4, DV28.4, DV27.3, DV26.4</t>
  </si>
  <si>
    <t>SV25.0_R10_2341.a</t>
  </si>
  <si>
    <t>SV25.0_R10_2341.b</t>
  </si>
  <si>
    <t>SV25.0_R10_2341.c</t>
  </si>
  <si>
    <t>SV25.0_R10_2341.d</t>
  </si>
  <si>
    <t>MR30.1_R03_2402.a</t>
  </si>
  <si>
    <t>SIGNA Star Air</t>
  </si>
  <si>
    <t>SignaStarAir</t>
  </si>
  <si>
    <t>SIGNA Aviator Air</t>
  </si>
  <si>
    <t>SignaAviatorAir</t>
  </si>
  <si>
    <t>DOC2810946</t>
  </si>
  <si>
    <t xml:space="preserve">DOC2950460 </t>
  </si>
  <si>
    <t>SignaVictor</t>
  </si>
  <si>
    <t>FMI 67939 B</t>
  </si>
  <si>
    <t>FMI 67939 C</t>
  </si>
  <si>
    <t>FMI 67939 D</t>
  </si>
  <si>
    <t>7c0109baae5e5d22786603e9c7672e2b4cf4ae13bfd0e93e726a85b7cb9f422b</t>
  </si>
  <si>
    <t>6461464d9050cdd0143e53b24aba17e826a62528752b35ed7a841da633fcaca4</t>
  </si>
  <si>
    <t>be8cf7fa1681cea46648215655545478f7f857959aa67567ce03f08f067a60bb</t>
  </si>
  <si>
    <t xml:space="preserve">e7073fecab6e21e5fb35c8d42ad4b7ad19273af26ed0d88ae6562b865eb4d3c3 </t>
  </si>
  <si>
    <t>50bc3d0ce6ab2305c3b1aa3dc43a194ff25ecf1a923ffa1dabce4cbd5a5b9a00</t>
  </si>
  <si>
    <t>c2d34fab98c07ffbef1e1ea7c9309d6374e45499966223c4f79f4ca078a7358e</t>
  </si>
  <si>
    <t>0811f91b06df6609ab72a24ae3594bcbb263d6409f2e8b6e7be1e57837852b82</t>
  </si>
  <si>
    <t xml:space="preserve">3983b5b120d89cfb951a0f3cb34933ed595335d68e6a7172dd62446774846aed </t>
  </si>
  <si>
    <t>94b45a3d285384501794bc81c9bea9a0d1105ac3e92d7ecf414db84e53484f77</t>
  </si>
  <si>
    <t>Note 99</t>
  </si>
  <si>
    <t>Note 100</t>
  </si>
  <si>
    <t>FMI 67943D provides software PX26.4_R04 to 1.5T SIGNA Voyager sites installed with PX26.4 in China Mainland Only
FMI 67943E provides software SV25.4_R04 to 1.5T SIGNA Creator/Explorer, SIGNA MR355/MR360 sites installed with SV25.4 in China Mainland Only
FMI 67943K provides software RX27.3_R04 to 3.0T SIGNA Premier sites installed with RX27.3 in China Mainland Only.
FMI 67943L provides software DV26.4_R04 to 3.0T Discovery MR750/MR750w sites installed with DV26.4 in China Mainland Only
FMI 67943J provides software DV28.4_R04 or DV27.3_R04 to 3.0T SIGNA Architect sites installed with DV28.4 or DV27.3 in China mainland only.</t>
  </si>
  <si>
    <t>Note 101</t>
  </si>
  <si>
    <t>Note 102</t>
  </si>
  <si>
    <t>FMI 67943D provides software PX26.4_R04 to 1.5T SIGNA Voyager sites installed with PX26.4 in China Mainland Only.
FMI 67943E provides software SV25.4_R04 to 1.5T SIGNA Creator/Explorer, SIGNA MR355/MR360 sites installed with SV25.4 in China Mainland Only.
FMI 67943K provides software RX27.3_R04 to 3.0T SIGNA Premier sites installed with RX27.3 in China Mainland Only.
FMI 67943L provides software DV26.4_R04 to 3.0T Discovery MR750/MR750w sites installed with DV26.4 in China Mainland Only.
Update DV27.3, RX27.3, DV26.4 information</t>
  </si>
  <si>
    <t>DOC2952517</t>
  </si>
  <si>
    <t>FMI67939 A</t>
  </si>
  <si>
    <t>Mauna Kea D</t>
  </si>
  <si>
    <t xml:space="preserve">DOC2679415 </t>
  </si>
  <si>
    <t>5914913</t>
  </si>
  <si>
    <t>5914911</t>
  </si>
  <si>
    <t>FMI 67946A</t>
  </si>
  <si>
    <t>FMI 67946B</t>
  </si>
  <si>
    <t>29-Dec-2024</t>
  </si>
  <si>
    <t>Note 91</t>
  </si>
  <si>
    <t>Note 30, 71</t>
  </si>
  <si>
    <t>Note 94</t>
  </si>
  <si>
    <t>Note 26
Note 25</t>
  </si>
  <si>
    <t>Note 93</t>
  </si>
  <si>
    <t>Note 96</t>
  </si>
  <si>
    <t>DOC2907402</t>
  </si>
  <si>
    <t>FMI67944B</t>
  </si>
  <si>
    <t>FMI67944A</t>
  </si>
  <si>
    <t>DOC2772688</t>
  </si>
  <si>
    <t>SP02</t>
  </si>
  <si>
    <t>ST28.2_R01_2310.b</t>
  </si>
  <si>
    <t>ST28.2_R01_2310.b.PB</t>
  </si>
  <si>
    <t>CX40.2_R01_2310.b.PB</t>
  </si>
  <si>
    <t>PetMrApps</t>
  </si>
  <si>
    <t>PetApps</t>
  </si>
  <si>
    <t>MR30.1_R02_2332.a/MP1.3_R03_138</t>
  </si>
  <si>
    <t>MR30.1_R02_2332.a/MP1.3_R02_112</t>
  </si>
  <si>
    <t>MR30.0_R01_2242.a/MP1.3_R01_88</t>
  </si>
  <si>
    <t xml:space="preserve">
DOC2701598</t>
  </si>
  <si>
    <t>Mauna Kea A</t>
  </si>
  <si>
    <t>fb135c17f1f57026fe2d83c2fe622e16200ee85e1304fe6c16fdc14341881a8b</t>
  </si>
  <si>
    <t>576b7bcec5142fcda9ee9de2b78dc349e995d904c6f631e4f4e4c6a653359212</t>
  </si>
  <si>
    <t>11-Aug-2024</t>
  </si>
  <si>
    <t>DOC2892670</t>
  </si>
  <si>
    <t>DOC2951963</t>
  </si>
  <si>
    <t>DOC2951969</t>
  </si>
  <si>
    <t>5914916</t>
  </si>
  <si>
    <t>5914917</t>
  </si>
  <si>
    <t>5914914</t>
  </si>
  <si>
    <t>5914915</t>
  </si>
  <si>
    <t>31-Mar-2024</t>
  </si>
  <si>
    <t>5914910</t>
  </si>
  <si>
    <t>5914918</t>
  </si>
  <si>
    <t>DOC2789038</t>
  </si>
  <si>
    <t>DOC2830627</t>
  </si>
  <si>
    <t xml:space="preserve">
DOC2774736</t>
  </si>
  <si>
    <t>This SW release applies to more than 1 product as noted above. Per Bali B NPI applicable products are: Premier, Hero, Pioneer, Architect, Architect T, MR750W GEM, MR750. Same sw will be released also per Han A for 1.5T products This SW release applies to 1 product as noted above. Per Manua Kea A NPI applicable product is: PETMR</t>
  </si>
  <si>
    <t>c10131ce90b9406d1bd30bf99e74c2d00d4d9634abfdcef61c7d2689b3e9a0c9</t>
  </si>
  <si>
    <t xml:space="preserve">c302d63c798156f1126316b41facd51e9f2f406d2fffcfd69ed9f9b4ec6f8822cd </t>
  </si>
  <si>
    <t xml:space="preserve"> Per Manua Kea C NPI applicable product is: PETMR</t>
  </si>
  <si>
    <t xml:space="preserve"> Per Manua Kea D NPI applicable product is: PETMR</t>
  </si>
  <si>
    <t>ac05628c352c42f4b9b447e7367a951d28c72c8e380713a90dd1fc24da4e4a89</t>
  </si>
  <si>
    <t>3983b5b120d89cfb951a0f3cb34933ed595335d68e6a7172dd62446774846aed</t>
  </si>
  <si>
    <t xml:space="preserve">ca03eb2e162bd828745a9ed4f89884e2b4a6c9e51e958fdc9fc1f6340899bf2e </t>
  </si>
  <si>
    <t>26b8b842da14cb06ba07f289e03b2c8e43dc473cd472378c693b303e17152a21</t>
  </si>
  <si>
    <t>DOC2842761</t>
  </si>
  <si>
    <t>DOC2842740</t>
  </si>
  <si>
    <t>DOC2842788</t>
  </si>
  <si>
    <t>FMI67939</t>
  </si>
  <si>
    <t>Tang A/FMI67946</t>
  </si>
  <si>
    <t>S</t>
  </si>
  <si>
    <t>This SW release applies to more than 1 product as noted above. Per Tang A NPI applicable products are: Prime, Victor, Aviator Air, Star Air</t>
  </si>
  <si>
    <t>Note 103</t>
  </si>
  <si>
    <t>FMI67939A provides software SV25.0_R10  to SIGNA Creator/Explorer sites installed with SV25.0      
FMI67939B provides software SV25.0_R10  to Brivo MR355/Optima MR360 sites installed with SV25.0
FMI67939C provides software SV25.0_R10  to Brivo MR355/Optima MR360 sites installed with SV23.0 or SV23.1 in China Mainland only
FMI67939D provides software SV25.0_R10  to Brivo MR355/Optima MR360 sites installed with SV20.1 in China Mainland only</t>
  </si>
  <si>
    <t>[</t>
  </si>
  <si>
    <t>This SW release applies to more than 1 product as noted above. Per Mulan NX NPI applicable products are: Prime, Victor, Aviator Air, Star Air
FMI 67944A provides software CX40.2_R01 and CX40.2_R01 Service Pack 02 to 1.5T SIGNA Prime/Victor sites installed with CX40.0/CX40.1. (Doc2907402)
FMI 67944B provides software ST28.2_R01 and ST28.2_R01 Service Pack 02 to 1.5T SIGNA Prime/Victor sites installed with ST28.0/ST28.1 in China mainland.(Doc2907402)</t>
  </si>
  <si>
    <t>/</t>
  </si>
  <si>
    <t>1. Updated FMI67944A of CX40.2_R01 with Service Pack 02 release for CX40.2 SIGNA Prime/Victor
     Updated FMI67944B of ST28.2_R01 with Service Pack 02 release for China ST28.2 SIGNA Prime/Victor
2. Added Note 99 for Tang A (FMI 67946AB) NPI applicable product are : Prime/Victor/Star Air/Aviator Air
3. Added Note 100 for FMI 67939:
     Updated FMI67939A of SV25.0_R10 for SIGNA Creator/Explorer
     Updated FMI67939B of SV25.0_R10 for Brivo MR355/Optima MR360
     Updated FMI67939C of SV25.0_R10 for China SV23.0 or SV23.1. Brivo MR355/Optima MR360 only
     Updated FMI67939D of SV25.0_R10 for China SV20.1 Brivo MR355/Optima MR360 only     
4. Added Note 101 for Manua Kea C. Per Manua Kea C NPI applicable product is: PETMR 
5. Added Note 102 for Manua Kea D. Per Manua Kea D NPI applicable product is: PETMR 
6. Added “SIGNA Star Air，SIGNA Aviator Air” columns to “Reference list”
7. Added  "PetApps, PetMrApps" columns to "SW_OS ISO Checksums_sha256"
8.  Added Note 103 for Mulan NX NPI applicable product are : Prime/Victor/Star Air/Aviator Air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</si>
</sst>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yy"/>
  </numFmts>
  <fonts count="46">
    <font>
      <sz val="11"/>
      <color theme="1"/>
      <name val="Calibri"/>
      <family val="2"/>
      <scheme val="minor"/>
    </font>
    <font>
      <sz val="11"/>
      <color theme="1"/>
      <name val="GE Inspira"/>
      <family val="2"/>
    </font>
    <font>
      <sz val="11"/>
      <name val="GE Inspira"/>
      <family val="2"/>
    </font>
    <font>
      <sz val="11"/>
      <color rgb="FF000000"/>
      <name val="GE Inspira"/>
      <family val="2"/>
    </font>
    <font>
      <sz val="11"/>
      <color theme="1"/>
      <name val="Calibri"/>
      <family val="2"/>
    </font>
    <font>
      <b/>
      <sz val="14"/>
      <color theme="0"/>
      <name val="GE Inspira"/>
      <family val="2"/>
    </font>
    <font>
      <sz val="11"/>
      <color theme="0"/>
      <name val="GE Inspira"/>
      <family val="2"/>
    </font>
    <font>
      <b/>
      <sz val="11"/>
      <color theme="1"/>
      <name val="Calibri"/>
      <family val="2"/>
      <scheme val="minor"/>
    </font>
    <font>
      <strike/>
      <sz val="11"/>
      <color theme="1"/>
      <name val="GE Inspira"/>
      <family val="2"/>
    </font>
    <font>
      <sz val="10"/>
      <name val="Arial"/>
      <family val="2"/>
    </font>
    <font>
      <b/>
      <sz val="10"/>
      <name val="GE Inspira"/>
      <family val="2"/>
    </font>
    <font>
      <sz val="10"/>
      <name val="GE Inspira"/>
      <family val="2"/>
    </font>
    <font>
      <sz val="10"/>
      <color theme="1"/>
      <name val="GE Inspira"/>
      <family val="2"/>
    </font>
    <font>
      <b/>
      <sz val="11"/>
      <color theme="0"/>
      <name val="GE Inspira"/>
      <family val="2"/>
    </font>
    <font>
      <b/>
      <sz val="10"/>
      <color theme="1"/>
      <name val="GE Inspira"/>
      <family val="2"/>
    </font>
    <font>
      <sz val="12"/>
      <color theme="1"/>
      <name val="Times New Roman"/>
      <family val="1"/>
    </font>
    <font>
      <sz val="10"/>
      <color theme="1"/>
      <name val="Calibri"/>
      <family val="2"/>
      <scheme val="minor"/>
    </font>
    <font>
      <sz val="9"/>
      <name val="Calibri"/>
      <family val="3"/>
      <charset val="134"/>
      <scheme val="minor"/>
    </font>
    <font>
      <b/>
      <sz val="11"/>
      <color theme="1"/>
      <name val="GE Inspira"/>
      <family val="2"/>
    </font>
    <font>
      <sz val="6"/>
      <color theme="1"/>
      <name val="Calibri"/>
      <family val="2"/>
      <scheme val="minor"/>
    </font>
    <font>
      <sz val="9"/>
      <color indexed="81"/>
      <name val="Tahoma"/>
      <family val="2"/>
    </font>
    <font>
      <b/>
      <sz val="9"/>
      <color indexed="81"/>
      <name val="Tahoma"/>
      <family val="2"/>
    </font>
    <font>
      <b/>
      <u/>
      <sz val="11"/>
      <color theme="1"/>
      <name val="Calibri"/>
      <family val="2"/>
      <scheme val="minor"/>
    </font>
    <font>
      <sz val="11"/>
      <color theme="1"/>
      <name val="GE Inspira Sans"/>
      <family val="2"/>
    </font>
    <font>
      <sz val="10"/>
      <color theme="1"/>
      <name val="GE Inspira Sans"/>
      <family val="2"/>
    </font>
    <font>
      <sz val="11"/>
      <color rgb="FF5C5F63"/>
      <name val="Arial"/>
      <family val="2"/>
    </font>
    <font>
      <sz val="11"/>
      <color rgb="FF5C5F63"/>
      <name val="GE Inspira"/>
      <family val="2"/>
    </font>
    <font>
      <sz val="8"/>
      <color theme="1"/>
      <name val="GE Inspira Sans"/>
      <family val="2"/>
    </font>
    <font>
      <b/>
      <sz val="11"/>
      <color theme="1"/>
      <name val="GE Inspira"/>
    </font>
    <font>
      <sz val="11"/>
      <color theme="1"/>
      <name val="GE Inspira"/>
    </font>
    <font>
      <sz val="11"/>
      <name val="GE Inspira"/>
    </font>
    <font>
      <sz val="11"/>
      <name val="Arial"/>
      <family val="2"/>
    </font>
    <font>
      <sz val="12"/>
      <color theme="1"/>
      <name val="GE Inspira"/>
    </font>
    <font>
      <sz val="8"/>
      <name val="Calibri"/>
      <family val="2"/>
      <scheme val="minor"/>
    </font>
    <font>
      <sz val="12"/>
      <color theme="1"/>
      <name val="GE Inspira"/>
      <family val="2"/>
    </font>
    <font>
      <sz val="11"/>
      <color rgb="FF3F3F76"/>
      <name val="Calibri"/>
      <family val="2"/>
      <scheme val="minor"/>
    </font>
    <font>
      <b/>
      <sz val="11"/>
      <color rgb="FF3F3F3F"/>
      <name val="Calibri"/>
      <family val="2"/>
      <scheme val="minor"/>
    </font>
    <font>
      <sz val="11"/>
      <color theme="0"/>
      <name val="Calibri"/>
      <family val="2"/>
      <scheme val="minor"/>
    </font>
    <font>
      <b/>
      <u/>
      <sz val="16"/>
      <color theme="1"/>
      <name val="Calibri"/>
      <family val="2"/>
      <scheme val="minor"/>
    </font>
    <font>
      <b/>
      <sz val="12"/>
      <color theme="1"/>
      <name val="Calibri"/>
      <family val="2"/>
      <scheme val="minor"/>
    </font>
    <font>
      <sz val="10"/>
      <color theme="1"/>
      <name val="GE Inspira"/>
    </font>
    <font>
      <sz val="11"/>
      <color rgb="FF000000"/>
      <name val="Calibri"/>
      <family val="3"/>
      <charset val="134"/>
      <scheme val="minor"/>
    </font>
    <font>
      <sz val="11"/>
      <color theme="1"/>
      <name val="Calibri"/>
      <family val="3"/>
      <charset val="134"/>
      <scheme val="minor"/>
    </font>
    <font>
      <sz val="12"/>
      <color theme="1"/>
      <name val="GE Inspira Sans"/>
      <family val="2"/>
    </font>
    <font>
      <sz val="11"/>
      <color rgb="FFFF0000"/>
      <name val="GE Inspira"/>
    </font>
    <font>
      <sz val="11"/>
      <color theme="1"/>
      <name val="Arial"/>
      <family val="2"/>
    </font>
  </fonts>
  <fills count="2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3"/>
        <bgColor indexed="64"/>
      </patternFill>
    </fill>
    <fill>
      <patternFill patternType="solid">
        <fgColor theme="4"/>
        <bgColor indexed="64"/>
      </patternFill>
    </fill>
    <fill>
      <patternFill patternType="solid">
        <fgColor theme="5"/>
        <bgColor indexed="64"/>
      </patternFill>
    </fill>
    <fill>
      <patternFill patternType="solid">
        <fgColor theme="9" tint="-0.249977111117893"/>
        <bgColor indexed="64"/>
      </patternFill>
    </fill>
    <fill>
      <patternFill patternType="solid">
        <fgColor indexed="22"/>
        <bgColor indexed="64"/>
      </patternFill>
    </fill>
    <fill>
      <patternFill patternType="solid">
        <fgColor theme="3" tint="-0.249977111117893"/>
        <bgColor indexed="64"/>
      </patternFill>
    </fill>
    <fill>
      <patternFill patternType="solid">
        <fgColor rgb="FFFFC000"/>
        <bgColor indexed="64"/>
      </patternFill>
    </fill>
    <fill>
      <patternFill patternType="solid">
        <fgColor theme="4" tint="0.39997558519241921"/>
        <bgColor indexed="64"/>
      </patternFill>
    </fill>
    <fill>
      <patternFill patternType="solid">
        <fgColor theme="4" tint="0.59999389629810485"/>
        <bgColor indexed="64"/>
      </patternFill>
    </fill>
    <fill>
      <patternFill patternType="solid">
        <fgColor theme="7" tint="-0.249977111117893"/>
        <bgColor indexed="64"/>
      </patternFill>
    </fill>
    <fill>
      <patternFill patternType="solid">
        <fgColor rgb="FF008000"/>
        <bgColor indexed="64"/>
      </patternFill>
    </fill>
    <fill>
      <patternFill patternType="solid">
        <fgColor rgb="FFFFCC99"/>
      </patternFill>
    </fill>
    <fill>
      <patternFill patternType="solid">
        <fgColor rgb="FFF2F2F2"/>
      </patternFill>
    </fill>
    <fill>
      <patternFill patternType="solid">
        <fgColor theme="5" tint="0.79998168889431442"/>
        <bgColor indexed="64"/>
      </patternFill>
    </fill>
    <fill>
      <patternFill patternType="solid">
        <fgColor theme="3" tint="0.79998168889431442"/>
        <bgColor indexed="64"/>
      </patternFill>
    </fill>
    <fill>
      <patternFill patternType="solid">
        <fgColor theme="0" tint="-0.34998626667073579"/>
        <bgColor indexed="64"/>
      </patternFill>
    </fill>
    <fill>
      <patternFill patternType="solid">
        <fgColor theme="7" tint="0.79998168889431442"/>
        <bgColor indexed="64"/>
      </patternFill>
    </fill>
    <fill>
      <patternFill patternType="solid">
        <fgColor rgb="FFFF0000"/>
        <bgColor indexed="64"/>
      </patternFill>
    </fill>
    <fill>
      <patternFill patternType="solid">
        <fgColor rgb="FFCC6600"/>
        <bgColor indexed="64"/>
      </patternFill>
    </fill>
    <fill>
      <patternFill patternType="solid">
        <fgColor rgb="FF336600"/>
        <bgColor indexed="64"/>
      </patternFill>
    </fill>
    <fill>
      <patternFill patternType="solid">
        <fgColor rgb="FFC00000"/>
        <bgColor indexed="64"/>
      </patternFill>
    </fill>
  </fills>
  <borders count="4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medium">
        <color indexed="64"/>
      </left>
      <right style="thin">
        <color indexed="64"/>
      </right>
      <top style="thin">
        <color indexed="64"/>
      </top>
      <bottom style="thin">
        <color indexed="64"/>
      </bottom>
      <diagonal/>
    </border>
    <border>
      <left style="thin">
        <color rgb="FF7F7F7F"/>
      </left>
      <right style="medium">
        <color indexed="64"/>
      </right>
      <top style="thin">
        <color rgb="FF7F7F7F"/>
      </top>
      <bottom style="thin">
        <color rgb="FF7F7F7F"/>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auto="1"/>
      </left>
      <right/>
      <top/>
      <bottom style="thin">
        <color indexed="64"/>
      </bottom>
      <diagonal/>
    </border>
    <border>
      <left/>
      <right style="medium">
        <color auto="1"/>
      </right>
      <top/>
      <bottom style="thin">
        <color indexed="64"/>
      </bottom>
      <diagonal/>
    </border>
    <border>
      <left style="thin">
        <color indexed="64"/>
      </left>
      <right/>
      <top style="thin">
        <color rgb="FF7F7F7F"/>
      </top>
      <bottom style="thin">
        <color rgb="FF7F7F7F"/>
      </bottom>
      <diagonal/>
    </border>
    <border>
      <left/>
      <right style="medium">
        <color indexed="64"/>
      </right>
      <top style="thin">
        <color rgb="FF7F7F7F"/>
      </top>
      <bottom style="thin">
        <color rgb="FF7F7F7F"/>
      </bottom>
      <diagonal/>
    </border>
    <border>
      <left style="thin">
        <color indexed="64"/>
      </left>
      <right/>
      <top style="thin">
        <color rgb="FF7F7F7F"/>
      </top>
      <bottom style="thin">
        <color indexed="64"/>
      </bottom>
      <diagonal/>
    </border>
    <border>
      <left/>
      <right style="medium">
        <color indexed="64"/>
      </right>
      <top style="thin">
        <color rgb="FF7F7F7F"/>
      </top>
      <bottom style="thin">
        <color indexed="64"/>
      </bottom>
      <diagonal/>
    </border>
    <border>
      <left style="thin">
        <color indexed="64"/>
      </left>
      <right style="thin">
        <color rgb="FF3F3F3F"/>
      </right>
      <top style="thin">
        <color indexed="64"/>
      </top>
      <bottom style="thin">
        <color indexed="64"/>
      </bottom>
      <diagonal/>
    </border>
    <border>
      <left style="thin">
        <color rgb="FF3F3F3F"/>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diagonal/>
    </border>
    <border>
      <left/>
      <right style="thin">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thin">
        <color rgb="FF3F3F3F"/>
      </right>
      <top style="thin">
        <color indexed="64"/>
      </top>
      <bottom style="thin">
        <color indexed="64"/>
      </bottom>
      <diagonal/>
    </border>
    <border>
      <left style="thin">
        <color rgb="FF3F3F3F"/>
      </left>
      <right style="medium">
        <color indexed="64"/>
      </right>
      <top style="thin">
        <color indexed="64"/>
      </top>
      <bottom style="thin">
        <color indexed="64"/>
      </bottom>
      <diagonal/>
    </border>
  </borders>
  <cellStyleXfs count="4">
    <xf numFmtId="0" fontId="0" fillId="0" borderId="0"/>
    <xf numFmtId="0" fontId="9" fillId="0" borderId="0"/>
    <xf numFmtId="0" fontId="35" fillId="15" borderId="11" applyNumberFormat="0" applyAlignment="0" applyProtection="0"/>
    <xf numFmtId="0" fontId="36" fillId="16" borderId="12" applyNumberFormat="0" applyAlignment="0" applyProtection="0"/>
  </cellStyleXfs>
  <cellXfs count="316">
    <xf numFmtId="0" fontId="0" fillId="0" borderId="0" xfId="0"/>
    <xf numFmtId="0" fontId="1" fillId="2" borderId="1" xfId="0" applyFont="1" applyFill="1" applyBorder="1" applyAlignment="1">
      <alignment vertical="center" wrapText="1"/>
    </xf>
    <xf numFmtId="0" fontId="2" fillId="0" borderId="1" xfId="0" applyFont="1" applyFill="1" applyBorder="1" applyAlignment="1">
      <alignment vertical="center" wrapText="1"/>
    </xf>
    <xf numFmtId="0" fontId="1" fillId="0" borderId="1" xfId="0" applyFont="1" applyFill="1" applyBorder="1" applyAlignment="1">
      <alignment vertical="center" wrapText="1"/>
    </xf>
    <xf numFmtId="0" fontId="1" fillId="3" borderId="1" xfId="0" applyFont="1" applyFill="1" applyBorder="1" applyAlignment="1">
      <alignment vertical="center" wrapText="1"/>
    </xf>
    <xf numFmtId="0" fontId="3" fillId="0" borderId="1" xfId="0" applyFont="1" applyBorder="1" applyAlignment="1">
      <alignment vertical="center" wrapText="1"/>
    </xf>
    <xf numFmtId="49" fontId="1" fillId="0" borderId="1" xfId="0" applyNumberFormat="1" applyFont="1" applyFill="1" applyBorder="1" applyAlignment="1">
      <alignment horizontal="left" vertical="center" wrapText="1"/>
    </xf>
    <xf numFmtId="49" fontId="1" fillId="3" borderId="1" xfId="0" applyNumberFormat="1" applyFont="1" applyFill="1" applyBorder="1" applyAlignment="1">
      <alignment horizontal="left" vertical="center" wrapText="1"/>
    </xf>
    <xf numFmtId="49" fontId="3" fillId="0" borderId="1" xfId="0" applyNumberFormat="1" applyFont="1" applyFill="1" applyBorder="1" applyAlignment="1">
      <alignment horizontal="left" vertical="center" wrapText="1"/>
    </xf>
    <xf numFmtId="49" fontId="2" fillId="0" borderId="1" xfId="0" applyNumberFormat="1" applyFont="1" applyFill="1" applyBorder="1" applyAlignment="1">
      <alignment horizontal="left" vertical="center" wrapText="1"/>
    </xf>
    <xf numFmtId="49" fontId="0" fillId="0" borderId="0" xfId="0" applyNumberFormat="1" applyAlignment="1">
      <alignment horizontal="left"/>
    </xf>
    <xf numFmtId="49" fontId="0" fillId="0" borderId="0" xfId="0" applyNumberFormat="1" applyFill="1" applyAlignment="1">
      <alignment horizontal="left"/>
    </xf>
    <xf numFmtId="49" fontId="6" fillId="4" borderId="1" xfId="0" applyNumberFormat="1" applyFont="1" applyFill="1" applyBorder="1" applyAlignment="1">
      <alignment horizontal="center" vertical="center" wrapText="1"/>
    </xf>
    <xf numFmtId="49" fontId="6" fillId="5" borderId="1" xfId="0" applyNumberFormat="1" applyFont="1" applyFill="1" applyBorder="1" applyAlignment="1">
      <alignment horizontal="center" vertical="center" wrapText="1"/>
    </xf>
    <xf numFmtId="49" fontId="6" fillId="6" borderId="1" xfId="0" applyNumberFormat="1" applyFont="1" applyFill="1" applyBorder="1" applyAlignment="1">
      <alignment horizontal="center" vertical="center" wrapText="1"/>
    </xf>
    <xf numFmtId="49" fontId="6" fillId="7" borderId="1" xfId="0" applyNumberFormat="1" applyFont="1" applyFill="1" applyBorder="1" applyAlignment="1">
      <alignment horizontal="center" vertical="center" wrapText="1"/>
    </xf>
    <xf numFmtId="0" fontId="7" fillId="0" borderId="1" xfId="0" applyFont="1" applyBorder="1"/>
    <xf numFmtId="0" fontId="0" fillId="0" borderId="1" xfId="0" applyBorder="1"/>
    <xf numFmtId="0" fontId="1" fillId="2" borderId="1" xfId="0" applyFont="1" applyFill="1" applyBorder="1" applyAlignment="1">
      <alignment horizontal="left"/>
    </xf>
    <xf numFmtId="0" fontId="1" fillId="2" borderId="1" xfId="0" applyFont="1" applyFill="1" applyBorder="1" applyAlignment="1">
      <alignment wrapText="1"/>
    </xf>
    <xf numFmtId="0" fontId="1" fillId="2" borderId="1" xfId="0" applyFont="1" applyFill="1" applyBorder="1" applyAlignment="1">
      <alignment horizontal="center" wrapText="1"/>
    </xf>
    <xf numFmtId="0" fontId="0" fillId="0" borderId="1" xfId="0" applyBorder="1" applyAlignment="1">
      <alignment wrapText="1"/>
    </xf>
    <xf numFmtId="0" fontId="3" fillId="0" borderId="1" xfId="0" applyFont="1" applyBorder="1" applyAlignment="1">
      <alignment horizontal="left" vertical="center" wrapText="1"/>
    </xf>
    <xf numFmtId="0" fontId="1" fillId="0" borderId="1" xfId="0" applyFont="1" applyBorder="1" applyAlignment="1">
      <alignment horizontal="left"/>
    </xf>
    <xf numFmtId="0" fontId="1" fillId="2" borderId="1" xfId="0" applyFont="1" applyFill="1" applyBorder="1" applyAlignment="1">
      <alignment horizontal="left" wrapText="1"/>
    </xf>
    <xf numFmtId="0" fontId="8" fillId="2" borderId="1" xfId="0" applyFont="1" applyFill="1" applyBorder="1" applyAlignment="1">
      <alignment wrapText="1"/>
    </xf>
    <xf numFmtId="0" fontId="8" fillId="2" borderId="1" xfId="0" applyFont="1" applyFill="1" applyBorder="1" applyAlignment="1">
      <alignment horizontal="center" wrapText="1"/>
    </xf>
    <xf numFmtId="0" fontId="0" fillId="0" borderId="1" xfId="0" applyFont="1" applyFill="1" applyBorder="1" applyAlignment="1">
      <alignment horizontal="left" vertical="top"/>
    </xf>
    <xf numFmtId="0" fontId="2" fillId="2" borderId="1" xfId="0" applyFont="1" applyFill="1" applyBorder="1" applyAlignment="1">
      <alignment horizontal="left" wrapText="1"/>
    </xf>
    <xf numFmtId="0" fontId="1" fillId="0" borderId="1" xfId="0" applyFont="1" applyBorder="1" applyAlignment="1">
      <alignment horizontal="center" wrapText="1"/>
    </xf>
    <xf numFmtId="0" fontId="3" fillId="0" borderId="1" xfId="0" applyFont="1" applyFill="1" applyBorder="1" applyAlignment="1">
      <alignment horizontal="left" vertical="center" wrapText="1"/>
    </xf>
    <xf numFmtId="0" fontId="1" fillId="2" borderId="1" xfId="0" applyFont="1" applyFill="1" applyBorder="1" applyAlignment="1">
      <alignment vertical="center"/>
    </xf>
    <xf numFmtId="0" fontId="1" fillId="0" borderId="1" xfId="0" applyFont="1" applyBorder="1" applyAlignment="1">
      <alignment wrapText="1"/>
    </xf>
    <xf numFmtId="0" fontId="1" fillId="0" borderId="1" xfId="0" applyFont="1" applyBorder="1" applyAlignment="1">
      <alignment vertical="center"/>
    </xf>
    <xf numFmtId="0" fontId="1" fillId="0" borderId="1" xfId="0" applyFont="1" applyBorder="1" applyAlignment="1">
      <alignment horizontal="left" wrapText="1"/>
    </xf>
    <xf numFmtId="0" fontId="3" fillId="0" borderId="1" xfId="0" applyFont="1" applyFill="1" applyBorder="1" applyAlignment="1">
      <alignment vertical="center" wrapText="1"/>
    </xf>
    <xf numFmtId="0" fontId="2" fillId="2" borderId="1" xfId="0" applyFont="1" applyFill="1" applyBorder="1" applyAlignment="1">
      <alignment wrapText="1"/>
    </xf>
    <xf numFmtId="0" fontId="1" fillId="0" borderId="0" xfId="0" applyFont="1"/>
    <xf numFmtId="0" fontId="10" fillId="8" borderId="1" xfId="1" applyFont="1" applyFill="1" applyBorder="1" applyAlignment="1">
      <alignment vertical="top" wrapText="1"/>
    </xf>
    <xf numFmtId="0" fontId="10" fillId="8" borderId="1" xfId="1" applyFont="1" applyFill="1" applyBorder="1" applyAlignment="1">
      <alignment horizontal="center" vertical="top" wrapText="1"/>
    </xf>
    <xf numFmtId="0" fontId="11" fillId="0" borderId="1" xfId="1" applyFont="1" applyBorder="1" applyAlignment="1">
      <alignment horizontal="center" vertical="center" wrapText="1"/>
    </xf>
    <xf numFmtId="0" fontId="11" fillId="0" borderId="1" xfId="1" applyFont="1" applyBorder="1" applyAlignment="1">
      <alignment horizontal="left" vertical="top" wrapText="1"/>
    </xf>
    <xf numFmtId="0" fontId="11" fillId="0" borderId="1" xfId="1" applyFont="1" applyFill="1" applyBorder="1" applyAlignment="1">
      <alignment horizontal="center" vertical="center" wrapText="1"/>
    </xf>
    <xf numFmtId="0" fontId="11" fillId="0" borderId="1" xfId="1" applyFont="1" applyFill="1" applyBorder="1" applyAlignment="1">
      <alignment horizontal="left" vertical="top" wrapText="1"/>
    </xf>
    <xf numFmtId="0" fontId="12" fillId="0" borderId="1" xfId="0" applyFont="1" applyBorder="1" applyAlignment="1">
      <alignment horizontal="center" vertical="center"/>
    </xf>
    <xf numFmtId="0" fontId="12" fillId="0" borderId="1" xfId="0" applyFont="1" applyFill="1" applyBorder="1" applyAlignment="1">
      <alignment horizontal="left" vertical="top" wrapText="1"/>
    </xf>
    <xf numFmtId="0" fontId="12" fillId="0" borderId="1" xfId="0" applyFont="1" applyFill="1" applyBorder="1" applyAlignment="1">
      <alignment horizontal="left" vertical="top"/>
    </xf>
    <xf numFmtId="0" fontId="11" fillId="2" borderId="1" xfId="1" applyFont="1" applyFill="1" applyBorder="1" applyAlignment="1">
      <alignment horizontal="left" vertical="top" wrapText="1"/>
    </xf>
    <xf numFmtId="0" fontId="12" fillId="2" borderId="1" xfId="0" applyFont="1" applyFill="1" applyBorder="1" applyAlignment="1">
      <alignment horizontal="left" vertical="top" wrapText="1"/>
    </xf>
    <xf numFmtId="0" fontId="12" fillId="0" borderId="1" xfId="0" applyFont="1" applyFill="1" applyBorder="1" applyAlignment="1">
      <alignment horizontal="center" vertical="center"/>
    </xf>
    <xf numFmtId="0" fontId="11" fillId="0" borderId="1" xfId="0" applyFont="1" applyFill="1" applyBorder="1" applyAlignment="1">
      <alignment horizontal="center" vertical="center"/>
    </xf>
    <xf numFmtId="0" fontId="11" fillId="0" borderId="1" xfId="0" applyFont="1" applyFill="1" applyBorder="1" applyAlignment="1">
      <alignment horizontal="left" vertical="top"/>
    </xf>
    <xf numFmtId="0" fontId="12" fillId="0" borderId="1" xfId="0" applyFont="1" applyBorder="1" applyAlignment="1">
      <alignment wrapText="1"/>
    </xf>
    <xf numFmtId="0" fontId="12" fillId="0" borderId="1" xfId="0" applyFont="1" applyBorder="1"/>
    <xf numFmtId="0" fontId="12" fillId="0" borderId="1" xfId="0" applyFont="1" applyBorder="1" applyAlignment="1">
      <alignment vertical="top" wrapText="1"/>
    </xf>
    <xf numFmtId="0" fontId="12" fillId="0" borderId="1" xfId="0" applyFont="1" applyBorder="1" applyAlignment="1">
      <alignment vertical="top"/>
    </xf>
    <xf numFmtId="0" fontId="12" fillId="0" borderId="1" xfId="0" applyFont="1" applyBorder="1" applyAlignment="1">
      <alignment horizontal="left" vertical="top" wrapText="1"/>
    </xf>
    <xf numFmtId="0" fontId="12" fillId="0" borderId="1" xfId="0" applyFont="1" applyBorder="1" applyAlignment="1">
      <alignment horizontal="left" vertical="top"/>
    </xf>
    <xf numFmtId="0" fontId="13" fillId="9" borderId="4" xfId="0" applyFont="1" applyFill="1" applyBorder="1"/>
    <xf numFmtId="0" fontId="13" fillId="9" borderId="5" xfId="0" applyFont="1" applyFill="1" applyBorder="1"/>
    <xf numFmtId="0" fontId="13" fillId="9" borderId="6" xfId="0" applyFont="1" applyFill="1" applyBorder="1"/>
    <xf numFmtId="0" fontId="7" fillId="0" borderId="0" xfId="0" applyFont="1"/>
    <xf numFmtId="49" fontId="6" fillId="10" borderId="1" xfId="0" applyNumberFormat="1" applyFont="1" applyFill="1" applyBorder="1" applyAlignment="1">
      <alignment horizontal="center" vertical="center" wrapText="1"/>
    </xf>
    <xf numFmtId="49" fontId="1" fillId="0" borderId="7" xfId="0" applyNumberFormat="1" applyFont="1" applyFill="1" applyBorder="1" applyAlignment="1">
      <alignment horizontal="left" vertical="center" wrapText="1"/>
    </xf>
    <xf numFmtId="49" fontId="1" fillId="0" borderId="8" xfId="0" applyNumberFormat="1" applyFont="1" applyFill="1" applyBorder="1" applyAlignment="1">
      <alignment horizontal="left" vertical="center" wrapText="1"/>
    </xf>
    <xf numFmtId="49" fontId="2" fillId="0" borderId="7" xfId="0" applyNumberFormat="1" applyFont="1" applyFill="1" applyBorder="1" applyAlignment="1">
      <alignment horizontal="left" vertical="center" wrapText="1"/>
    </xf>
    <xf numFmtId="49" fontId="2" fillId="0" borderId="8" xfId="0" applyNumberFormat="1" applyFont="1" applyFill="1" applyBorder="1" applyAlignment="1">
      <alignment horizontal="left" vertical="center" wrapText="1"/>
    </xf>
    <xf numFmtId="49" fontId="4" fillId="0" borderId="7" xfId="0" applyNumberFormat="1" applyFont="1" applyFill="1" applyBorder="1" applyAlignment="1">
      <alignment horizontal="left" vertical="center" wrapText="1"/>
    </xf>
    <xf numFmtId="0" fontId="0" fillId="0" borderId="0" xfId="0" applyFill="1"/>
    <xf numFmtId="49" fontId="0" fillId="0" borderId="1" xfId="0" applyNumberFormat="1" applyBorder="1"/>
    <xf numFmtId="0" fontId="1" fillId="0" borderId="1" xfId="0" applyNumberFormat="1" applyFont="1" applyFill="1" applyBorder="1" applyAlignment="1">
      <alignment horizontal="left" vertical="center" wrapText="1"/>
    </xf>
    <xf numFmtId="0" fontId="15" fillId="0" borderId="0" xfId="0" applyFont="1" applyAlignment="1">
      <alignment vertical="center" wrapText="1"/>
    </xf>
    <xf numFmtId="0" fontId="16" fillId="0" borderId="0" xfId="0" applyFont="1" applyAlignment="1">
      <alignment vertical="center"/>
    </xf>
    <xf numFmtId="0" fontId="0" fillId="0" borderId="1" xfId="0" applyFill="1" applyBorder="1" applyAlignment="1">
      <alignment wrapText="1"/>
    </xf>
    <xf numFmtId="0" fontId="0" fillId="0" borderId="1" xfId="0" applyFill="1" applyBorder="1"/>
    <xf numFmtId="0" fontId="0" fillId="0" borderId="1" xfId="0" applyBorder="1" applyAlignment="1">
      <alignment horizontal="center" vertical="center"/>
    </xf>
    <xf numFmtId="0" fontId="0" fillId="0" borderId="1" xfId="0" applyBorder="1" applyAlignment="1">
      <alignment horizontal="left" vertical="center" wrapText="1"/>
    </xf>
    <xf numFmtId="0" fontId="0" fillId="0" borderId="8" xfId="0" applyFill="1" applyBorder="1" applyAlignment="1">
      <alignment horizontal="left"/>
    </xf>
    <xf numFmtId="49" fontId="1" fillId="0" borderId="9" xfId="0" applyNumberFormat="1" applyFont="1" applyFill="1" applyBorder="1" applyAlignment="1">
      <alignment horizontal="left" vertical="center" wrapText="1"/>
    </xf>
    <xf numFmtId="49" fontId="0" fillId="0" borderId="1" xfId="0" applyNumberFormat="1" applyBorder="1" applyAlignment="1">
      <alignment horizontal="left"/>
    </xf>
    <xf numFmtId="49" fontId="0" fillId="0" borderId="1" xfId="0" applyNumberFormat="1" applyBorder="1" applyAlignment="1">
      <alignment horizontal="left" wrapText="1"/>
    </xf>
    <xf numFmtId="0" fontId="12" fillId="0" borderId="10" xfId="0" applyFont="1" applyFill="1" applyBorder="1" applyAlignment="1">
      <alignment horizontal="center" vertical="center"/>
    </xf>
    <xf numFmtId="49" fontId="0" fillId="0" borderId="1" xfId="0" applyNumberFormat="1" applyFill="1" applyBorder="1" applyAlignment="1">
      <alignment horizontal="left"/>
    </xf>
    <xf numFmtId="49" fontId="0" fillId="0" borderId="1" xfId="0" applyNumberFormat="1" applyBorder="1" applyAlignment="1">
      <alignment horizontal="left" vertical="top"/>
    </xf>
    <xf numFmtId="49" fontId="1" fillId="0" borderId="1" xfId="0" applyNumberFormat="1" applyFont="1" applyFill="1" applyBorder="1" applyAlignment="1">
      <alignment horizontal="left" vertical="top" wrapText="1"/>
    </xf>
    <xf numFmtId="0" fontId="1" fillId="0" borderId="1" xfId="0" applyNumberFormat="1" applyFont="1" applyFill="1" applyBorder="1" applyAlignment="1">
      <alignment horizontal="left" vertical="top" wrapText="1"/>
    </xf>
    <xf numFmtId="49" fontId="0" fillId="0" borderId="0" xfId="0" applyNumberFormat="1" applyAlignment="1">
      <alignment horizontal="left" vertical="top"/>
    </xf>
    <xf numFmtId="0" fontId="0" fillId="0" borderId="9" xfId="0" applyBorder="1"/>
    <xf numFmtId="0" fontId="12" fillId="0" borderId="9" xfId="0" applyFont="1" applyBorder="1" applyAlignment="1">
      <alignment horizontal="left" vertical="top" wrapText="1"/>
    </xf>
    <xf numFmtId="0" fontId="19" fillId="0" borderId="1" xfId="0" applyFont="1" applyBorder="1" applyAlignment="1">
      <alignment wrapText="1"/>
    </xf>
    <xf numFmtId="0" fontId="16" fillId="0" borderId="1" xfId="0" applyFont="1" applyFill="1" applyBorder="1" applyAlignment="1">
      <alignment horizontal="left" vertical="top" wrapText="1"/>
    </xf>
    <xf numFmtId="0" fontId="0" fillId="0" borderId="1" xfId="0" applyBorder="1" applyAlignment="1">
      <alignment horizontal="left" vertical="top" wrapText="1"/>
    </xf>
    <xf numFmtId="0" fontId="12" fillId="0" borderId="10" xfId="0" applyFont="1" applyFill="1" applyBorder="1" applyAlignment="1">
      <alignment horizontal="left" vertical="top" wrapText="1"/>
    </xf>
    <xf numFmtId="0" fontId="0" fillId="0" borderId="10" xfId="0" applyFill="1" applyBorder="1"/>
    <xf numFmtId="0" fontId="22" fillId="0" borderId="0" xfId="0" applyFont="1"/>
    <xf numFmtId="0" fontId="0" fillId="0" borderId="0" xfId="0" applyAlignment="1">
      <alignment wrapText="1"/>
    </xf>
    <xf numFmtId="49" fontId="23" fillId="0" borderId="1" xfId="0" applyNumberFormat="1" applyFont="1" applyBorder="1" applyAlignment="1">
      <alignment horizontal="left"/>
    </xf>
    <xf numFmtId="0" fontId="24" fillId="0" borderId="1" xfId="0" applyFont="1" applyBorder="1" applyAlignment="1">
      <alignment wrapText="1"/>
    </xf>
    <xf numFmtId="49" fontId="26" fillId="0" borderId="8" xfId="0" applyNumberFormat="1" applyFont="1" applyFill="1" applyBorder="1" applyAlignment="1">
      <alignment horizontal="left" vertical="center" wrapText="1"/>
    </xf>
    <xf numFmtId="0" fontId="27" fillId="0" borderId="1" xfId="0" applyFont="1" applyBorder="1" applyAlignment="1">
      <alignment wrapText="1"/>
    </xf>
    <xf numFmtId="0" fontId="0" fillId="11" borderId="1" xfId="0" applyFill="1" applyBorder="1"/>
    <xf numFmtId="11" fontId="0" fillId="0" borderId="1" xfId="0" applyNumberFormat="1" applyBorder="1"/>
    <xf numFmtId="49" fontId="1" fillId="0" borderId="1" xfId="0" applyNumberFormat="1" applyFont="1" applyFill="1" applyBorder="1" applyAlignment="1">
      <alignment horizontal="left" vertical="center" wrapText="1"/>
    </xf>
    <xf numFmtId="49" fontId="2" fillId="0" borderId="1" xfId="0" applyNumberFormat="1" applyFont="1" applyFill="1" applyBorder="1" applyAlignment="1">
      <alignment horizontal="left" vertical="center" wrapText="1"/>
    </xf>
    <xf numFmtId="0" fontId="0" fillId="0" borderId="1" xfId="0" applyBorder="1"/>
    <xf numFmtId="0" fontId="0" fillId="0" borderId="1" xfId="0" applyBorder="1" applyAlignment="1">
      <alignment wrapText="1"/>
    </xf>
    <xf numFmtId="0" fontId="27" fillId="0" borderId="10" xfId="0" applyFont="1" applyFill="1" applyBorder="1" applyAlignment="1">
      <alignment wrapText="1"/>
    </xf>
    <xf numFmtId="0" fontId="0" fillId="0" borderId="10" xfId="0" applyFill="1" applyBorder="1" applyAlignment="1">
      <alignment wrapText="1"/>
    </xf>
    <xf numFmtId="49" fontId="1" fillId="0" borderId="7" xfId="0" applyNumberFormat="1" applyFont="1" applyBorder="1" applyAlignment="1">
      <alignment horizontal="left" vertical="center" wrapText="1"/>
    </xf>
    <xf numFmtId="49" fontId="1" fillId="0" borderId="1" xfId="0" applyNumberFormat="1" applyFont="1" applyBorder="1" applyAlignment="1">
      <alignment horizontal="left" vertical="center" wrapText="1"/>
    </xf>
    <xf numFmtId="0" fontId="6" fillId="11" borderId="2" xfId="0" applyFont="1" applyFill="1" applyBorder="1" applyAlignment="1">
      <alignment vertical="center" wrapText="1"/>
    </xf>
    <xf numFmtId="0" fontId="6" fillId="0" borderId="2" xfId="0" applyFont="1" applyBorder="1" applyAlignment="1">
      <alignment vertical="center" wrapText="1"/>
    </xf>
    <xf numFmtId="0" fontId="0" fillId="0" borderId="9" xfId="0" applyBorder="1" applyAlignment="1">
      <alignment wrapText="1"/>
    </xf>
    <xf numFmtId="0" fontId="27" fillId="0" borderId="1" xfId="0" applyFont="1" applyFill="1" applyBorder="1" applyAlignment="1">
      <alignment wrapText="1"/>
    </xf>
    <xf numFmtId="11" fontId="0" fillId="0" borderId="1" xfId="0" applyNumberFormat="1" applyFill="1" applyBorder="1"/>
    <xf numFmtId="49" fontId="2" fillId="3" borderId="1" xfId="0" applyNumberFormat="1" applyFont="1" applyFill="1" applyBorder="1" applyAlignment="1">
      <alignment horizontal="left" vertical="center" wrapText="1"/>
    </xf>
    <xf numFmtId="11" fontId="0" fillId="0" borderId="1" xfId="0" applyNumberFormat="1" applyFill="1" applyBorder="1" applyAlignment="1">
      <alignment wrapText="1"/>
    </xf>
    <xf numFmtId="49" fontId="2" fillId="0" borderId="1" xfId="0" applyNumberFormat="1" applyFont="1" applyBorder="1" applyAlignment="1">
      <alignment horizontal="left" vertical="center" wrapText="1"/>
    </xf>
    <xf numFmtId="0" fontId="31" fillId="0" borderId="1" xfId="0" applyFont="1" applyBorder="1" applyAlignment="1">
      <alignment vertical="center"/>
    </xf>
    <xf numFmtId="49" fontId="26" fillId="0" borderId="7" xfId="0" applyNumberFormat="1" applyFont="1" applyFill="1" applyBorder="1" applyAlignment="1">
      <alignment horizontal="left" vertical="center" wrapText="1"/>
    </xf>
    <xf numFmtId="49" fontId="32" fillId="0" borderId="1" xfId="0" applyNumberFormat="1" applyFont="1" applyBorder="1" applyAlignment="1">
      <alignment horizontal="left" vertical="center"/>
    </xf>
    <xf numFmtId="49" fontId="32" fillId="0" borderId="1" xfId="0" applyNumberFormat="1" applyFont="1" applyBorder="1" applyAlignment="1">
      <alignment horizontal="left" vertical="center" wrapText="1"/>
    </xf>
    <xf numFmtId="49" fontId="34" fillId="0" borderId="1" xfId="0" applyNumberFormat="1" applyFont="1" applyFill="1" applyBorder="1" applyAlignment="1">
      <alignment horizontal="left" vertical="center" wrapText="1"/>
    </xf>
    <xf numFmtId="0" fontId="25" fillId="0" borderId="0" xfId="0" applyFont="1" applyBorder="1" applyAlignment="1">
      <alignment vertical="center"/>
    </xf>
    <xf numFmtId="0" fontId="25" fillId="3" borderId="0" xfId="0" applyFont="1" applyFill="1" applyBorder="1" applyAlignment="1">
      <alignment vertical="center" wrapText="1"/>
    </xf>
    <xf numFmtId="49" fontId="0" fillId="0" borderId="0" xfId="0" applyNumberFormat="1" applyBorder="1" applyAlignment="1">
      <alignment horizontal="left"/>
    </xf>
    <xf numFmtId="0" fontId="0" fillId="0" borderId="1" xfId="0" applyBorder="1" applyAlignment="1">
      <alignment horizontal="left" wrapText="1"/>
    </xf>
    <xf numFmtId="49" fontId="6" fillId="13" borderId="1" xfId="0" applyNumberFormat="1" applyFont="1" applyFill="1" applyBorder="1" applyAlignment="1">
      <alignment horizontal="center" vertical="center" wrapText="1"/>
    </xf>
    <xf numFmtId="49" fontId="6" fillId="14" borderId="1" xfId="0" applyNumberFormat="1" applyFont="1" applyFill="1" applyBorder="1" applyAlignment="1">
      <alignment horizontal="center" vertical="center" wrapText="1"/>
    </xf>
    <xf numFmtId="49" fontId="2" fillId="0" borderId="0" xfId="0" applyNumberFormat="1" applyFont="1" applyBorder="1" applyAlignment="1">
      <alignment horizontal="left" vertical="center" wrapText="1"/>
    </xf>
    <xf numFmtId="49" fontId="3" fillId="0" borderId="1" xfId="0" applyNumberFormat="1" applyFont="1" applyBorder="1" applyAlignment="1">
      <alignment horizontal="left" vertical="center" wrapText="1"/>
    </xf>
    <xf numFmtId="0" fontId="0" fillId="0" borderId="0" xfId="0" applyAlignment="1" applyProtection="1">
      <alignment vertical="top"/>
      <protection locked="0"/>
    </xf>
    <xf numFmtId="0" fontId="38" fillId="0" borderId="0" xfId="0" applyFont="1"/>
    <xf numFmtId="0" fontId="39" fillId="17" borderId="4" xfId="0" applyFont="1" applyFill="1" applyBorder="1" applyAlignment="1">
      <alignment horizontal="center"/>
    </xf>
    <xf numFmtId="0" fontId="39" fillId="17" borderId="5" xfId="0" applyFont="1" applyFill="1" applyBorder="1" applyAlignment="1">
      <alignment horizontal="center"/>
    </xf>
    <xf numFmtId="0" fontId="12" fillId="18" borderId="13" xfId="0" applyFont="1" applyFill="1" applyBorder="1" applyAlignment="1">
      <alignment vertical="center"/>
    </xf>
    <xf numFmtId="49" fontId="12" fillId="18" borderId="1" xfId="0" applyNumberFormat="1" applyFont="1" applyFill="1" applyBorder="1" applyAlignment="1">
      <alignment vertical="center" wrapText="1"/>
    </xf>
    <xf numFmtId="0" fontId="12" fillId="18" borderId="15" xfId="0" applyFont="1" applyFill="1" applyBorder="1" applyAlignment="1">
      <alignment vertical="center"/>
    </xf>
    <xf numFmtId="0" fontId="12" fillId="18" borderId="9" xfId="0" applyFont="1" applyFill="1" applyBorder="1" applyAlignment="1">
      <alignment vertical="center" wrapText="1"/>
    </xf>
    <xf numFmtId="0" fontId="12" fillId="18" borderId="1" xfId="0" applyFont="1" applyFill="1" applyBorder="1" applyAlignment="1">
      <alignment vertical="center" wrapText="1"/>
    </xf>
    <xf numFmtId="0" fontId="12" fillId="18" borderId="17" xfId="0" applyFont="1" applyFill="1" applyBorder="1" applyAlignment="1">
      <alignment vertical="center"/>
    </xf>
    <xf numFmtId="0" fontId="12" fillId="18" borderId="10" xfId="0" applyFont="1" applyFill="1" applyBorder="1" applyAlignment="1">
      <alignment vertical="center" wrapText="1"/>
    </xf>
    <xf numFmtId="0" fontId="35" fillId="15" borderId="10" xfId="2" applyBorder="1" applyAlignment="1">
      <alignment horizontal="left" vertical="center"/>
    </xf>
    <xf numFmtId="0" fontId="35" fillId="15" borderId="18" xfId="2" applyBorder="1" applyAlignment="1">
      <alignment horizontal="left" vertical="center"/>
    </xf>
    <xf numFmtId="0" fontId="12" fillId="19" borderId="17" xfId="0" applyFont="1" applyFill="1" applyBorder="1" applyAlignment="1">
      <alignment vertical="center"/>
    </xf>
    <xf numFmtId="0" fontId="12" fillId="19" borderId="10" xfId="0" applyFont="1" applyFill="1" applyBorder="1" applyAlignment="1">
      <alignment vertical="center"/>
    </xf>
    <xf numFmtId="0" fontId="12" fillId="18" borderId="4" xfId="0" applyFont="1" applyFill="1" applyBorder="1" applyAlignment="1">
      <alignment vertical="center"/>
    </xf>
    <xf numFmtId="0" fontId="40" fillId="18" borderId="6" xfId="0" applyFont="1" applyFill="1" applyBorder="1" applyAlignment="1">
      <alignment vertical="center" wrapText="1"/>
    </xf>
    <xf numFmtId="14" fontId="0" fillId="0" borderId="0" xfId="0" applyNumberFormat="1"/>
    <xf numFmtId="0" fontId="12" fillId="18" borderId="23" xfId="0" applyFont="1" applyFill="1" applyBorder="1" applyAlignment="1">
      <alignment vertical="center"/>
    </xf>
    <xf numFmtId="0" fontId="40" fillId="18" borderId="24" xfId="0" applyFont="1" applyFill="1" applyBorder="1" applyAlignment="1">
      <alignment vertical="center" wrapText="1"/>
    </xf>
    <xf numFmtId="0" fontId="14" fillId="0" borderId="0" xfId="0" applyFont="1"/>
    <xf numFmtId="0" fontId="12" fillId="0" borderId="0" xfId="0" applyFont="1" applyAlignment="1">
      <alignment vertical="center" wrapText="1"/>
    </xf>
    <xf numFmtId="0" fontId="0" fillId="17" borderId="1" xfId="0" applyFill="1" applyBorder="1"/>
    <xf numFmtId="0" fontId="7" fillId="17" borderId="1" xfId="0" applyFont="1" applyFill="1" applyBorder="1"/>
    <xf numFmtId="0" fontId="7" fillId="0" borderId="1" xfId="0" applyFont="1" applyBorder="1" applyAlignment="1">
      <alignment wrapText="1"/>
    </xf>
    <xf numFmtId="49" fontId="6" fillId="21" borderId="1" xfId="0" applyNumberFormat="1" applyFont="1" applyFill="1" applyBorder="1" applyAlignment="1">
      <alignment horizontal="center" vertical="center" wrapText="1"/>
    </xf>
    <xf numFmtId="49" fontId="6" fillId="22" borderId="1" xfId="0" applyNumberFormat="1" applyFont="1" applyFill="1" applyBorder="1" applyAlignment="1">
      <alignment horizontal="center" vertical="center" wrapText="1"/>
    </xf>
    <xf numFmtId="49" fontId="6" fillId="23" borderId="1" xfId="0" applyNumberFormat="1" applyFont="1" applyFill="1" applyBorder="1" applyAlignment="1">
      <alignment horizontal="center" vertical="center" wrapText="1"/>
    </xf>
    <xf numFmtId="49" fontId="6" fillId="24" borderId="1" xfId="0" applyNumberFormat="1" applyFont="1" applyFill="1" applyBorder="1" applyAlignment="1">
      <alignment horizontal="center" vertical="center" wrapText="1"/>
    </xf>
    <xf numFmtId="49" fontId="6" fillId="4" borderId="27" xfId="0" applyNumberFormat="1" applyFont="1" applyFill="1" applyBorder="1" applyAlignment="1">
      <alignment horizontal="center" vertical="center" wrapText="1"/>
    </xf>
    <xf numFmtId="0" fontId="1" fillId="0" borderId="27" xfId="0" applyFont="1" applyBorder="1" applyAlignment="1">
      <alignment horizontal="left" vertical="center" wrapText="1"/>
    </xf>
    <xf numFmtId="49" fontId="1" fillId="0" borderId="28" xfId="0" applyNumberFormat="1" applyFont="1" applyBorder="1" applyAlignment="1">
      <alignment horizontal="left" vertical="center" wrapText="1"/>
    </xf>
    <xf numFmtId="49" fontId="6" fillId="24" borderId="13" xfId="0" applyNumberFormat="1" applyFont="1" applyFill="1" applyBorder="1" applyAlignment="1">
      <alignment horizontal="center" vertical="center" wrapText="1"/>
    </xf>
    <xf numFmtId="49" fontId="6" fillId="24" borderId="16" xfId="0" applyNumberFormat="1" applyFont="1" applyFill="1" applyBorder="1" applyAlignment="1">
      <alignment horizontal="center" vertical="center" wrapText="1"/>
    </xf>
    <xf numFmtId="49" fontId="1" fillId="0" borderId="13" xfId="0" applyNumberFormat="1" applyFont="1" applyBorder="1" applyAlignment="1">
      <alignment horizontal="left" vertical="center" wrapText="1"/>
    </xf>
    <xf numFmtId="49" fontId="1" fillId="0" borderId="16" xfId="0" applyNumberFormat="1" applyFont="1" applyBorder="1" applyAlignment="1">
      <alignment horizontal="left" vertical="center" wrapText="1"/>
    </xf>
    <xf numFmtId="49" fontId="0" fillId="0" borderId="21" xfId="0" applyNumberFormat="1" applyBorder="1" applyAlignment="1">
      <alignment horizontal="left"/>
    </xf>
    <xf numFmtId="49" fontId="0" fillId="0" borderId="22" xfId="0" applyNumberFormat="1" applyBorder="1" applyAlignment="1">
      <alignment horizontal="left"/>
    </xf>
    <xf numFmtId="49" fontId="6" fillId="21" borderId="16" xfId="0" applyNumberFormat="1" applyFont="1" applyFill="1" applyBorder="1" applyAlignment="1">
      <alignment horizontal="center" vertical="center" wrapText="1"/>
    </xf>
    <xf numFmtId="49" fontId="6" fillId="22" borderId="13" xfId="0" applyNumberFormat="1" applyFont="1" applyFill="1" applyBorder="1" applyAlignment="1">
      <alignment horizontal="center" vertical="center" wrapText="1"/>
    </xf>
    <xf numFmtId="49" fontId="6" fillId="22" borderId="16" xfId="0" applyNumberFormat="1" applyFont="1" applyFill="1" applyBorder="1" applyAlignment="1">
      <alignment horizontal="center" vertical="center" wrapText="1"/>
    </xf>
    <xf numFmtId="49" fontId="6" fillId="13" borderId="13" xfId="0" applyNumberFormat="1" applyFont="1" applyFill="1" applyBorder="1" applyAlignment="1">
      <alignment horizontal="center" vertical="center" wrapText="1"/>
    </xf>
    <xf numFmtId="49" fontId="6" fillId="13" borderId="16" xfId="0" applyNumberFormat="1" applyFont="1" applyFill="1" applyBorder="1" applyAlignment="1">
      <alignment horizontal="center" vertical="center" wrapText="1"/>
    </xf>
    <xf numFmtId="49" fontId="2" fillId="0" borderId="13" xfId="0" applyNumberFormat="1" applyFont="1" applyBorder="1" applyAlignment="1">
      <alignment horizontal="left" vertical="center" wrapText="1"/>
    </xf>
    <xf numFmtId="49" fontId="6" fillId="23" borderId="13" xfId="0" applyNumberFormat="1" applyFont="1" applyFill="1" applyBorder="1" applyAlignment="1">
      <alignment horizontal="center" vertical="center" wrapText="1"/>
    </xf>
    <xf numFmtId="49" fontId="6" fillId="23" borderId="16" xfId="0" applyNumberFormat="1" applyFont="1" applyFill="1" applyBorder="1" applyAlignment="1">
      <alignment horizontal="center" vertical="center" wrapText="1"/>
    </xf>
    <xf numFmtId="49" fontId="6" fillId="4" borderId="28" xfId="0" applyNumberFormat="1" applyFont="1" applyFill="1" applyBorder="1" applyAlignment="1">
      <alignment horizontal="center" vertical="center" wrapText="1"/>
    </xf>
    <xf numFmtId="49" fontId="5" fillId="14" borderId="22" xfId="0" applyNumberFormat="1" applyFont="1" applyFill="1" applyBorder="1" applyAlignment="1">
      <alignment horizontal="center" vertical="center" wrapText="1"/>
    </xf>
    <xf numFmtId="49" fontId="6" fillId="14" borderId="13" xfId="0" applyNumberFormat="1" applyFont="1" applyFill="1" applyBorder="1" applyAlignment="1">
      <alignment horizontal="center" vertical="center" wrapText="1"/>
    </xf>
    <xf numFmtId="49" fontId="6" fillId="14" borderId="16" xfId="0" applyNumberFormat="1" applyFont="1" applyFill="1" applyBorder="1" applyAlignment="1">
      <alignment horizontal="center" vertical="center" wrapText="1"/>
    </xf>
    <xf numFmtId="49" fontId="12" fillId="18" borderId="9" xfId="0" applyNumberFormat="1" applyFont="1" applyFill="1" applyBorder="1" applyAlignment="1">
      <alignment vertical="center" wrapText="1"/>
    </xf>
    <xf numFmtId="49" fontId="2" fillId="0" borderId="16" xfId="0" applyNumberFormat="1" applyFont="1" applyBorder="1" applyAlignment="1">
      <alignment horizontal="left" vertical="center" wrapText="1"/>
    </xf>
    <xf numFmtId="49" fontId="34" fillId="0" borderId="1" xfId="0" applyNumberFormat="1" applyFont="1" applyBorder="1" applyAlignment="1">
      <alignment horizontal="left" vertical="center" wrapText="1"/>
    </xf>
    <xf numFmtId="164" fontId="1" fillId="0" borderId="1" xfId="0" applyNumberFormat="1" applyFont="1" applyBorder="1" applyAlignment="1">
      <alignment horizontal="left" vertical="center" wrapText="1"/>
    </xf>
    <xf numFmtId="49" fontId="29" fillId="0" borderId="1" xfId="0" applyNumberFormat="1" applyFont="1" applyBorder="1" applyAlignment="1">
      <alignment horizontal="left" vertical="center" wrapText="1"/>
    </xf>
    <xf numFmtId="49" fontId="1" fillId="0" borderId="1" xfId="0" applyNumberFormat="1" applyFont="1" applyBorder="1" applyAlignment="1">
      <alignment horizontal="left" vertical="top" wrapText="1"/>
    </xf>
    <xf numFmtId="49" fontId="2" fillId="0" borderId="28" xfId="0" applyNumberFormat="1" applyFont="1" applyBorder="1" applyAlignment="1">
      <alignment horizontal="left" vertical="center" wrapText="1"/>
    </xf>
    <xf numFmtId="49" fontId="3" fillId="0" borderId="13" xfId="0" applyNumberFormat="1" applyFont="1" applyBorder="1" applyAlignment="1">
      <alignment horizontal="left" vertical="center" wrapText="1"/>
    </xf>
    <xf numFmtId="49" fontId="3" fillId="0" borderId="16" xfId="0" applyNumberFormat="1" applyFont="1" applyBorder="1" applyAlignment="1">
      <alignment horizontal="left" vertical="center" wrapText="1"/>
    </xf>
    <xf numFmtId="0" fontId="12" fillId="0" borderId="1" xfId="0" applyFont="1" applyBorder="1" applyAlignment="1">
      <alignment horizontal="center" vertical="center"/>
    </xf>
    <xf numFmtId="0" fontId="40" fillId="18" borderId="27" xfId="0" applyFont="1" applyFill="1" applyBorder="1" applyAlignment="1">
      <alignment vertical="center" wrapText="1"/>
    </xf>
    <xf numFmtId="0" fontId="25" fillId="0" borderId="1" xfId="0" applyFont="1" applyBorder="1" applyAlignment="1">
      <alignment vertical="center"/>
    </xf>
    <xf numFmtId="49" fontId="1" fillId="0" borderId="0" xfId="0" applyNumberFormat="1" applyFont="1" applyBorder="1" applyAlignment="1">
      <alignment horizontal="left" vertical="center" wrapText="1"/>
    </xf>
    <xf numFmtId="0" fontId="25" fillId="3" borderId="1" xfId="0" applyFont="1" applyFill="1" applyBorder="1" applyAlignment="1">
      <alignment vertical="center" wrapText="1"/>
    </xf>
    <xf numFmtId="0" fontId="1" fillId="0" borderId="1" xfId="0" applyFont="1" applyBorder="1" applyAlignment="1">
      <alignment horizontal="left" vertical="center" wrapText="1"/>
    </xf>
    <xf numFmtId="49" fontId="1" fillId="0" borderId="27" xfId="0" applyNumberFormat="1" applyFont="1" applyBorder="1" applyAlignment="1">
      <alignment horizontal="left" vertical="center" wrapText="1"/>
    </xf>
    <xf numFmtId="49" fontId="32" fillId="0" borderId="16" xfId="0" applyNumberFormat="1" applyFont="1" applyBorder="1" applyAlignment="1">
      <alignment horizontal="left" vertical="center"/>
    </xf>
    <xf numFmtId="49" fontId="0" fillId="0" borderId="16" xfId="0" applyNumberFormat="1" applyBorder="1" applyAlignment="1">
      <alignment horizontal="left"/>
    </xf>
    <xf numFmtId="49" fontId="32" fillId="0" borderId="0" xfId="0" applyNumberFormat="1" applyFont="1" applyBorder="1" applyAlignment="1">
      <alignment horizontal="left" vertical="center"/>
    </xf>
    <xf numFmtId="0" fontId="41" fillId="0" borderId="0" xfId="0" applyFont="1"/>
    <xf numFmtId="0" fontId="6" fillId="0" borderId="2" xfId="0" applyFont="1" applyFill="1" applyBorder="1" applyAlignment="1">
      <alignment vertical="center" wrapText="1"/>
    </xf>
    <xf numFmtId="0" fontId="42" fillId="0" borderId="0" xfId="0" applyFont="1"/>
    <xf numFmtId="0" fontId="1" fillId="0" borderId="27" xfId="0" applyFont="1" applyFill="1" applyBorder="1" applyAlignment="1">
      <alignment horizontal="left" vertical="center" wrapText="1"/>
    </xf>
    <xf numFmtId="49" fontId="1" fillId="0" borderId="13" xfId="0" applyNumberFormat="1" applyFont="1" applyFill="1" applyBorder="1" applyAlignment="1">
      <alignment horizontal="left" vertical="center" wrapText="1"/>
    </xf>
    <xf numFmtId="49" fontId="1" fillId="0" borderId="16" xfId="0" applyNumberFormat="1" applyFont="1" applyFill="1" applyBorder="1" applyAlignment="1">
      <alignment horizontal="left" vertical="center" wrapText="1"/>
    </xf>
    <xf numFmtId="49" fontId="1" fillId="0" borderId="28" xfId="0" applyNumberFormat="1" applyFont="1" applyFill="1" applyBorder="1" applyAlignment="1">
      <alignment horizontal="left" vertical="center" wrapText="1"/>
    </xf>
    <xf numFmtId="0" fontId="43" fillId="0" borderId="0" xfId="0" applyFont="1" applyAlignment="1">
      <alignment vertical="center" wrapText="1"/>
    </xf>
    <xf numFmtId="0" fontId="29" fillId="0" borderId="1" xfId="0" applyFont="1" applyBorder="1"/>
    <xf numFmtId="0" fontId="29" fillId="0" borderId="1" xfId="0" applyFont="1" applyBorder="1" applyAlignment="1">
      <alignment vertical="center"/>
    </xf>
    <xf numFmtId="0" fontId="29" fillId="0" borderId="0" xfId="0" applyFont="1" applyAlignment="1">
      <alignment vertical="center"/>
    </xf>
    <xf numFmtId="0" fontId="0" fillId="0" borderId="28" xfId="0" applyBorder="1"/>
    <xf numFmtId="49" fontId="1" fillId="0" borderId="0" xfId="0" applyNumberFormat="1" applyFont="1" applyFill="1" applyBorder="1" applyAlignment="1">
      <alignment horizontal="left" vertical="center" wrapText="1"/>
    </xf>
    <xf numFmtId="49" fontId="1" fillId="0" borderId="2" xfId="0" applyNumberFormat="1" applyFont="1" applyFill="1" applyBorder="1" applyAlignment="1">
      <alignment horizontal="left" vertical="center" wrapText="1"/>
    </xf>
    <xf numFmtId="49" fontId="5" fillId="24" borderId="2" xfId="0" applyNumberFormat="1" applyFont="1" applyFill="1" applyBorder="1" applyAlignment="1">
      <alignment horizontal="center" vertical="center" wrapText="1"/>
    </xf>
    <xf numFmtId="49" fontId="2" fillId="0" borderId="0" xfId="0" applyNumberFormat="1" applyFont="1" applyFill="1" applyBorder="1" applyAlignment="1">
      <alignment horizontal="left" vertical="center" wrapText="1"/>
    </xf>
    <xf numFmtId="49" fontId="6" fillId="21" borderId="28" xfId="0" applyNumberFormat="1" applyFont="1" applyFill="1" applyBorder="1" applyAlignment="1">
      <alignment horizontal="center" vertical="center" wrapText="1"/>
    </xf>
    <xf numFmtId="49" fontId="1" fillId="0" borderId="40" xfId="0" applyNumberFormat="1" applyFont="1" applyBorder="1" applyAlignment="1">
      <alignment horizontal="left" vertical="center" wrapText="1"/>
    </xf>
    <xf numFmtId="49" fontId="1" fillId="0" borderId="37" xfId="0" applyNumberFormat="1" applyFont="1" applyBorder="1" applyAlignment="1">
      <alignment horizontal="left" vertical="center" wrapText="1"/>
    </xf>
    <xf numFmtId="49" fontId="1" fillId="0" borderId="15" xfId="0" applyNumberFormat="1" applyFont="1" applyBorder="1" applyAlignment="1">
      <alignment horizontal="left" vertical="center" wrapText="1"/>
    </xf>
    <xf numFmtId="49" fontId="1" fillId="0" borderId="9" xfId="0" applyNumberFormat="1" applyFont="1" applyBorder="1" applyAlignment="1">
      <alignment horizontal="left" vertical="center" wrapText="1"/>
    </xf>
    <xf numFmtId="49" fontId="1" fillId="0" borderId="39" xfId="0" applyNumberFormat="1" applyFont="1" applyBorder="1" applyAlignment="1">
      <alignment horizontal="left" vertical="center" wrapText="1"/>
    </xf>
    <xf numFmtId="49" fontId="0" fillId="0" borderId="38" xfId="0" applyNumberFormat="1" applyBorder="1" applyAlignment="1">
      <alignment horizontal="left"/>
    </xf>
    <xf numFmtId="49" fontId="29" fillId="0" borderId="8" xfId="0" applyNumberFormat="1" applyFont="1" applyFill="1" applyBorder="1" applyAlignment="1">
      <alignment horizontal="left" vertical="center" wrapText="1"/>
    </xf>
    <xf numFmtId="49" fontId="29" fillId="0" borderId="1" xfId="0" applyNumberFormat="1" applyFont="1" applyFill="1" applyBorder="1" applyAlignment="1">
      <alignment horizontal="left" vertical="center" wrapText="1"/>
    </xf>
    <xf numFmtId="0" fontId="25" fillId="0" borderId="0" xfId="0" applyFont="1" applyFill="1"/>
    <xf numFmtId="49" fontId="2" fillId="0" borderId="0" xfId="0" applyNumberFormat="1" applyFont="1" applyFill="1" applyAlignment="1">
      <alignment horizontal="left" vertical="center" wrapText="1"/>
    </xf>
    <xf numFmtId="0" fontId="25" fillId="0" borderId="0" xfId="0" applyFont="1" applyFill="1" applyAlignment="1">
      <alignment vertical="center"/>
    </xf>
    <xf numFmtId="0" fontId="25" fillId="0" borderId="1" xfId="0" applyFont="1" applyFill="1" applyBorder="1" applyAlignment="1">
      <alignment vertical="center"/>
    </xf>
    <xf numFmtId="0" fontId="25" fillId="0" borderId="7" xfId="0" applyFont="1" applyFill="1" applyBorder="1" applyAlignment="1">
      <alignment vertical="center"/>
    </xf>
    <xf numFmtId="0" fontId="25" fillId="0" borderId="7" xfId="0" applyFont="1" applyFill="1" applyBorder="1"/>
    <xf numFmtId="0" fontId="25" fillId="0" borderId="8" xfId="0" applyFont="1" applyFill="1" applyBorder="1" applyAlignment="1">
      <alignment vertical="center"/>
    </xf>
    <xf numFmtId="0" fontId="25" fillId="0" borderId="1" xfId="0" applyFont="1" applyFill="1" applyBorder="1"/>
    <xf numFmtId="0" fontId="25" fillId="0" borderId="8" xfId="0" applyFont="1" applyFill="1" applyBorder="1"/>
    <xf numFmtId="49" fontId="2" fillId="0" borderId="27" xfId="0" applyNumberFormat="1" applyFont="1" applyFill="1" applyBorder="1" applyAlignment="1">
      <alignment horizontal="left" vertical="center" wrapText="1"/>
    </xf>
    <xf numFmtId="0" fontId="45" fillId="0" borderId="0" xfId="0" applyFont="1" applyFill="1" applyAlignment="1">
      <alignment vertical="center"/>
    </xf>
    <xf numFmtId="49" fontId="44" fillId="0" borderId="0" xfId="0" applyNumberFormat="1" applyFont="1" applyFill="1" applyBorder="1" applyAlignment="1">
      <alignment horizontal="left" vertical="center" wrapText="1"/>
    </xf>
    <xf numFmtId="0" fontId="0" fillId="0" borderId="1" xfId="0" applyFont="1" applyFill="1" applyBorder="1" applyAlignment="1">
      <alignment wrapText="1"/>
    </xf>
    <xf numFmtId="0" fontId="0" fillId="0" borderId="1" xfId="0" applyFont="1" applyFill="1" applyBorder="1"/>
    <xf numFmtId="49" fontId="0" fillId="0" borderId="0" xfId="0" applyNumberFormat="1" applyFont="1" applyFill="1" applyAlignment="1">
      <alignment horizontal="left"/>
    </xf>
    <xf numFmtId="0" fontId="1" fillId="3" borderId="27" xfId="0" applyFont="1" applyFill="1" applyBorder="1" applyAlignment="1">
      <alignment horizontal="left" vertical="center" wrapText="1"/>
    </xf>
    <xf numFmtId="49" fontId="1" fillId="3" borderId="28" xfId="0" applyNumberFormat="1" applyFont="1" applyFill="1" applyBorder="1" applyAlignment="1">
      <alignment horizontal="left" vertical="center" wrapText="1"/>
    </xf>
    <xf numFmtId="49" fontId="1" fillId="3" borderId="16" xfId="0" applyNumberFormat="1" applyFont="1" applyFill="1" applyBorder="1" applyAlignment="1">
      <alignment horizontal="left" vertical="center" wrapText="1"/>
    </xf>
    <xf numFmtId="49" fontId="1" fillId="3" borderId="13" xfId="0" applyNumberFormat="1" applyFont="1" applyFill="1" applyBorder="1" applyAlignment="1">
      <alignment horizontal="left" vertical="center" wrapText="1"/>
    </xf>
    <xf numFmtId="49" fontId="0" fillId="3" borderId="0" xfId="0" applyNumberFormat="1" applyFill="1" applyAlignment="1">
      <alignment horizontal="left"/>
    </xf>
    <xf numFmtId="49" fontId="29" fillId="3" borderId="1" xfId="0" applyNumberFormat="1" applyFont="1" applyFill="1" applyBorder="1" applyAlignment="1">
      <alignment horizontal="left" vertical="center" wrapText="1"/>
    </xf>
    <xf numFmtId="0" fontId="0" fillId="0" borderId="0" xfId="0" applyBorder="1"/>
    <xf numFmtId="49" fontId="29" fillId="3" borderId="28" xfId="0" applyNumberFormat="1" applyFont="1" applyFill="1" applyBorder="1" applyAlignment="1">
      <alignment horizontal="left" vertical="center" wrapText="1"/>
    </xf>
    <xf numFmtId="0" fontId="0" fillId="11" borderId="1" xfId="0" applyFont="1" applyFill="1" applyBorder="1"/>
    <xf numFmtId="0" fontId="0" fillId="0" borderId="1" xfId="0" applyFont="1" applyBorder="1"/>
    <xf numFmtId="0" fontId="0" fillId="0" borderId="28" xfId="0" applyFont="1" applyBorder="1"/>
    <xf numFmtId="0" fontId="0" fillId="0" borderId="0" xfId="0" applyFont="1" applyBorder="1"/>
    <xf numFmtId="0" fontId="7" fillId="0" borderId="0" xfId="0" applyFont="1" applyFill="1"/>
    <xf numFmtId="49" fontId="4" fillId="0" borderId="1" xfId="0" applyNumberFormat="1" applyFont="1" applyFill="1" applyBorder="1" applyAlignment="1">
      <alignment horizontal="left" vertical="center" wrapText="1"/>
    </xf>
    <xf numFmtId="49" fontId="29" fillId="0" borderId="16" xfId="0" applyNumberFormat="1" applyFont="1" applyFill="1" applyBorder="1" applyAlignment="1">
      <alignment horizontal="left" vertical="center" wrapText="1"/>
    </xf>
    <xf numFmtId="49" fontId="5" fillId="10" borderId="2" xfId="0" applyNumberFormat="1" applyFont="1" applyFill="1" applyBorder="1" applyAlignment="1">
      <alignment horizontal="center" vertical="center" wrapText="1"/>
    </xf>
    <xf numFmtId="49" fontId="5" fillId="5" borderId="3" xfId="0" applyNumberFormat="1" applyFont="1" applyFill="1" applyBorder="1" applyAlignment="1">
      <alignment horizontal="center" vertical="center" wrapText="1"/>
    </xf>
    <xf numFmtId="49" fontId="5" fillId="5" borderId="2" xfId="0" applyNumberFormat="1" applyFont="1" applyFill="1" applyBorder="1" applyAlignment="1">
      <alignment horizontal="center" vertical="center" wrapText="1"/>
    </xf>
    <xf numFmtId="49" fontId="5" fillId="6" borderId="2" xfId="0" applyNumberFormat="1" applyFont="1" applyFill="1" applyBorder="1" applyAlignment="1">
      <alignment horizontal="center" vertical="center" wrapText="1"/>
    </xf>
    <xf numFmtId="49" fontId="5" fillId="7" borderId="3" xfId="0" applyNumberFormat="1" applyFont="1" applyFill="1" applyBorder="1" applyAlignment="1">
      <alignment horizontal="center" vertical="center" wrapText="1"/>
    </xf>
    <xf numFmtId="49" fontId="5" fillId="7" borderId="2" xfId="0" applyNumberFormat="1" applyFont="1" applyFill="1" applyBorder="1" applyAlignment="1">
      <alignment horizontal="center" vertical="center" wrapText="1"/>
    </xf>
    <xf numFmtId="0" fontId="37" fillId="0" borderId="19" xfId="0" applyFont="1" applyBorder="1" applyAlignment="1" applyProtection="1">
      <alignment horizontal="left"/>
      <protection hidden="1"/>
    </xf>
    <xf numFmtId="0" fontId="37" fillId="0" borderId="20" xfId="0" applyFont="1" applyBorder="1" applyAlignment="1" applyProtection="1">
      <alignment horizontal="left"/>
      <protection hidden="1"/>
    </xf>
    <xf numFmtId="0" fontId="39" fillId="17" borderId="5" xfId="0" applyFont="1" applyFill="1" applyBorder="1" applyAlignment="1">
      <alignment horizontal="center"/>
    </xf>
    <xf numFmtId="0" fontId="39" fillId="17" borderId="6" xfId="0" applyFont="1" applyFill="1" applyBorder="1" applyAlignment="1">
      <alignment horizontal="center"/>
    </xf>
    <xf numFmtId="0" fontId="35" fillId="15" borderId="11" xfId="2" applyAlignment="1" applyProtection="1">
      <alignment horizontal="left" vertical="center"/>
      <protection locked="0"/>
    </xf>
    <xf numFmtId="0" fontId="35" fillId="15" borderId="14" xfId="2" applyBorder="1" applyAlignment="1" applyProtection="1">
      <alignment horizontal="left" vertical="center"/>
      <protection locked="0"/>
    </xf>
    <xf numFmtId="0" fontId="35" fillId="15" borderId="33" xfId="2" applyBorder="1" applyAlignment="1" applyProtection="1">
      <alignment horizontal="left" vertical="center"/>
      <protection locked="0"/>
    </xf>
    <xf numFmtId="0" fontId="35" fillId="15" borderId="34" xfId="2" applyBorder="1" applyAlignment="1" applyProtection="1">
      <alignment horizontal="left" vertical="center"/>
      <protection locked="0"/>
    </xf>
    <xf numFmtId="0" fontId="35" fillId="15" borderId="1" xfId="2" applyBorder="1" applyAlignment="1" applyProtection="1">
      <alignment horizontal="left" vertical="center"/>
      <protection locked="0"/>
    </xf>
    <xf numFmtId="0" fontId="35" fillId="15" borderId="16" xfId="2" applyBorder="1" applyAlignment="1" applyProtection="1">
      <alignment horizontal="left" vertical="center"/>
      <protection locked="0"/>
    </xf>
    <xf numFmtId="0" fontId="12" fillId="19" borderId="17" xfId="0" applyFont="1" applyFill="1" applyBorder="1" applyAlignment="1">
      <alignment horizontal="center" vertical="center"/>
    </xf>
    <xf numFmtId="0" fontId="12" fillId="19" borderId="10" xfId="0" applyFont="1" applyFill="1" applyBorder="1" applyAlignment="1">
      <alignment horizontal="center" vertical="center"/>
    </xf>
    <xf numFmtId="0" fontId="12" fillId="19" borderId="18" xfId="0" applyFont="1" applyFill="1" applyBorder="1" applyAlignment="1">
      <alignment horizontal="center" vertical="center"/>
    </xf>
    <xf numFmtId="0" fontId="35" fillId="15" borderId="31" xfId="2" applyBorder="1" applyAlignment="1" applyProtection="1">
      <alignment horizontal="left" vertical="center"/>
      <protection locked="0"/>
    </xf>
    <xf numFmtId="0" fontId="35" fillId="15" borderId="32" xfId="2" applyBorder="1" applyAlignment="1" applyProtection="1">
      <alignment horizontal="left" vertical="center"/>
      <protection locked="0"/>
    </xf>
    <xf numFmtId="0" fontId="36" fillId="16" borderId="19" xfId="3" applyBorder="1" applyAlignment="1">
      <alignment horizontal="center" vertical="center" wrapText="1"/>
    </xf>
    <xf numFmtId="0" fontId="36" fillId="16" borderId="20" xfId="3" applyBorder="1" applyAlignment="1">
      <alignment horizontal="center" vertical="center" wrapText="1"/>
    </xf>
    <xf numFmtId="0" fontId="0" fillId="0" borderId="27" xfId="0" applyBorder="1" applyAlignment="1">
      <alignment horizontal="left" wrapText="1"/>
    </xf>
    <xf numFmtId="0" fontId="0" fillId="0" borderId="7" xfId="0" applyBorder="1" applyAlignment="1">
      <alignment horizontal="left" wrapText="1"/>
    </xf>
    <xf numFmtId="0" fontId="0" fillId="0" borderId="28" xfId="0" applyBorder="1" applyAlignment="1">
      <alignment horizontal="left" wrapText="1"/>
    </xf>
    <xf numFmtId="0" fontId="36" fillId="16" borderId="41" xfId="3" applyBorder="1" applyAlignment="1">
      <alignment horizontal="center" vertical="center"/>
    </xf>
    <xf numFmtId="0" fontId="36" fillId="16" borderId="42" xfId="3" applyBorder="1" applyAlignment="1">
      <alignment horizontal="center" vertical="center"/>
    </xf>
    <xf numFmtId="14" fontId="7" fillId="20" borderId="0" xfId="0" applyNumberFormat="1" applyFont="1" applyFill="1" applyBorder="1" applyAlignment="1">
      <alignment horizontal="left" vertical="center" wrapText="1"/>
    </xf>
    <xf numFmtId="14" fontId="7" fillId="20" borderId="22" xfId="0" applyNumberFormat="1" applyFont="1" applyFill="1" applyBorder="1" applyAlignment="1">
      <alignment horizontal="left" vertical="center" wrapText="1"/>
    </xf>
    <xf numFmtId="14" fontId="7" fillId="20" borderId="25" xfId="0" applyNumberFormat="1" applyFont="1" applyFill="1" applyBorder="1" applyAlignment="1">
      <alignment horizontal="left" vertical="center" wrapText="1"/>
    </xf>
    <xf numFmtId="14" fontId="7" fillId="20" borderId="26" xfId="0" applyNumberFormat="1" applyFont="1" applyFill="1" applyBorder="1" applyAlignment="1">
      <alignment horizontal="left" vertical="center" wrapText="1"/>
    </xf>
    <xf numFmtId="0" fontId="36" fillId="16" borderId="35" xfId="3" applyBorder="1" applyAlignment="1">
      <alignment horizontal="center" vertical="center"/>
    </xf>
    <xf numFmtId="0" fontId="36" fillId="16" borderId="36" xfId="3" applyBorder="1" applyAlignment="1">
      <alignment horizontal="center" vertical="center"/>
    </xf>
    <xf numFmtId="0" fontId="7" fillId="17" borderId="27" xfId="0" applyFont="1" applyFill="1" applyBorder="1" applyAlignment="1">
      <alignment horizontal="left"/>
    </xf>
    <xf numFmtId="0" fontId="7" fillId="17" borderId="7" xfId="0" applyFont="1" applyFill="1" applyBorder="1" applyAlignment="1">
      <alignment horizontal="left"/>
    </xf>
    <xf numFmtId="0" fontId="7" fillId="17" borderId="28" xfId="0" applyFont="1" applyFill="1" applyBorder="1" applyAlignment="1">
      <alignment horizontal="left"/>
    </xf>
    <xf numFmtId="0" fontId="0" fillId="0" borderId="27" xfId="0" applyBorder="1" applyAlignment="1">
      <alignment horizontal="left" vertical="top" wrapText="1"/>
    </xf>
    <xf numFmtId="0" fontId="0" fillId="0" borderId="7" xfId="0" applyBorder="1" applyAlignment="1">
      <alignment horizontal="left" vertical="top" wrapText="1"/>
    </xf>
    <xf numFmtId="0" fontId="0" fillId="0" borderId="28" xfId="0" applyBorder="1" applyAlignment="1">
      <alignment horizontal="left" vertical="top" wrapText="1"/>
    </xf>
    <xf numFmtId="49" fontId="5" fillId="21" borderId="29" xfId="0" applyNumberFormat="1" applyFont="1" applyFill="1" applyBorder="1" applyAlignment="1">
      <alignment horizontal="center" vertical="center" wrapText="1"/>
    </xf>
    <xf numFmtId="49" fontId="5" fillId="21" borderId="2" xfId="0" applyNumberFormat="1" applyFont="1" applyFill="1" applyBorder="1" applyAlignment="1">
      <alignment horizontal="center" vertical="center" wrapText="1"/>
    </xf>
    <xf numFmtId="49" fontId="5" fillId="21" borderId="30" xfId="0" applyNumberFormat="1" applyFont="1" applyFill="1" applyBorder="1" applyAlignment="1">
      <alignment horizontal="center" vertical="center" wrapText="1"/>
    </xf>
    <xf numFmtId="49" fontId="5" fillId="13" borderId="29" xfId="0" applyNumberFormat="1" applyFont="1" applyFill="1" applyBorder="1" applyAlignment="1">
      <alignment horizontal="center" vertical="center" wrapText="1"/>
    </xf>
    <xf numFmtId="49" fontId="5" fillId="13" borderId="2" xfId="0" applyNumberFormat="1" applyFont="1" applyFill="1" applyBorder="1" applyAlignment="1">
      <alignment horizontal="center" vertical="center" wrapText="1"/>
    </xf>
    <xf numFmtId="49" fontId="5" fillId="13" borderId="30" xfId="0" applyNumberFormat="1" applyFont="1" applyFill="1" applyBorder="1" applyAlignment="1">
      <alignment horizontal="center" vertical="center" wrapText="1"/>
    </xf>
    <xf numFmtId="49" fontId="5" fillId="14" borderId="29" xfId="0" applyNumberFormat="1" applyFont="1" applyFill="1" applyBorder="1" applyAlignment="1">
      <alignment horizontal="center" vertical="center" wrapText="1"/>
    </xf>
    <xf numFmtId="49" fontId="5" fillId="14" borderId="2" xfId="0" applyNumberFormat="1" applyFont="1" applyFill="1" applyBorder="1" applyAlignment="1">
      <alignment horizontal="center" vertical="center" wrapText="1"/>
    </xf>
    <xf numFmtId="49" fontId="5" fillId="24" borderId="29" xfId="0" applyNumberFormat="1" applyFont="1" applyFill="1" applyBorder="1" applyAlignment="1">
      <alignment horizontal="center" vertical="center" wrapText="1"/>
    </xf>
    <xf numFmtId="49" fontId="5" fillId="24" borderId="2" xfId="0" applyNumberFormat="1" applyFont="1" applyFill="1" applyBorder="1" applyAlignment="1">
      <alignment horizontal="center" vertical="center" wrapText="1"/>
    </xf>
    <xf numFmtId="49" fontId="5" fillId="24" borderId="30" xfId="0" applyNumberFormat="1" applyFont="1" applyFill="1" applyBorder="1" applyAlignment="1">
      <alignment horizontal="center" vertical="center" wrapText="1"/>
    </xf>
    <xf numFmtId="49" fontId="5" fillId="22" borderId="29" xfId="0" applyNumberFormat="1" applyFont="1" applyFill="1" applyBorder="1" applyAlignment="1">
      <alignment horizontal="center" vertical="center" wrapText="1"/>
    </xf>
    <xf numFmtId="49" fontId="5" fillId="22" borderId="2" xfId="0" applyNumberFormat="1" applyFont="1" applyFill="1" applyBorder="1" applyAlignment="1">
      <alignment horizontal="center" vertical="center" wrapText="1"/>
    </xf>
    <xf numFmtId="49" fontId="5" fillId="22" borderId="30" xfId="0" applyNumberFormat="1" applyFont="1" applyFill="1" applyBorder="1" applyAlignment="1">
      <alignment horizontal="center" vertical="center" wrapText="1"/>
    </xf>
    <xf numFmtId="49" fontId="5" fillId="23" borderId="29" xfId="0" applyNumberFormat="1" applyFont="1" applyFill="1" applyBorder="1" applyAlignment="1">
      <alignment horizontal="center" vertical="center" wrapText="1"/>
    </xf>
    <xf numFmtId="49" fontId="5" fillId="23" borderId="2" xfId="0" applyNumberFormat="1" applyFont="1" applyFill="1" applyBorder="1" applyAlignment="1">
      <alignment horizontal="center" vertical="center" wrapText="1"/>
    </xf>
    <xf numFmtId="49" fontId="5" fillId="23" borderId="30" xfId="0" applyNumberFormat="1" applyFont="1" applyFill="1" applyBorder="1" applyAlignment="1">
      <alignment horizontal="center" vertical="center" wrapText="1"/>
    </xf>
    <xf numFmtId="0" fontId="12" fillId="0" borderId="1" xfId="0" applyFont="1" applyBorder="1" applyAlignment="1">
      <alignment horizontal="center" vertical="center"/>
    </xf>
    <xf numFmtId="0" fontId="0" fillId="12" borderId="2" xfId="0" applyFill="1" applyBorder="1" applyAlignment="1">
      <alignment horizontal="center"/>
    </xf>
    <xf numFmtId="0" fontId="0" fillId="0" borderId="1" xfId="0" applyBorder="1" applyAlignment="1">
      <alignment horizontal="center" vertical="center"/>
    </xf>
    <xf numFmtId="0" fontId="0" fillId="0" borderId="1" xfId="0" applyBorder="1" applyAlignment="1">
      <alignment horizontal="left" vertical="center" wrapText="1"/>
    </xf>
  </cellXfs>
  <cellStyles count="4">
    <cellStyle name="Input" xfId="2" builtinId="20"/>
    <cellStyle name="Normal" xfId="0" builtinId="0"/>
    <cellStyle name="Normal 2" xfId="1" xr:uid="{00000000-0005-0000-0000-000001000000}"/>
    <cellStyle name="Output" xfId="3" builtinId="21"/>
  </cellStyles>
  <dxfs count="2453">
    <dxf>
      <alignment horizontal="general" vertical="top" textRotation="0" wrapText="0" indent="0" justifyLastLine="0" shrinkToFit="0" readingOrder="0"/>
      <protection locked="0" hidden="0"/>
    </dxf>
    <dxf>
      <alignment horizontal="general" vertical="top" textRotation="0" wrapText="0" indent="0" justifyLastLine="0" shrinkToFit="0" readingOrder="0"/>
      <protection locked="0" hidden="0"/>
    </dxf>
    <dxf>
      <alignment horizontal="general" vertical="top" textRotation="0" wrapText="0" indent="0" justifyLastLine="0" shrinkToFit="0" readingOrder="0"/>
      <protection locked="0" hidden="0"/>
    </dxf>
    <dxf>
      <alignment horizontal="general" vertical="top" textRotation="0" wrapText="0" indent="0" justifyLastLine="0" shrinkToFit="0" readingOrder="0"/>
      <protection locked="0" hidden="0"/>
    </dxf>
    <dxf>
      <font>
        <b val="0"/>
        <i val="0"/>
        <strike val="0"/>
        <condense val="0"/>
        <extend val="0"/>
        <outline val="0"/>
        <shadow val="0"/>
        <u val="none"/>
        <vertAlign val="baseline"/>
        <sz val="11"/>
        <color auto="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border diagonalUp="0" diagonalDown="0"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1"/>
        <color auto="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border diagonalUp="0" diagonalDown="0"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1"/>
        <color auto="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border diagonalUp="0" diagonalDown="0"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1"/>
        <color auto="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border diagonalUp="0" diagonalDown="0"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auto="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border diagonalUp="0" diagonalDown="0"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auto="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border diagonalUp="0" diagonalDown="0"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auto="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border diagonalUp="0" diagonalDown="0"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auto="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border diagonalUp="0" diagonalDown="0" outline="0">
        <left/>
        <right/>
        <top style="thin">
          <color indexed="64"/>
        </top>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auto="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border diagonalUp="0" diagonalDown="0"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auto="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border diagonalUp="0" diagonalDown="0"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auto="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border diagonalUp="0" diagonalDown="0"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auto="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border diagonalUp="0" diagonalDown="0"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1"/>
        <color auto="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border diagonalUp="0" diagonalDown="0"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1"/>
        <color auto="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border diagonalUp="0" diagonalDown="0"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1"/>
        <color auto="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border diagonalUp="0" diagonalDown="0"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1"/>
        <color auto="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border diagonalUp="0" diagonalDown="0"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1"/>
        <color auto="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border diagonalUp="0" diagonalDown="0"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auto="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border diagonalUp="0" diagonalDown="0"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auto="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border diagonalUp="0" diagonalDown="0"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auto="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1"/>
        <color auto="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dxf>
    <dxf>
      <font>
        <b val="0"/>
        <i val="0"/>
        <strike val="0"/>
        <condense val="0"/>
        <extend val="0"/>
        <outline val="0"/>
        <shadow val="0"/>
        <u val="none"/>
        <vertAlign val="baseline"/>
        <sz val="11"/>
        <color auto="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border diagonalUp="0" diagonalDown="0" outline="0">
        <left/>
        <right/>
        <top style="thin">
          <color indexed="64"/>
        </top>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auto="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border diagonalUp="0" diagonalDown="0"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auto="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border diagonalUp="0" diagonalDown="0"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auto="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border diagonalUp="0" diagonalDown="0"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auto="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border diagonalUp="0" diagonalDown="0"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auto="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border diagonalUp="0" diagonalDown="0"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auto="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border diagonalUp="0" diagonalDown="0"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1"/>
        <color auto="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border diagonalUp="0" diagonalDown="0"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auto="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border diagonalUp="0" diagonalDown="0"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ont>
        <name val="GE Inspira"/>
        <family val="2"/>
        <scheme val="none"/>
      </font>
      <numFmt numFmtId="30" formatCode="@"/>
      <fill>
        <patternFill patternType="none">
          <fgColor indexed="64"/>
          <bgColor auto="1"/>
        </patternFill>
      </fill>
      <alignment horizontal="left" vertical="center" textRotation="0" wrapText="1" indent="0" justifyLastLine="0" shrinkToFit="0" readingOrder="0"/>
      <border diagonalUp="0" diagonalDown="0"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border diagonalUp="0" diagonalDown="0"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1"/>
        <color theme="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border diagonalUp="0" diagonalDown="0"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auto="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border diagonalUp="0" diagonalDown="0"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border diagonalUp="0" diagonalDown="0"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1"/>
        <color theme="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border diagonalUp="0" diagonalDown="0"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auto="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border diagonalUp="0" diagonalDown="0"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auto="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border diagonalUp="0" diagonalDown="0"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auto="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border diagonalUp="0" diagonalDown="0"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ont>
        <name val="GE Inspira"/>
        <family val="2"/>
        <scheme val="none"/>
      </font>
      <numFmt numFmtId="30" formatCode="@"/>
      <fill>
        <patternFill patternType="none">
          <fgColor indexed="64"/>
          <bgColor auto="1"/>
        </patternFill>
      </fill>
      <alignment horizontal="left" vertical="center" textRotation="0" wrapText="1" indent="0" justifyLastLine="0" shrinkToFit="0" readingOrder="0"/>
      <border diagonalUp="0" diagonalDown="0"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border diagonalUp="0" diagonalDown="0"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border diagonalUp="0" diagonalDown="0" outline="0">
        <left/>
        <right/>
        <top style="thin">
          <color indexed="64"/>
        </top>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border diagonalUp="0" diagonalDown="0" outline="0">
        <left/>
        <right/>
        <top style="thin">
          <color indexed="64"/>
        </top>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auto="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border diagonalUp="0" diagonalDown="0"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1"/>
        <color auto="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border diagonalUp="0" diagonalDown="0"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1"/>
        <color auto="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border diagonalUp="0" diagonalDown="0"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1"/>
        <color auto="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border diagonalUp="0" diagonalDown="0"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1"/>
        <color auto="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border diagonalUp="0" diagonalDown="0"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1"/>
        <color theme="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border diagonalUp="0" diagonalDown="0"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border diagonalUp="0" diagonalDown="0"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border diagonalUp="0" diagonalDown="0" outline="0">
        <left/>
        <right/>
        <top style="thin">
          <color indexed="64"/>
        </top>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border diagonalUp="0" diagonalDown="0" outline="0">
        <left/>
        <right/>
        <top style="thin">
          <color indexed="64"/>
        </top>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family val="2"/>
        <scheme val="none"/>
      </font>
      <numFmt numFmtId="30" formatCode="@"/>
      <fill>
        <patternFill patternType="none">
          <fgColor indexed="64"/>
          <bgColor auto="1"/>
        </patternFill>
      </fill>
      <alignment horizontal="left" vertical="center" textRotation="0" wrapText="1" indent="0" justifyLastLine="0" shrinkToFit="0" readingOrder="0"/>
      <border diagonalUp="0" diagonalDown="0"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border diagonalUp="0" diagonalDown="0" outline="0">
        <left/>
        <right/>
        <top style="thin">
          <color indexed="64"/>
        </top>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border diagonalUp="0" diagonalDown="0" outline="0">
        <left/>
        <right/>
        <top style="thin">
          <color indexed="64"/>
        </top>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border diagonalUp="0" diagonalDown="0" outline="0">
        <left/>
        <right/>
        <top style="thin">
          <color indexed="64"/>
        </top>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border diagonalUp="0" diagonalDown="0" outline="0">
        <left/>
        <right/>
        <top style="thin">
          <color indexed="64"/>
        </top>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border diagonalUp="0" diagonalDown="0" outline="0">
        <left/>
        <right/>
        <top style="thin">
          <color indexed="64"/>
        </top>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ill>
        <patternFill patternType="none">
          <fgColor indexed="64"/>
          <bgColor auto="1"/>
        </patternFill>
      </fill>
    </dxf>
    <dxf>
      <border outline="0">
        <top style="thin">
          <color indexed="64"/>
        </top>
      </border>
    </dxf>
    <dxf>
      <border outline="0">
        <left style="thin">
          <color indexed="64"/>
        </left>
        <right style="thin">
          <color indexed="64"/>
        </right>
        <top style="thin">
          <color indexed="64"/>
        </top>
        <bottom style="thin">
          <color indexed="64"/>
        </bottom>
      </border>
    </dxf>
    <dxf>
      <fill>
        <patternFill patternType="none">
          <fgColor indexed="64"/>
          <bgColor auto="1"/>
        </patternFill>
      </fill>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border diagonalUp="0" diagonalDown="0" outline="0">
        <left/>
        <right/>
        <top style="thin">
          <color indexed="64"/>
        </top>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border diagonalUp="0" diagonalDown="0" outline="0">
        <left/>
        <right/>
        <top style="thin">
          <color indexed="64"/>
        </top>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border diagonalUp="0" diagonalDown="0" outline="0">
        <left/>
        <right/>
        <top style="thin">
          <color indexed="64"/>
        </top>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border diagonalUp="0" diagonalDown="0" outline="0">
        <left/>
        <right/>
        <top style="thin">
          <color indexed="64"/>
        </top>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border diagonalUp="0" diagonalDown="0" outline="0">
        <left/>
        <right/>
        <top style="thin">
          <color indexed="64"/>
        </top>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border diagonalUp="0" diagonalDown="0" outline="0">
        <left/>
        <right/>
        <top style="thin">
          <color indexed="64"/>
        </top>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border diagonalUp="0" diagonalDown="0" outline="0">
        <left/>
        <right/>
        <top style="thin">
          <color indexed="64"/>
        </top>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ill>
        <patternFill patternType="none">
          <fgColor indexed="64"/>
          <bgColor auto="1"/>
        </patternFill>
      </fill>
    </dxf>
    <dxf>
      <border outline="0">
        <top style="thin">
          <color indexed="64"/>
        </top>
      </border>
    </dxf>
    <dxf>
      <border outline="0">
        <left style="thin">
          <color indexed="64"/>
        </left>
        <right style="thin">
          <color indexed="64"/>
        </right>
        <top style="thin">
          <color indexed="64"/>
        </top>
        <bottom style="thin">
          <color indexed="64"/>
        </bottom>
      </border>
    </dxf>
    <dxf>
      <fill>
        <patternFill patternType="none">
          <fgColor indexed="64"/>
          <bgColor auto="1"/>
        </patternFill>
      </fill>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border diagonalUp="0" diagonalDown="0" outline="0">
        <left/>
        <right/>
        <top style="thin">
          <color indexed="64"/>
        </top>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auto="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border diagonalUp="0" diagonalDown="0" outline="0">
        <left/>
        <right/>
        <top style="thin">
          <color indexed="64"/>
        </top>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auto="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border diagonalUp="0" diagonalDown="0" outline="0">
        <left/>
        <right/>
        <top style="thin">
          <color indexed="64"/>
        </top>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auto="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border diagonalUp="0" diagonalDown="0" outline="0">
        <left/>
        <right/>
        <top style="thin">
          <color indexed="64"/>
        </top>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border diagonalUp="0" diagonalDown="0"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GE Inspira"/>
        <family val="2"/>
        <scheme val="none"/>
      </font>
      <numFmt numFmtId="30" formatCode="@"/>
      <fill>
        <patternFill patternType="none">
          <fgColor indexed="64"/>
          <bgColor indexed="65"/>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GE Inspira"/>
        <family val="2"/>
        <scheme val="none"/>
      </font>
      <fill>
        <patternFill patternType="none">
          <fgColor indexed="64"/>
          <bgColor indexed="65"/>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fill>
        <patternFill patternType="solid">
          <fgColor indexed="64"/>
          <bgColor theme="4" tint="0.39997558519241921"/>
        </patternFill>
      </fill>
      <alignment horizontal="general" vertical="center" textRotation="0" wrapText="1" indent="0" justifyLastLine="0" shrinkToFit="0" readingOrder="0"/>
    </dxf>
    <dxf>
      <font>
        <b val="0"/>
        <i val="0"/>
        <strike val="0"/>
        <condense val="0"/>
        <extend val="0"/>
        <outline val="0"/>
        <shadow val="0"/>
        <u val="none"/>
        <vertAlign val="baseline"/>
        <sz val="11"/>
        <color theme="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border diagonalUp="0" diagonalDown="0" outline="0">
        <left/>
        <right/>
        <top style="thin">
          <color indexed="64"/>
        </top>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fill>
        <patternFill patternType="solid">
          <fgColor indexed="64"/>
          <bgColor theme="4" tint="0.39997558519241921"/>
        </patternFill>
      </fill>
      <alignment horizontal="general" vertical="center" textRotation="0" wrapText="1" indent="0" justifyLastLine="0" shrinkToFit="0" readingOrder="0"/>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ill>
        <patternFill>
          <bgColor rgb="FFFF0000"/>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colors>
    <mruColors>
      <color rgb="FFFF0000"/>
      <color rgb="FFCC0000"/>
      <color rgb="FFCC6600"/>
      <color rgb="FF336600"/>
      <color rgb="FF990033"/>
      <color rgb="FFFF33CC"/>
      <color rgb="FFFF99FF"/>
      <color rgb="FFFF66FF"/>
      <color rgb="FF008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8.emf"/></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465905</xdr:colOff>
      <xdr:row>39</xdr:row>
      <xdr:rowOff>65738</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0" y="0"/>
          <a:ext cx="6561905" cy="7495238"/>
        </a:xfrm>
        <a:prstGeom prst="rect">
          <a:avLst/>
        </a:prstGeom>
      </xdr:spPr>
    </xdr:pic>
    <xdr:clientData/>
  </xdr:twoCellAnchor>
  <xdr:twoCellAnchor editAs="oneCell">
    <xdr:from>
      <xdr:col>11</xdr:col>
      <xdr:colOff>0</xdr:colOff>
      <xdr:row>0</xdr:row>
      <xdr:rowOff>0</xdr:rowOff>
    </xdr:from>
    <xdr:to>
      <xdr:col>21</xdr:col>
      <xdr:colOff>446857</xdr:colOff>
      <xdr:row>44</xdr:row>
      <xdr:rowOff>141809</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2"/>
        <a:stretch>
          <a:fillRect/>
        </a:stretch>
      </xdr:blipFill>
      <xdr:spPr>
        <a:xfrm>
          <a:off x="6705600" y="0"/>
          <a:ext cx="6542857" cy="8523809"/>
        </a:xfrm>
        <a:prstGeom prst="rect">
          <a:avLst/>
        </a:prstGeom>
      </xdr:spPr>
    </xdr:pic>
    <xdr:clientData/>
  </xdr:twoCellAnchor>
  <xdr:twoCellAnchor editAs="oneCell">
    <xdr:from>
      <xdr:col>22</xdr:col>
      <xdr:colOff>0</xdr:colOff>
      <xdr:row>0</xdr:row>
      <xdr:rowOff>0</xdr:rowOff>
    </xdr:from>
    <xdr:to>
      <xdr:col>32</xdr:col>
      <xdr:colOff>437333</xdr:colOff>
      <xdr:row>38</xdr:row>
      <xdr:rowOff>122905</xdr:rowOff>
    </xdr:to>
    <xdr:pic>
      <xdr:nvPicPr>
        <xdr:cNvPr id="5" name="Picture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3"/>
        <a:stretch>
          <a:fillRect/>
        </a:stretch>
      </xdr:blipFill>
      <xdr:spPr>
        <a:xfrm>
          <a:off x="13411200" y="0"/>
          <a:ext cx="6533333" cy="7361905"/>
        </a:xfrm>
        <a:prstGeom prst="rect">
          <a:avLst/>
        </a:prstGeom>
      </xdr:spPr>
    </xdr:pic>
    <xdr:clientData/>
  </xdr:twoCellAnchor>
  <xdr:twoCellAnchor editAs="oneCell">
    <xdr:from>
      <xdr:col>33</xdr:col>
      <xdr:colOff>0</xdr:colOff>
      <xdr:row>0</xdr:row>
      <xdr:rowOff>0</xdr:rowOff>
    </xdr:from>
    <xdr:to>
      <xdr:col>43</xdr:col>
      <xdr:colOff>446857</xdr:colOff>
      <xdr:row>40</xdr:row>
      <xdr:rowOff>37143</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4"/>
        <a:stretch>
          <a:fillRect/>
        </a:stretch>
      </xdr:blipFill>
      <xdr:spPr>
        <a:xfrm>
          <a:off x="20116800" y="0"/>
          <a:ext cx="6542857" cy="7657143"/>
        </a:xfrm>
        <a:prstGeom prst="rect">
          <a:avLst/>
        </a:prstGeom>
      </xdr:spPr>
    </xdr:pic>
    <xdr:clientData/>
  </xdr:twoCellAnchor>
  <xdr:twoCellAnchor editAs="oneCell">
    <xdr:from>
      <xdr:col>44</xdr:col>
      <xdr:colOff>0</xdr:colOff>
      <xdr:row>0</xdr:row>
      <xdr:rowOff>0</xdr:rowOff>
    </xdr:from>
    <xdr:to>
      <xdr:col>54</xdr:col>
      <xdr:colOff>446857</xdr:colOff>
      <xdr:row>42</xdr:row>
      <xdr:rowOff>65667</xdr:rowOff>
    </xdr:to>
    <xdr:pic>
      <xdr:nvPicPr>
        <xdr:cNvPr id="7" name="Picture 6">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5"/>
        <a:stretch>
          <a:fillRect/>
        </a:stretch>
      </xdr:blipFill>
      <xdr:spPr>
        <a:xfrm>
          <a:off x="26822400" y="0"/>
          <a:ext cx="6542857" cy="8066667"/>
        </a:xfrm>
        <a:prstGeom prst="rect">
          <a:avLst/>
        </a:prstGeom>
      </xdr:spPr>
    </xdr:pic>
    <xdr:clientData/>
  </xdr:twoCellAnchor>
  <xdr:twoCellAnchor editAs="oneCell">
    <xdr:from>
      <xdr:col>55</xdr:col>
      <xdr:colOff>19050</xdr:colOff>
      <xdr:row>0</xdr:row>
      <xdr:rowOff>9525</xdr:rowOff>
    </xdr:from>
    <xdr:to>
      <xdr:col>65</xdr:col>
      <xdr:colOff>456383</xdr:colOff>
      <xdr:row>44</xdr:row>
      <xdr:rowOff>151334</xdr:rowOff>
    </xdr:to>
    <xdr:pic>
      <xdr:nvPicPr>
        <xdr:cNvPr id="8" name="Picture 7">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6"/>
        <a:stretch>
          <a:fillRect/>
        </a:stretch>
      </xdr:blipFill>
      <xdr:spPr>
        <a:xfrm>
          <a:off x="33547050" y="9525"/>
          <a:ext cx="6533333" cy="8523809"/>
        </a:xfrm>
        <a:prstGeom prst="rect">
          <a:avLst/>
        </a:prstGeom>
      </xdr:spPr>
    </xdr:pic>
    <xdr:clientData/>
  </xdr:twoCellAnchor>
  <xdr:twoCellAnchor editAs="oneCell">
    <xdr:from>
      <xdr:col>22</xdr:col>
      <xdr:colOff>9525</xdr:colOff>
      <xdr:row>38</xdr:row>
      <xdr:rowOff>85725</xdr:rowOff>
    </xdr:from>
    <xdr:to>
      <xdr:col>32</xdr:col>
      <xdr:colOff>446858</xdr:colOff>
      <xdr:row>47</xdr:row>
      <xdr:rowOff>66463</xdr:rowOff>
    </xdr:to>
    <xdr:pic>
      <xdr:nvPicPr>
        <xdr:cNvPr id="9" name="Picture 8">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7"/>
        <a:stretch>
          <a:fillRect/>
        </a:stretch>
      </xdr:blipFill>
      <xdr:spPr>
        <a:xfrm>
          <a:off x="13420725" y="7324725"/>
          <a:ext cx="6533333" cy="169523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4629150</xdr:colOff>
          <xdr:row>0</xdr:row>
          <xdr:rowOff>49530</xdr:rowOff>
        </xdr:from>
        <xdr:to>
          <xdr:col>4</xdr:col>
          <xdr:colOff>5486400</xdr:colOff>
          <xdr:row>3</xdr:row>
          <xdr:rowOff>57150</xdr:rowOff>
        </xdr:to>
        <xdr:sp macro="" textlink="">
          <xdr:nvSpPr>
            <xdr:cNvPr id="12292" name="Object 4" hidden="1">
              <a:extLst>
                <a:ext uri="{63B3BB69-23CF-44E3-9099-C40C66FF867C}">
                  <a14:compatExt spid="_x0000_s12292"/>
                </a:ext>
                <a:ext uri="{FF2B5EF4-FFF2-40B4-BE49-F238E27FC236}">
                  <a16:creationId xmlns:a16="http://schemas.microsoft.com/office/drawing/2014/main" id="{00000000-0008-0000-0300-0000043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4</xdr:col>
      <xdr:colOff>6118412</xdr:colOff>
      <xdr:row>0</xdr:row>
      <xdr:rowOff>78441</xdr:rowOff>
    </xdr:from>
    <xdr:to>
      <xdr:col>5</xdr:col>
      <xdr:colOff>414618</xdr:colOff>
      <xdr:row>4</xdr:row>
      <xdr:rowOff>11206</xdr:rowOff>
    </xdr:to>
    <xdr:sp macro="" textlink="">
      <xdr:nvSpPr>
        <xdr:cNvPr id="2" name="TextBox 1">
          <a:extLst>
            <a:ext uri="{FF2B5EF4-FFF2-40B4-BE49-F238E27FC236}">
              <a16:creationId xmlns:a16="http://schemas.microsoft.com/office/drawing/2014/main" id="{00000000-0008-0000-0300-000002000000}"/>
            </a:ext>
          </a:extLst>
        </xdr:cNvPr>
        <xdr:cNvSpPr txBox="1"/>
      </xdr:nvSpPr>
      <xdr:spPr>
        <a:xfrm>
          <a:off x="14982265" y="78441"/>
          <a:ext cx="2532529" cy="79561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dk1"/>
              </a:solidFill>
              <a:effectLst/>
              <a:latin typeface="+mn-lt"/>
              <a:ea typeface="+mn-ea"/>
              <a:cs typeface="+mn-cs"/>
            </a:rPr>
            <a:t>To check compliance of the system Applications Software and Service Pack, follow the steps</a:t>
          </a:r>
          <a:endParaRPr lang="en-US" sz="1200"/>
        </a:p>
      </xdr:txBody>
    </xdr:sp>
    <xdr:clientData/>
  </xdr:twoCellAnchor>
  <xdr:twoCellAnchor>
    <xdr:from>
      <xdr:col>4</xdr:col>
      <xdr:colOff>5490988</xdr:colOff>
      <xdr:row>1</xdr:row>
      <xdr:rowOff>197503</xdr:rowOff>
    </xdr:from>
    <xdr:to>
      <xdr:col>4</xdr:col>
      <xdr:colOff>6118412</xdr:colOff>
      <xdr:row>2</xdr:row>
      <xdr:rowOff>5603</xdr:rowOff>
    </xdr:to>
    <xdr:cxnSp macro="">
      <xdr:nvCxnSpPr>
        <xdr:cNvPr id="4" name="Straight Arrow Connector 3">
          <a:extLst>
            <a:ext uri="{FF2B5EF4-FFF2-40B4-BE49-F238E27FC236}">
              <a16:creationId xmlns:a16="http://schemas.microsoft.com/office/drawing/2014/main" id="{00000000-0008-0000-0300-000004000000}"/>
            </a:ext>
          </a:extLst>
        </xdr:cNvPr>
        <xdr:cNvCxnSpPr>
          <a:stCxn id="2" idx="1"/>
        </xdr:cNvCxnSpPr>
      </xdr:nvCxnSpPr>
      <xdr:spPr>
        <a:xfrm flipH="1" flipV="1">
          <a:off x="14354841" y="388003"/>
          <a:ext cx="627424" cy="88247"/>
        </a:xfrm>
        <a:prstGeom prst="straightConnector1">
          <a:avLst/>
        </a:prstGeom>
        <a:ln w="28575">
          <a:tailEnd type="triangle"/>
        </a:ln>
      </xdr:spPr>
      <xdr:style>
        <a:lnRef idx="3">
          <a:schemeClr val="accent2"/>
        </a:lnRef>
        <a:fillRef idx="0">
          <a:schemeClr val="accent2"/>
        </a:fillRef>
        <a:effectRef idx="2">
          <a:schemeClr val="accent2"/>
        </a:effectRef>
        <a:fontRef idx="minor">
          <a:schemeClr val="tx1"/>
        </a:fontRef>
      </xdr:style>
    </xdr:cxn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F3:F4" totalsRowShown="0" headerRowDxfId="437" dataDxfId="435" headerRowBorderDxfId="436" tableBorderDxfId="434" totalsRowBorderDxfId="433">
  <autoFilter ref="F3:F4" xr:uid="{00000000-0009-0000-0100-000002000000}"/>
  <tableColumns count="1">
    <tableColumn id="1" xr3:uid="{00000000-0010-0000-0000-000001000000}" name="Signa 1x 2x 3x" dataDxfId="432"/>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G3:G6" totalsRowShown="0" headerRowDxfId="431" dataDxfId="429" headerRowBorderDxfId="430" tableBorderDxfId="428" totalsRowBorderDxfId="427">
  <autoFilter ref="G3:G6" xr:uid="{00000000-0009-0000-0100-000003000000}"/>
  <tableColumns count="1">
    <tableColumn id="1" xr3:uid="{00000000-0010-0000-0100-000001000000}" name="Signa Advantage" dataDxfId="426"/>
  </tableColumns>
  <tableStyleInfo name="TableStyleLight2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Table4" displayName="Table4" ref="H3:H9" totalsRowShown="0" headerRowDxfId="425" dataDxfId="423" headerRowBorderDxfId="424" tableBorderDxfId="422" totalsRowBorderDxfId="421">
  <autoFilter ref="H3:H9" xr:uid="{00000000-0009-0000-0100-000004000000}"/>
  <sortState xmlns:xlrd2="http://schemas.microsoft.com/office/spreadsheetml/2017/richdata2" ref="H4:H9">
    <sortCondition descending="1" ref="H4"/>
  </sortState>
  <tableColumns count="1">
    <tableColumn id="1" xr3:uid="{00000000-0010-0000-0200-000001000000}" name="Signa Horizon" dataDxfId="42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3000000}" name="Table5" displayName="Table5" ref="I3:I4" totalsRowShown="0" headerRowDxfId="419" dataDxfId="417" headerRowBorderDxfId="418" tableBorderDxfId="416" totalsRowBorderDxfId="415">
  <autoFilter ref="I3:I4" xr:uid="{00000000-0009-0000-0100-000005000000}"/>
  <tableColumns count="1">
    <tableColumn id="1" xr3:uid="{00000000-0010-0000-0300-000001000000}" name="Resona ResonaC MR MAX MR MaxC" dataDxfId="414"/>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4000000}" name="Table6" displayName="Table6" ref="J3:J4" totalsRowShown="0" headerRowDxfId="413" dataDxfId="411" headerRowBorderDxfId="412" tableBorderDxfId="410" totalsRowBorderDxfId="409">
  <autoFilter ref="J3:J4" xr:uid="{00000000-0009-0000-0100-000006000000}"/>
  <tableColumns count="1">
    <tableColumn id="1" xr3:uid="{00000000-0010-0000-0400-000001000000}" name="Vectra" dataDxfId="408"/>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5000000}" name="Table7" displayName="Table7" ref="K3:K4" totalsRowShown="0" headerRowDxfId="407" dataDxfId="405" headerRowBorderDxfId="406" tableBorderDxfId="404" totalsRowBorderDxfId="403">
  <autoFilter ref="K3:K4" xr:uid="{00000000-0009-0000-0100-000007000000}"/>
  <tableColumns count="1">
    <tableColumn id="1" xr3:uid="{00000000-0010-0000-0500-000001000000}" name="Sierra" dataDxfId="402"/>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6000000}" name="Table8" displayName="Table8" ref="L3:L4" totalsRowShown="0" headerRowDxfId="401" dataDxfId="399" headerRowBorderDxfId="400" tableBorderDxfId="398" totalsRowBorderDxfId="397">
  <autoFilter ref="L3:L4" xr:uid="{00000000-0009-0000-0100-000008000000}"/>
  <tableColumns count="1">
    <tableColumn id="1" xr3:uid="{00000000-0010-0000-0600-000001000000}" name="Contour Profile" dataDxfId="396"/>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7000000}" name="Table9" displayName="Table9" ref="M3:M7" totalsRowShown="0" headerRowDxfId="395" dataDxfId="393" headerRowBorderDxfId="394" tableBorderDxfId="392" totalsRowBorderDxfId="391">
  <autoFilter ref="M3:M7" xr:uid="{00000000-0009-0000-0100-000009000000}"/>
  <sortState xmlns:xlrd2="http://schemas.microsoft.com/office/spreadsheetml/2017/richdata2" ref="M4:M7">
    <sortCondition ref="M4"/>
  </sortState>
  <tableColumns count="1">
    <tableColumn id="1" xr3:uid="{00000000-0010-0000-0700-000001000000}" name="Signa Lx" dataDxfId="390"/>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8000000}" name="Table10" displayName="Table10" ref="N3:N4" totalsRowShown="0" headerRowDxfId="389" dataDxfId="387" headerRowBorderDxfId="388" tableBorderDxfId="386" totalsRowBorderDxfId="385">
  <autoFilter ref="N3:N4" xr:uid="{00000000-0009-0000-0100-00000A000000}"/>
  <tableColumns count="1">
    <tableColumn id="1" xr3:uid="{00000000-0010-0000-0800-000001000000}" name="Horizon Open Speed" dataDxfId="384"/>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9000000}" name="Table11" displayName="Table11" ref="O3:O4" totalsRowShown="0" headerRowDxfId="383" dataDxfId="381" headerRowBorderDxfId="382" tableBorderDxfId="380" totalsRowBorderDxfId="379">
  <autoFilter ref="O3:O4" xr:uid="{00000000-0009-0000-0100-00000B000000}"/>
  <tableColumns count="1">
    <tableColumn id="1" xr3:uid="{00000000-0010-0000-0900-000001000000}" name="Horizon 3T" dataDxfId="378"/>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A000000}" name="Table12" displayName="Table12" ref="P3:P4" totalsRowShown="0" headerRowDxfId="377" dataDxfId="375" headerRowBorderDxfId="376" tableBorderDxfId="374" totalsRowBorderDxfId="373">
  <autoFilter ref="P3:P4" xr:uid="{00000000-0009-0000-0100-00000C000000}"/>
  <tableColumns count="1">
    <tableColumn id="1" xr3:uid="{00000000-0010-0000-0A00-000001000000}" name="Signa E2" dataDxfId="372"/>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B000000}" name="Table13" displayName="Table13" ref="Q3:Q4" totalsRowShown="0" headerRowDxfId="371" dataDxfId="369" headerRowBorderDxfId="370" tableBorderDxfId="368" totalsRowBorderDxfId="367">
  <autoFilter ref="Q3:Q4" xr:uid="{00000000-0009-0000-0100-00000D000000}"/>
  <tableColumns count="1">
    <tableColumn id="1" xr3:uid="{00000000-0010-0000-0B00-000001000000}" name="Signa G3" dataDxfId="366"/>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C000000}" name="Table14" displayName="Table14" ref="R3:R4" totalsRowShown="0" headerRowDxfId="365" dataDxfId="363" headerRowBorderDxfId="364" tableBorderDxfId="362" totalsRowBorderDxfId="361">
  <autoFilter ref="R3:R4" xr:uid="{00000000-0009-0000-0100-00000E000000}"/>
  <tableColumns count="1">
    <tableColumn id="1" xr3:uid="{00000000-0010-0000-0C00-000001000000}" name="Profile 5" dataDxfId="360"/>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D000000}" name="Table15" displayName="Table15" ref="S3:S4" totalsRowShown="0" headerRowDxfId="359" dataDxfId="357" headerRowBorderDxfId="358" tableBorderDxfId="356" totalsRowBorderDxfId="355">
  <autoFilter ref="S3:S4" xr:uid="{00000000-0009-0000-0100-00000F000000}"/>
  <tableColumns count="1">
    <tableColumn id="1" xr3:uid="{00000000-0010-0000-0D00-000001000000}" name="Profile HD" dataDxfId="354"/>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E000000}" name="Table16" displayName="Table16" ref="T3:T4" totalsRowShown="0" headerRowDxfId="353" dataDxfId="351" headerRowBorderDxfId="352" tableBorderDxfId="350" totalsRowBorderDxfId="349">
  <autoFilter ref="T3:T4" xr:uid="{00000000-0009-0000-0100-000010000000}"/>
  <tableColumns count="1">
    <tableColumn id="1" xr3:uid="{00000000-0010-0000-0E00-000001000000}" name="Ovation 5" dataDxfId="348"/>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0F000000}" name="Table17" displayName="Table17" ref="U3:U6" totalsRowShown="0" headerRowDxfId="347" dataDxfId="345" headerRowBorderDxfId="346" tableBorderDxfId="344" totalsRowBorderDxfId="343">
  <autoFilter ref="U3:U6" xr:uid="{00000000-0009-0000-0100-000011000000}"/>
  <tableColumns count="1">
    <tableColumn id="1" xr3:uid="{00000000-0010-0000-0F00-000001000000}" name="Excite" dataDxfId="342"/>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0000000}" name="Table18" displayName="Table18" ref="V3:V4" totalsRowShown="0" headerRowDxfId="341" dataDxfId="339" headerRowBorderDxfId="340" tableBorderDxfId="338" totalsRowBorderDxfId="337">
  <autoFilter ref="V3:V4" xr:uid="{00000000-0009-0000-0100-000012000000}"/>
  <tableColumns count="1">
    <tableColumn id="1" xr3:uid="{00000000-0010-0000-1000-000001000000}" name="Ovation 2" dataDxfId="336"/>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1000000}" name="Table19" displayName="Table19" ref="W3:W4" totalsRowShown="0" headerRowDxfId="335" dataDxfId="333" headerRowBorderDxfId="334" tableBorderDxfId="332" totalsRowBorderDxfId="331">
  <autoFilter ref="W3:W4" xr:uid="{00000000-0009-0000-0100-000013000000}"/>
  <tableColumns count="1">
    <tableColumn id="1" xr3:uid="{00000000-0010-0000-1100-000001000000}" name="Ovation 3" dataDxfId="330"/>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2000000}" name="Table20" displayName="Table20" ref="X3:X4" totalsRowShown="0" headerRowDxfId="329" dataDxfId="327" headerRowBorderDxfId="328" tableBorderDxfId="326" totalsRowBorderDxfId="325">
  <autoFilter ref="X3:X4" xr:uid="{00000000-0009-0000-0100-000014000000}"/>
  <tableColumns count="1">
    <tableColumn id="1" xr3:uid="{00000000-0010-0000-1200-000001000000}" name="HFO 5" dataDxfId="324"/>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3000000}" name="Table21" displayName="Table21" ref="Y3:Y4" totalsRowShown="0" headerRowDxfId="323" dataDxfId="321" headerRowBorderDxfId="322" tableBorderDxfId="320" totalsRowBorderDxfId="319">
  <autoFilter ref="Y3:Y4" xr:uid="{00000000-0009-0000-0100-000015000000}"/>
  <tableColumns count="1">
    <tableColumn id="1" xr3:uid="{00000000-0010-0000-1300-000001000000}" name="Excite Ovation" dataDxfId="318"/>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4000000}" name="Table22" displayName="Table22" ref="Z3:Z4" totalsRowShown="0" headerRowDxfId="317" dataDxfId="315" headerRowBorderDxfId="316" tableBorderDxfId="314" totalsRowBorderDxfId="313">
  <autoFilter ref="Z3:Z4" xr:uid="{00000000-0009-0000-0100-000016000000}"/>
  <tableColumns count="1">
    <tableColumn id="1" xr3:uid="{00000000-0010-0000-1400-000001000000}" name="EXCITE OpenSpeed" dataDxfId="312"/>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5000000}" name="Table23" displayName="Table23" ref="AA3:AA9" totalsRowShown="0" headerRowDxfId="311" dataDxfId="309" headerRowBorderDxfId="310" tableBorderDxfId="308" totalsRowBorderDxfId="307">
  <autoFilter ref="AA3:AA9" xr:uid="{00000000-0009-0000-0100-000017000000}"/>
  <tableColumns count="1">
    <tableColumn id="1" xr3:uid="{00000000-0010-0000-1500-000001000000}" name="Signa HD" dataDxfId="306"/>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6000000}" name="Table24" displayName="Table24" ref="AB3:AB4" totalsRowShown="0" headerRowDxfId="305" dataDxfId="303" headerRowBorderDxfId="304" tableBorderDxfId="302" totalsRowBorderDxfId="301">
  <autoFilter ref="AB3:AB4" xr:uid="{00000000-0009-0000-0100-000018000000}"/>
  <tableColumns count="1">
    <tableColumn id="1" xr3:uid="{00000000-0010-0000-1600-000001000000}" name="Ovation HD" dataDxfId="300"/>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7000000}" name="Table25" displayName="Table25" ref="AC3:AC6" totalsRowShown="0" headerRowDxfId="299" dataDxfId="297" headerRowBorderDxfId="298" tableBorderDxfId="296" totalsRowBorderDxfId="295">
  <autoFilter ref="AC3:AC6" xr:uid="{00000000-0009-0000-0100-000019000000}"/>
  <tableColumns count="1">
    <tableColumn id="1" xr3:uid="{00000000-0010-0000-1700-000001000000}" name="HDe 2" dataDxfId="294"/>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8000000}" name="Table26" displayName="Table26" ref="AE3:AE29" totalsRowShown="0" headerRowDxfId="293" dataDxfId="291" headerRowBorderDxfId="292" tableBorderDxfId="290" totalsRowBorderDxfId="289">
  <autoFilter ref="AE3:AE29" xr:uid="{00000000-0009-0000-0100-00001A000000}"/>
  <tableColumns count="1">
    <tableColumn id="1" xr3:uid="{00000000-0010-0000-1800-000001000000}" name="SignaHDxt" dataDxfId="288"/>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9000000}" name="Table27" displayName="Table27" ref="AD3:AD14" totalsRowShown="0" headerRowDxfId="287" dataDxfId="285" headerRowBorderDxfId="286" tableBorderDxfId="284" totalsRowBorderDxfId="283">
  <autoFilter ref="AD3:AD14" xr:uid="{00000000-0009-0000-0100-00001B000000}"/>
  <tableColumns count="1">
    <tableColumn id="1" xr3:uid="{00000000-0010-0000-1900-000001000000}" name="Signa HDxt 3T" dataDxfId="282"/>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B000000}" name="Table29" displayName="Table29" ref="AJ3:AJ23" totalsRowShown="0" headerRowDxfId="281" dataDxfId="279" headerRowBorderDxfId="280" tableBorderDxfId="278" totalsRowBorderDxfId="277">
  <autoFilter ref="AJ3:AJ23" xr:uid="{00000000-0009-0000-0100-00001D000000}"/>
  <sortState xmlns:xlrd2="http://schemas.microsoft.com/office/spreadsheetml/2017/richdata2" ref="AJ4:AJ18">
    <sortCondition ref="AJ4"/>
  </sortState>
  <tableColumns count="1">
    <tableColumn id="1" xr3:uid="{00000000-0010-0000-1B00-000001000000}" name="DiscoveryMR450" dataDxfId="276"/>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C000000}" name="Table30" displayName="Table30" ref="AL3:AL28" totalsRowShown="0" headerRowDxfId="275" dataDxfId="273" headerRowBorderDxfId="274" tableBorderDxfId="272" totalsRowBorderDxfId="271">
  <autoFilter ref="AL3:AL28" xr:uid="{00000000-0009-0000-0100-00001E000000}"/>
  <sortState xmlns:xlrd2="http://schemas.microsoft.com/office/spreadsheetml/2017/richdata2" ref="AL4:AL19">
    <sortCondition ref="AL4"/>
  </sortState>
  <tableColumns count="1">
    <tableColumn id="1" xr3:uid="{00000000-0010-0000-1C00-000001000000}" name="OptimaMR450w" dataDxfId="270"/>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1D000000}" name="Table31" displayName="Table31" ref="AM3:AM28" totalsRowShown="0" headerRowDxfId="269" dataDxfId="267" headerRowBorderDxfId="268" tableBorderDxfId="266" totalsRowBorderDxfId="265">
  <autoFilter ref="AM3:AM28" xr:uid="{00000000-0009-0000-0100-00001F000000}"/>
  <sortState xmlns:xlrd2="http://schemas.microsoft.com/office/spreadsheetml/2017/richdata2" ref="AM4:AM18">
    <sortCondition ref="AM4"/>
  </sortState>
  <tableColumns count="1">
    <tableColumn id="1" xr3:uid="{00000000-0010-0000-1D00-000001000000}" name="Optima450wGEM" dataDxfId="264"/>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E000000}" name="Table32" displayName="Table32" ref="AO3:AO27" totalsRowShown="0" headerRowDxfId="263" dataDxfId="261" headerRowBorderDxfId="262" tableBorderDxfId="260" totalsRowBorderDxfId="259">
  <autoFilter ref="AO3:AO27" xr:uid="{00000000-0009-0000-0100-000020000000}"/>
  <sortState xmlns:xlrd2="http://schemas.microsoft.com/office/spreadsheetml/2017/richdata2" ref="AO4:AO18">
    <sortCondition ref="AO4"/>
  </sortState>
  <tableColumns count="1">
    <tableColumn id="1" xr3:uid="{00000000-0010-0000-1E00-000001000000}" name="DiscoveryMR750" dataDxfId="258"/>
  </tableColumns>
  <tableStyleInfo name="TableStyleMedium2"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1F000000}" name="Table33" displayName="Table33" ref="AQ3:AQ26" totalsRowShown="0" headerRowDxfId="257" dataDxfId="255" headerRowBorderDxfId="256" tableBorderDxfId="254" totalsRowBorderDxfId="253">
  <autoFilter ref="AQ3:AQ26" xr:uid="{00000000-0009-0000-0100-000021000000}"/>
  <sortState xmlns:xlrd2="http://schemas.microsoft.com/office/spreadsheetml/2017/richdata2" ref="AQ4:AQ17">
    <sortCondition ref="AQ4"/>
  </sortState>
  <tableColumns count="1">
    <tableColumn id="1" xr3:uid="{00000000-0010-0000-1F00-000001000000}" name="DiscoveryMR750w" dataDxfId="252"/>
  </tableColumns>
  <tableStyleInfo name="TableStyleMedium2"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1000000}" name="Table35" displayName="Table35" ref="AS3:AS4" totalsRowShown="0" headerRowDxfId="251" dataDxfId="249" headerRowBorderDxfId="250" tableBorderDxfId="248" totalsRowBorderDxfId="247">
  <autoFilter ref="AS3:AS4" xr:uid="{00000000-0009-0000-0100-000023000000}"/>
  <tableColumns count="1">
    <tableColumn id="1" xr3:uid="{00000000-0010-0000-2100-000001000000}" name="ONI ORTHONE 1.0" dataDxfId="246"/>
  </tableColumns>
  <tableStyleInfo name="TableStyleMedium2"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2000000}" name="Table36" displayName="Table36" ref="AT3:AT4" totalsRowShown="0" headerRowDxfId="245" dataDxfId="243" headerRowBorderDxfId="244" tableBorderDxfId="242" totalsRowBorderDxfId="241">
  <autoFilter ref="AT3:AT4" xr:uid="{00000000-0009-0000-0100-000024000000}"/>
  <tableColumns count="1">
    <tableColumn id="1" xr3:uid="{00000000-0010-0000-2200-000001000000}" name="ONI MSK Extreme 1.5T" dataDxfId="240"/>
  </tableColumns>
  <tableStyleInfo name="TableStyleMedium2"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3000000}" name="Table37" displayName="Table37" ref="AU3:AU7" totalsRowShown="0" headerRowDxfId="239" dataDxfId="237" headerRowBorderDxfId="238" tableBorderDxfId="236" totalsRowBorderDxfId="235">
  <autoFilter ref="AU3:AU7" xr:uid="{00000000-0009-0000-0100-000025000000}"/>
  <tableColumns count="1">
    <tableColumn id="1" xr3:uid="{00000000-0010-0000-2300-000001000000}" name="ONI Optima 430s" dataDxfId="234"/>
  </tableColumns>
  <tableStyleInfo name="TableStyleMedium2"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6000000}" name="Table40" displayName="Table40" ref="BG3:BG38" totalsRowShown="0" headerRowDxfId="233" dataDxfId="231" headerRowBorderDxfId="232" tableBorderDxfId="230" totalsRowBorderDxfId="229">
  <autoFilter ref="BG3:BG38" xr:uid="{00000000-0009-0000-0100-000028000000}"/>
  <sortState xmlns:xlrd2="http://schemas.microsoft.com/office/spreadsheetml/2017/richdata2" ref="BG4:BG14">
    <sortCondition ref="BG3:BG14"/>
  </sortState>
  <tableColumns count="1">
    <tableColumn id="1" xr3:uid="{00000000-0010-0000-2600-000001000000}" name="SignaVoyager" dataDxfId="228"/>
  </tableColumns>
  <tableStyleInfo name="TableStyleMedium2"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27000000}" name="Table41" displayName="Table41" ref="BK3:BK4" totalsRowShown="0" headerRowDxfId="227" dataDxfId="225" headerRowBorderDxfId="226" tableBorderDxfId="224" totalsRowBorderDxfId="223">
  <autoFilter ref="BK3:BK4" xr:uid="{00000000-0009-0000-0100-000029000000}"/>
  <sortState xmlns:xlrd2="http://schemas.microsoft.com/office/spreadsheetml/2017/richdata2" ref="BK4:BK28">
    <sortCondition ref="BK3:BK28"/>
  </sortState>
  <tableColumns count="1">
    <tableColumn id="1" xr3:uid="{00000000-0010-0000-2700-000001000000}" name="SignaArchitectAir" dataDxfId="222"/>
  </tableColumns>
  <tableStyleInfo name="TableStyleMedium2"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28000000}" name="Table42" displayName="Table42" ref="BN3:BN23" totalsRowShown="0" headerRowDxfId="221" dataDxfId="219" headerRowBorderDxfId="220" tableBorderDxfId="218" totalsRowBorderDxfId="217">
  <autoFilter ref="BN3:BN23" xr:uid="{00000000-0009-0000-0100-00002A000000}"/>
  <sortState xmlns:xlrd2="http://schemas.microsoft.com/office/spreadsheetml/2017/richdata2" ref="BN4:BN20">
    <sortCondition ref="BN3:BN20"/>
  </sortState>
  <tableColumns count="1">
    <tableColumn id="1" xr3:uid="{00000000-0010-0000-2800-000001000000}" name="SignaArtist" dataDxfId="216"/>
  </tableColumns>
  <tableStyleInfo name="TableStyleMedium2"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0000000-000C-0000-FFFF-FFFF29000000}" name="Table43" displayName="Table43" ref="BQ3:BQ22" totalsRowShown="0" headerRowDxfId="215" dataDxfId="213" headerRowBorderDxfId="214" tableBorderDxfId="212" totalsRowBorderDxfId="211">
  <autoFilter ref="BQ3:BQ22" xr:uid="{00000000-0009-0000-0100-00002B000000}"/>
  <sortState xmlns:xlrd2="http://schemas.microsoft.com/office/spreadsheetml/2017/richdata2" ref="BQ4:BQ5">
    <sortCondition ref="BQ4"/>
  </sortState>
  <tableColumns count="1">
    <tableColumn id="1" xr3:uid="{00000000-0010-0000-2900-000001000000}" name="SignaPremier" dataDxfId="210"/>
  </tableColumns>
  <tableStyleInfo name="TableStyleMedium2"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41B525B-17EA-4C95-B847-94FBC3E608B2}" name="Table282" displayName="Table282" ref="BT3:BT35" totalsRowShown="0" headerRowDxfId="209" dataDxfId="207" headerRowBorderDxfId="208" tableBorderDxfId="206" totalsRowBorderDxfId="205">
  <autoFilter ref="BT3:BT35" xr:uid="{A496FDDE-5AF5-448B-946D-7D43AAC77A1C}"/>
  <sortState xmlns:xlrd2="http://schemas.microsoft.com/office/spreadsheetml/2017/richdata2" ref="BT4:BT27">
    <sortCondition ref="BT3"/>
  </sortState>
  <tableColumns count="1">
    <tableColumn id="1" xr3:uid="{2E0AA5E7-2673-41F1-B4B8-22595C91869B}" name="OptimaMR360" dataDxfId="204"/>
  </tableColumns>
  <tableStyleInfo name="TableStyleMedium2"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462FB44D-C828-466F-AA8E-4436738716AB}" name="Table2847" displayName="Table2847" ref="AH3:AH35" totalsRowShown="0" headerRowDxfId="203" dataDxfId="201" headerRowBorderDxfId="202" tableBorderDxfId="200" totalsRowBorderDxfId="199">
  <autoFilter ref="AH3:AH35" xr:uid="{DA5DA738-A0CB-4328-AC1A-4CF02DED8AE9}"/>
  <sortState xmlns:xlrd2="http://schemas.microsoft.com/office/spreadsheetml/2017/richdata2" ref="AH4:AH26">
    <sortCondition ref="AH3"/>
  </sortState>
  <tableColumns count="1">
    <tableColumn id="1" xr3:uid="{8A84D5AE-9F0A-4F96-ABB1-E043ACD136F7}" name="BrivoMR355" dataDxfId="198"/>
  </tableColumns>
  <tableStyleInfo name="TableStyleMedium2"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5F1790C-8DCF-4D90-876C-EDCBEC176329}" name="Table384739" displayName="Table384739" ref="BY3:BY19" totalsRowShown="0" headerRowDxfId="197" dataDxfId="195" headerRowBorderDxfId="196" tableBorderDxfId="194" totalsRowBorderDxfId="193">
  <autoFilter ref="BY3:BY19" xr:uid="{B71FF776-EC6E-45C3-AF7E-450D921A7A5A}"/>
  <sortState xmlns:xlrd2="http://schemas.microsoft.com/office/spreadsheetml/2017/richdata2" ref="BY4:BY13">
    <sortCondition ref="BY3"/>
  </sortState>
  <tableColumns count="1">
    <tableColumn id="1" xr3:uid="{0D05442A-C797-456F-ADD5-D21FBC3D8567}" name="SignaMR355MR360" dataDxfId="192"/>
  </tableColumns>
  <tableStyleInfo name="TableStyleMedium2"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87586DB3-CC9C-439E-80E8-16414C05F509}" name="Table2650" displayName="Table2650" ref="AF3:AF25" totalsRowShown="0" headerRowDxfId="191" dataDxfId="189" headerRowBorderDxfId="190" tableBorderDxfId="188" totalsRowBorderDxfId="187">
  <autoFilter ref="AF3:AF25" xr:uid="{87586DB3-CC9C-439E-80E8-16414C05F509}"/>
  <tableColumns count="1">
    <tableColumn id="1" xr3:uid="{AD1AA38F-83A7-49EB-AECA-EE73F1EDD5B5}" name="SignaHDx" dataDxfId="186"/>
  </tableColumns>
  <tableStyleInfo name="TableStyleMedium2"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3A7E32B4-CFEA-49A4-BDCD-BC6E1E388672}" name="Table265051" displayName="Table265051" ref="AG3:AG25" totalsRowShown="0" headerRowDxfId="185" dataDxfId="183" headerRowBorderDxfId="184" tableBorderDxfId="182" totalsRowBorderDxfId="181">
  <autoFilter ref="AG3:AG25" xr:uid="{3A7E32B4-CFEA-49A4-BDCD-BC6E1E388672}"/>
  <tableColumns count="1">
    <tableColumn id="1" xr3:uid="{4A31EBA6-1DDF-4B2A-895B-857BAA04929F}" name="SignaHDi" dataDxfId="180"/>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A7D7069E-5E11-4AB1-B776-6C83ACE013EE}" name="Table4052" displayName="Table4052" ref="BH3:BH4" totalsRowShown="0" headerRowDxfId="179" dataDxfId="177" headerRowBorderDxfId="178" tableBorderDxfId="176" totalsRowBorderDxfId="175">
  <autoFilter ref="BH3:BH4" xr:uid="{A7D7069E-5E11-4AB1-B776-6C83ACE013EE}"/>
  <sortState xmlns:xlrd2="http://schemas.microsoft.com/office/spreadsheetml/2017/richdata2" ref="BH3:BH4">
    <sortCondition ref="BH3"/>
  </sortState>
  <tableColumns count="1">
    <tableColumn id="1" xr3:uid="{7C7AA6EF-0D99-48CD-A9D2-DC0AB9F1484D}" name="SignaVoyagerAIR" dataDxfId="174"/>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9A5082A0-0936-4881-B474-47F4F333380E}" name="Table4353" displayName="Table4353" ref="BR3:BR22" totalsRowShown="0" headerRowDxfId="173" dataDxfId="171" headerRowBorderDxfId="172" tableBorderDxfId="170" totalsRowBorderDxfId="169">
  <autoFilter ref="BR3:BR22" xr:uid="{9A5082A0-0936-4881-B474-47F4F333380E}"/>
  <sortState xmlns:xlrd2="http://schemas.microsoft.com/office/spreadsheetml/2017/richdata2" ref="BR4:BR5">
    <sortCondition ref="BR4"/>
  </sortState>
  <tableColumns count="1">
    <tableColumn id="1" xr3:uid="{8E2F3FAF-75EF-426D-91E0-7B2A6EEBB388}" name="SignaPremierXT" dataDxfId="168"/>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1ACCA997-367B-4465-ABEC-98607FF74F55}" name="Table4254" displayName="Table4254" ref="BP3:BP12" totalsRowShown="0" headerRowDxfId="167" dataDxfId="165" headerRowBorderDxfId="166" tableBorderDxfId="164" totalsRowBorderDxfId="163">
  <autoFilter ref="BP3:BP12" xr:uid="{1ACCA997-367B-4465-ABEC-98607FF74F55}"/>
  <sortState xmlns:xlrd2="http://schemas.microsoft.com/office/spreadsheetml/2017/richdata2" ref="BP4:BP20">
    <sortCondition ref="BP3:BP20"/>
  </sortState>
  <tableColumns count="1">
    <tableColumn id="1" xr3:uid="{A7FE0064-7918-4FCC-8FA6-C1BC37C9EC36}" name="SignaArtistT" dataDxfId="162"/>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C86347A2-3105-41E6-AD1B-B7B5D7E4067D}" name="Table4155" displayName="Table4155" ref="BL3:BL18" totalsRowShown="0" headerRowDxfId="161" dataDxfId="159" headerRowBorderDxfId="160" tableBorderDxfId="158" totalsRowBorderDxfId="157">
  <autoFilter ref="BL3:BL18" xr:uid="{C86347A2-3105-41E6-AD1B-B7B5D7E4067D}"/>
  <sortState xmlns:xlrd2="http://schemas.microsoft.com/office/spreadsheetml/2017/richdata2" ref="BL4:BL28">
    <sortCondition ref="BL3:BL28"/>
  </sortState>
  <tableColumns count="1">
    <tableColumn id="1" xr3:uid="{66046523-8FA0-4C3A-9262-ABB1EDE4CF48}" name="SignaArchitectT" dataDxfId="156"/>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C3C1F1E8-4E87-4034-81C8-1D63E2E938FF}" name="Table4356" displayName="Table4356" ref="BS3:BS6" totalsRowShown="0" headerRowDxfId="155" dataDxfId="153" headerRowBorderDxfId="154" tableBorderDxfId="152" totalsRowBorderDxfId="151">
  <autoFilter ref="BS3:BS6" xr:uid="{C3C1F1E8-4E87-4034-81C8-1D63E2E938FF}"/>
  <sortState xmlns:xlrd2="http://schemas.microsoft.com/office/spreadsheetml/2017/richdata2" ref="BS4:BS6">
    <sortCondition ref="BS5"/>
  </sortState>
  <tableColumns count="1">
    <tableColumn id="1" xr3:uid="{BAF91288-348C-48C7-80ED-85ED17599D41}" name="SignaUHP" dataDxfId="150"/>
  </tableColumns>
  <tableStyleInfo name="TableStyleMedium2"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CF79C62E-A901-4B0C-A93C-31749F0758D4}" name="Table384857" displayName="Table384857" ref="AX3:AX40" totalsRowShown="0" headerRowDxfId="149" dataDxfId="147" headerRowBorderDxfId="148" tableBorderDxfId="146" totalsRowBorderDxfId="145">
  <autoFilter ref="AX3:AX40" xr:uid="{CF79C62E-A901-4B0C-A93C-31749F0758D4}"/>
  <sortState xmlns:xlrd2="http://schemas.microsoft.com/office/spreadsheetml/2017/richdata2" ref="AX4:AX40">
    <sortCondition ref="AX3:AX40"/>
  </sortState>
  <tableColumns count="1">
    <tableColumn id="1" xr3:uid="{B7D888C5-844E-425A-BEC0-CBC85F352625}" name="SignaCreatorExplorer" dataDxfId="144"/>
  </tableColumns>
  <tableStyleInfo name="TableStyleMedium2"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5FC9977B-4E72-45A1-A0C3-CF0621751357}" name="Table3958" displayName="Table3958" ref="BF3:BF6" totalsRowShown="0" headerRowDxfId="143" dataDxfId="141" headerRowBorderDxfId="142" tableBorderDxfId="140" totalsRowBorderDxfId="139">
  <autoFilter ref="BF3:BF6" xr:uid="{5FC9977B-4E72-45A1-A0C3-CF0621751357}"/>
  <sortState xmlns:xlrd2="http://schemas.microsoft.com/office/spreadsheetml/2017/richdata2" ref="BF4:BF7">
    <sortCondition ref="BF4"/>
  </sortState>
  <tableColumns count="1">
    <tableColumn id="1" xr3:uid="{A5A2499F-2652-4025-BBCA-7590B6A21722}" name="SignaHero" dataDxfId="138"/>
  </tableColumns>
  <tableStyleInfo name="TableStyleMedium2"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2AE97E5E-F822-4DB5-9C51-7447C2EBFCE3}" name="Table3847394649" displayName="Table3847394649" ref="CA3:CA8" totalsRowShown="0" headerRowDxfId="137" dataDxfId="135" headerRowBorderDxfId="136" tableBorderDxfId="134" totalsRowBorderDxfId="133">
  <autoFilter ref="CA3:CA8" xr:uid="{612D860A-7343-4F3A-B85C-4E04F42F7A12}"/>
  <sortState xmlns:xlrd2="http://schemas.microsoft.com/office/spreadsheetml/2017/richdata2" ref="CA4:CA5">
    <sortCondition ref="CA3"/>
  </sortState>
  <tableColumns count="1">
    <tableColumn id="1" xr3:uid="{504E8F5B-B7DE-4050-BEC8-4B85653D07A1}" name="SignaMR380" dataDxfId="132"/>
  </tableColumns>
  <tableStyleInfo name="TableStyleMedium2"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5000000}" name="Table39" displayName="Table39" ref="BE3:BE33" totalsRowShown="0" headerRowDxfId="131" dataDxfId="129" headerRowBorderDxfId="130" tableBorderDxfId="128" totalsRowBorderDxfId="127">
  <autoFilter ref="BE3:BE33" xr:uid="{00000000-0009-0000-0100-000027000000}"/>
  <sortState xmlns:xlrd2="http://schemas.microsoft.com/office/spreadsheetml/2017/richdata2" ref="BE4:BE7">
    <sortCondition ref="BE4"/>
  </sortState>
  <tableColumns count="1">
    <tableColumn id="1" xr3:uid="{00000000-0010-0000-2500-000001000000}" name="SignaPioneer" dataDxfId="126"/>
  </tableColumns>
  <tableStyleInfo name="TableStyleMedium2"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47223AF9-713A-4361-A71F-2AC5E86BBE76}" name="Table38485761" displayName="Table38485761" ref="BB3:BD41" totalsRowShown="0" headerRowDxfId="125" dataDxfId="123" headerRowBorderDxfId="124" tableBorderDxfId="122" totalsRowBorderDxfId="121">
  <autoFilter ref="BB3:BD41" xr:uid="{47223AF9-713A-4361-A71F-2AC5E86BBE76}"/>
  <sortState xmlns:xlrd2="http://schemas.microsoft.com/office/spreadsheetml/2017/richdata2" ref="BB4:BB43">
    <sortCondition ref="BB3:BB43"/>
  </sortState>
  <tableColumns count="3">
    <tableColumn id="1" xr3:uid="{D278D589-D74C-40AB-B12D-F33AC34BE33E}" name="SignaExplorerDL" dataDxfId="120"/>
    <tableColumn id="3" xr3:uid="{70936768-2029-4008-B447-F094C807F4EE}" name="SignaAviator" dataDxfId="119"/>
    <tableColumn id="2" xr3:uid="{AEB9E416-42CD-49EF-B206-3CF527F71BEE}" name="SignaStar" dataDxfId="118"/>
  </tableColumns>
  <tableStyleInfo name="TableStyleMedium2"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6E974E83-56FF-4CD3-9B15-728C0F07F4B5}" name="Table38473962" displayName="Table38473962" ref="BZ3:BZ19" totalsRowShown="0" headerRowDxfId="117" dataDxfId="115" headerRowBorderDxfId="116" tableBorderDxfId="114" totalsRowBorderDxfId="113">
  <autoFilter ref="BZ3:BZ19" xr:uid="{6E974E83-56FF-4CD3-9B15-728C0F07F4B5}"/>
  <sortState xmlns:xlrd2="http://schemas.microsoft.com/office/spreadsheetml/2017/richdata2" ref="BZ4:BZ13">
    <sortCondition ref="BZ3"/>
  </sortState>
  <tableColumns count="1">
    <tableColumn id="1" xr3:uid="{C44FEC65-AEF8-4A5C-ACB9-3D7035764206}" name="SignaMR355MR360" dataDxfId="112"/>
  </tableColumns>
  <tableStyleInfo name="TableStyleMedium2"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AF15EED-56F5-4648-8141-79D11CEBBFC5}" name="Table4246" displayName="Table4246" ref="BO3:BO21" totalsRowShown="0" headerRowDxfId="111" dataDxfId="109" headerRowBorderDxfId="110" tableBorderDxfId="108" totalsRowBorderDxfId="107">
  <autoFilter ref="BO3:BO21" xr:uid="{0AF15EED-56F5-4648-8141-79D11CEBBFC5}"/>
  <sortState xmlns:xlrd2="http://schemas.microsoft.com/office/spreadsheetml/2017/richdata2" ref="BO4:BO20">
    <sortCondition ref="BO3:BO20"/>
  </sortState>
  <tableColumns count="1">
    <tableColumn id="1" xr3:uid="{9076E901-7446-4D48-9C4D-51F511F71BA0}" name="SignaArtistXT" dataDxfId="106"/>
  </tableColumns>
  <tableStyleInfo name="TableStyleMedium2"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1EB7DFB2-7780-4C22-AB52-318DE8F54C16}" name="Table4148" displayName="Table4148" ref="BI3:BI28" totalsRowShown="0" headerRowDxfId="105" dataDxfId="103" headerRowBorderDxfId="104" tableBorderDxfId="102" totalsRowBorderDxfId="101">
  <autoFilter ref="BI3:BI28" xr:uid="{1EB7DFB2-7780-4C22-AB52-318DE8F54C16}"/>
  <sortState xmlns:xlrd2="http://schemas.microsoft.com/office/spreadsheetml/2017/richdata2" ref="BI4:BI28">
    <sortCondition ref="BI3:BI28"/>
  </sortState>
  <tableColumns count="1">
    <tableColumn id="1" xr3:uid="{D640C166-D83A-448F-80D2-6A7FFBCC0BAD}" name="SignaArchitectXT" dataDxfId="100"/>
  </tableColumns>
  <tableStyleInfo name="TableStyleMedium2"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088F4CA9-A661-4E12-BE97-CE6AC22F8F0C}" name="Table2959" displayName="Table2959" ref="AI3:AI23" totalsRowShown="0" headerRowDxfId="99" dataDxfId="97" headerRowBorderDxfId="98" tableBorderDxfId="96" totalsRowBorderDxfId="95">
  <autoFilter ref="AI3:AI23" xr:uid="{088F4CA9-A661-4E12-BE97-CE6AC22F8F0C}"/>
  <sortState xmlns:xlrd2="http://schemas.microsoft.com/office/spreadsheetml/2017/richdata2" ref="AI4:AI18">
    <sortCondition ref="AI4"/>
  </sortState>
  <tableColumns count="1">
    <tableColumn id="1" xr3:uid="{76E59E48-D78F-4FEB-ACB8-DE60474F6354}" name="Discovery450" dataDxfId="94"/>
  </tableColumns>
  <tableStyleInfo name="TableStyleMedium2"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CE458211-E526-4337-A834-5CA1783E59EE}" name="Table3060" displayName="Table3060" ref="AK3:AK28" totalsRowShown="0" headerRowDxfId="93" dataDxfId="91" headerRowBorderDxfId="92" tableBorderDxfId="90" totalsRowBorderDxfId="89">
  <autoFilter ref="AK3:AK28" xr:uid="{CE458211-E526-4337-A834-5CA1783E59EE}"/>
  <sortState xmlns:xlrd2="http://schemas.microsoft.com/office/spreadsheetml/2017/richdata2" ref="AK4:AK19">
    <sortCondition ref="AK4"/>
  </sortState>
  <tableColumns count="1">
    <tableColumn id="1" xr3:uid="{09ECE012-3AAA-4A06-A51B-012AA6BAADCA}" name="Optima450w" dataDxfId="88"/>
  </tableColumns>
  <tableStyleInfo name="TableStyleMedium2"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9D8FCF8E-C7F3-4F80-98A0-A90A63A452F5}" name="Table3263" displayName="Table3263" ref="AN3:AN27" totalsRowShown="0" headerRowDxfId="87" dataDxfId="85" headerRowBorderDxfId="86" tableBorderDxfId="84" totalsRowBorderDxfId="83">
  <autoFilter ref="AN3:AN27" xr:uid="{9D8FCF8E-C7F3-4F80-98A0-A90A63A452F5}"/>
  <sortState xmlns:xlrd2="http://schemas.microsoft.com/office/spreadsheetml/2017/richdata2" ref="AN4:AN18">
    <sortCondition ref="AN4"/>
  </sortState>
  <tableColumns count="1">
    <tableColumn id="1" xr3:uid="{2D352DF3-0790-4C88-93E3-91D0C111C4BD}" name="Discovery750" dataDxfId="82"/>
  </tableColumns>
  <tableStyleInfo name="TableStyleMedium2"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13D24742-D004-49E7-B761-74B6F7AFE67D}" name="Table3364" displayName="Table3364" ref="AP3:AP26" totalsRowShown="0" headerRowDxfId="81" dataDxfId="79" headerRowBorderDxfId="80" tableBorderDxfId="78" totalsRowBorderDxfId="77">
  <autoFilter ref="AP3:AP26" xr:uid="{13D24742-D004-49E7-B761-74B6F7AFE67D}"/>
  <sortState xmlns:xlrd2="http://schemas.microsoft.com/office/spreadsheetml/2017/richdata2" ref="AP4:AP17">
    <sortCondition ref="AP4"/>
  </sortState>
  <tableColumns count="1">
    <tableColumn id="1" xr3:uid="{C54CA4E1-26E0-4A83-9356-0F28B941DA20}" name="Discovery750w" dataDxfId="76"/>
  </tableColumns>
  <tableStyleInfo name="TableStyleMedium2"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653BCD4C-968B-46FA-AE3C-5B35E24EA430}" name="Table3465" displayName="Table3465" ref="AR3:AR13" totalsRowShown="0" headerRowDxfId="75" dataDxfId="73" headerRowBorderDxfId="74" tableBorderDxfId="72" totalsRowBorderDxfId="71">
  <autoFilter ref="AR3:AR13" xr:uid="{653BCD4C-968B-46FA-AE3C-5B35E24EA430}"/>
  <tableColumns count="1">
    <tableColumn id="1" xr3:uid="{76F69909-D759-4016-BECB-FC8946ABE3BD}" name="SignaPETMR" dataDxfId="70"/>
  </tableColumns>
  <tableStyleInfo name="TableStyleMedium2"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52FABC92-E22B-4A08-8EAC-94A20C98D7CB}" name="Table38485767" displayName="Table38485767" ref="AW3:AW41" totalsRowShown="0" headerRowDxfId="69" dataDxfId="67" headerRowBorderDxfId="68" tableBorderDxfId="66" totalsRowBorderDxfId="65">
  <autoFilter ref="AW3:AW41" xr:uid="{52FABC92-E22B-4A08-8EAC-94A20C98D7CB}"/>
  <sortState xmlns:xlrd2="http://schemas.microsoft.com/office/spreadsheetml/2017/richdata2" ref="AW4:AW43">
    <sortCondition ref="AW3:AW43"/>
  </sortState>
  <tableColumns count="1">
    <tableColumn id="1" xr3:uid="{007D46E2-86D9-471B-A1D0-3C693B32FC70}" name="SignaCreator" dataDxfId="64"/>
  </tableColumns>
  <tableStyleInfo name="TableStyleMedium2"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A73E6F07-245B-47AD-82A5-F2150F583942}" name="Table3848576768" displayName="Table3848576768" ref="AY3:AY41" totalsRowShown="0" headerRowDxfId="63" dataDxfId="61" headerRowBorderDxfId="62" tableBorderDxfId="60" totalsRowBorderDxfId="59">
  <autoFilter ref="AY3:AY41" xr:uid="{A73E6F07-245B-47AD-82A5-F2150F583942}"/>
  <sortState xmlns:xlrd2="http://schemas.microsoft.com/office/spreadsheetml/2017/richdata2" ref="AY4:AY43">
    <sortCondition ref="AY3:AY43"/>
  </sortState>
  <tableColumns count="1">
    <tableColumn id="1" xr3:uid="{A70E3757-3A7D-41D8-8BF1-BAD70EF8F8A6}" name="SignaExplorer" dataDxfId="58"/>
  </tableColumns>
  <tableStyleInfo name="TableStyleMedium2"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36C905DD-E65C-4C63-A106-CC22849FEF49}" name="Table3848576970" displayName="Table3848576970" ref="AZ3:AZ41" totalsRowShown="0" headerRowDxfId="57" dataDxfId="55" headerRowBorderDxfId="56" tableBorderDxfId="54" totalsRowBorderDxfId="53">
  <autoFilter ref="AZ3:AZ41" xr:uid="{36C905DD-E65C-4C63-A106-CC22849FEF49}"/>
  <sortState xmlns:xlrd2="http://schemas.microsoft.com/office/spreadsheetml/2017/richdata2" ref="AZ4:AZ43">
    <sortCondition ref="AZ3:AZ43"/>
  </sortState>
  <tableColumns count="1">
    <tableColumn id="1" xr3:uid="{9EB75B84-299F-4CC3-8622-63E9B1C5B5F2}" name="SignaExplorerQuantum" dataDxfId="52"/>
  </tableColumns>
  <tableStyleInfo name="TableStyleMedium2"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7E964351-D28C-4CD0-A1B5-43F0365067A1}" name="Table3848576171" displayName="Table3848576171" ref="BA3:BA41" totalsRowShown="0" headerRowDxfId="51" dataDxfId="49" headerRowBorderDxfId="50" tableBorderDxfId="48" totalsRowBorderDxfId="47">
  <autoFilter ref="BA3:BA41" xr:uid="{7E964351-D28C-4CD0-A1B5-43F0365067A1}"/>
  <sortState xmlns:xlrd2="http://schemas.microsoft.com/office/spreadsheetml/2017/richdata2" ref="BA4:BA43">
    <sortCondition ref="BA3:BA43"/>
  </sortState>
  <tableColumns count="1">
    <tableColumn id="1" xr3:uid="{E68FADCB-34AA-4FA3-BB46-3252A6498BC8}" name="SignaCreatorExplorer" dataDxfId="46"/>
  </tableColumns>
  <tableStyleInfo name="TableStyleMedium2"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FDE6750A-7D57-4BD9-9C99-0B6813D70E29}" name="Table3848573574" displayName="Table3848573574" ref="AV3:AV41" totalsRowShown="0" headerRowDxfId="45" dataDxfId="43" headerRowBorderDxfId="44" tableBorderDxfId="42" totalsRowBorderDxfId="41">
  <autoFilter ref="AV3:AV41" xr:uid="{FDE6750A-7D57-4BD9-9C99-0B6813D70E29}"/>
  <sortState xmlns:xlrd2="http://schemas.microsoft.com/office/spreadsheetml/2017/richdata2" ref="AV4:AV43">
    <sortCondition ref="AV3:AV43"/>
  </sortState>
  <tableColumns count="1">
    <tableColumn id="1" xr3:uid="{0AFEC594-5370-4622-A84D-BCA7973DEE05}" name="SignaCreatorDL" dataDxfId="40"/>
  </tableColumns>
  <tableStyleInfo name="TableStyleMedium2"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DC260104-CD22-4FDE-B5DF-1E2A8C0E664C}" name="Table4269" displayName="Table4269" ref="BM3:BM21" totalsRowShown="0" headerRowDxfId="39" dataDxfId="37" headerRowBorderDxfId="38" tableBorderDxfId="36" totalsRowBorderDxfId="35">
  <autoFilter ref="BM3:BM21" xr:uid="{DC260104-CD22-4FDE-B5DF-1E2A8C0E664C}"/>
  <sortState xmlns:xlrd2="http://schemas.microsoft.com/office/spreadsheetml/2017/richdata2" ref="BM4:BM20">
    <sortCondition ref="BM3:BM20"/>
  </sortState>
  <tableColumns count="1">
    <tableColumn id="1" xr3:uid="{8C739975-1693-4A63-8EC4-84C8B4EB98E0}" name="SignaArtistEvo" dataDxfId="34"/>
  </tableColumns>
  <tableStyleInfo name="TableStyleMedium2"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3FA8F3C8-967B-45DA-83E3-E65B89DC2E6A}" name="Table3849" displayName="Table3849" ref="BX3:BX12" totalsRowShown="0" headerRowDxfId="33" dataDxfId="31" headerRowBorderDxfId="32" tableBorderDxfId="30" totalsRowBorderDxfId="29">
  <autoFilter ref="BX3:BX12" xr:uid="{B181E92A-5262-40C9-B3AA-39E5F92AAB24}"/>
  <sortState xmlns:xlrd2="http://schemas.microsoft.com/office/spreadsheetml/2017/richdata2" ref="BX4:BX5">
    <sortCondition ref="BX3"/>
  </sortState>
  <tableColumns count="1">
    <tableColumn id="1" xr3:uid="{5C428AFA-C32F-48A6-8C89-5F8F79775E2B}" name="SignaPrime" dataDxfId="28"/>
  </tableColumns>
  <tableStyleInfo name="TableStyleMedium2"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BE53FB30-C09A-4ED5-B8CD-B37596B43172}" name="Table4172" displayName="Table4172" ref="BJ3:BJ38" totalsRowShown="0" headerRowDxfId="27" dataDxfId="25" headerRowBorderDxfId="26" tableBorderDxfId="24" totalsRowBorderDxfId="23">
  <autoFilter ref="BJ3:BJ38" xr:uid="{BE53FB30-C09A-4ED5-B8CD-B37596B43172}"/>
  <sortState xmlns:xlrd2="http://schemas.microsoft.com/office/spreadsheetml/2017/richdata2" ref="BJ4:BJ28">
    <sortCondition ref="BJ3:BJ28"/>
  </sortState>
  <tableColumns count="1">
    <tableColumn id="1" xr3:uid="{9846B205-2618-4447-ADCA-5941160AF164}" name="SignaArchitect" dataDxfId="22"/>
  </tableColumns>
  <tableStyleInfo name="TableStyleMedium2"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DDF3AE53-4499-4C16-91EA-6637B7BDE590}" name="Table38493566" displayName="Table38493566" ref="BV3:BV11" totalsRowShown="0" headerRowDxfId="21" dataDxfId="19" headerRowBorderDxfId="20" tableBorderDxfId="18" totalsRowBorderDxfId="17">
  <autoFilter ref="BV3:BV11" xr:uid="{DDF3AE53-4499-4C16-91EA-6637B7BDE590}"/>
  <sortState xmlns:xlrd2="http://schemas.microsoft.com/office/spreadsheetml/2017/richdata2" ref="BV4:BV5">
    <sortCondition ref="BV3"/>
  </sortState>
  <tableColumns count="1">
    <tableColumn id="1" xr3:uid="{420488B2-144C-4FC8-8B35-8F92265A10BF}" name="SignaStarAir" dataDxfId="16"/>
  </tableColumns>
  <tableStyleInfo name="TableStyleMedium2" showFirstColumn="0" showLastColumn="0"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C1CB270F-81E5-4CAE-8C8C-C600CA2428CD}" name="Table3849356673" displayName="Table3849356673" ref="BW3:BW11" totalsRowShown="0" headerRowDxfId="15" dataDxfId="13" headerRowBorderDxfId="14" tableBorderDxfId="12" totalsRowBorderDxfId="11">
  <autoFilter ref="BW3:BW11" xr:uid="{C1CB270F-81E5-4CAE-8C8C-C600CA2428CD}"/>
  <sortState xmlns:xlrd2="http://schemas.microsoft.com/office/spreadsheetml/2017/richdata2" ref="BW4:BW5">
    <sortCondition ref="BW3"/>
  </sortState>
  <tableColumns count="1">
    <tableColumn id="1" xr3:uid="{11313597-22AF-4A69-95B0-8FEB96C4DE3F}" name="SignaAviatorAir" dataDxfId="10"/>
  </tableColumns>
  <tableStyleInfo name="TableStyleMedium2" showFirstColumn="0" showLastColumn="0"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3F19C19F-111A-49A2-BB12-CFB9053FF0C6}" name="Table3849356675" displayName="Table3849356675" ref="BU3:BU11" totalsRowShown="0" headerRowDxfId="9" dataDxfId="7" headerRowBorderDxfId="8" tableBorderDxfId="6" totalsRowBorderDxfId="5">
  <autoFilter ref="BU3:BU11" xr:uid="{3F19C19F-111A-49A2-BB12-CFB9053FF0C6}"/>
  <sortState xmlns:xlrd2="http://schemas.microsoft.com/office/spreadsheetml/2017/richdata2" ref="BU4:BU5">
    <sortCondition ref="BU3"/>
  </sortState>
  <tableColumns count="1">
    <tableColumn id="1" xr3:uid="{218F1A67-CCCA-47C1-9AAB-1005106D14D0}" name="SignaVictor" dataDxfId="4"/>
  </tableColumns>
  <tableStyleInfo name="TableStyleMedium2" showFirstColumn="0" showLastColumn="0"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86A12758-6865-4424-B76A-2DF604673329}" name="Table44" displayName="Table44" ref="A1:C217" totalsRowShown="0" dataDxfId="3">
  <autoFilter ref="A1:C217" xr:uid="{86A12758-6865-4424-B76A-2DF604673329}"/>
  <tableColumns count="3">
    <tableColumn id="1" xr3:uid="{80CBB81E-CEAA-4286-A707-7EDF82EF316B}" name="Region" dataDxfId="2"/>
    <tableColumn id="2" xr3:uid="{578CC67B-B9E1-4D47-9285-2F724B961F03}" name="Subregion" dataDxfId="1"/>
    <tableColumn id="3" xr3:uid="{A0FFDDD3-58A9-4CA1-A6B2-256183ED0250}" name="Country"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8.emf"/><Relationship Id="rId4" Type="http://schemas.openxmlformats.org/officeDocument/2006/relationships/package" Target="../embeddings/Microsoft_Word_Document.docx"/></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3" Type="http://schemas.openxmlformats.org/officeDocument/2006/relationships/table" Target="../tables/table12.xml"/><Relationship Id="rId18" Type="http://schemas.openxmlformats.org/officeDocument/2006/relationships/table" Target="../tables/table17.xml"/><Relationship Id="rId26" Type="http://schemas.openxmlformats.org/officeDocument/2006/relationships/table" Target="../tables/table25.xml"/><Relationship Id="rId39" Type="http://schemas.openxmlformats.org/officeDocument/2006/relationships/table" Target="../tables/table38.xml"/><Relationship Id="rId21" Type="http://schemas.openxmlformats.org/officeDocument/2006/relationships/table" Target="../tables/table20.xml"/><Relationship Id="rId34" Type="http://schemas.openxmlformats.org/officeDocument/2006/relationships/table" Target="../tables/table33.xml"/><Relationship Id="rId42" Type="http://schemas.openxmlformats.org/officeDocument/2006/relationships/table" Target="../tables/table41.xml"/><Relationship Id="rId47" Type="http://schemas.openxmlformats.org/officeDocument/2006/relationships/table" Target="../tables/table46.xml"/><Relationship Id="rId50" Type="http://schemas.openxmlformats.org/officeDocument/2006/relationships/table" Target="../tables/table49.xml"/><Relationship Id="rId55" Type="http://schemas.openxmlformats.org/officeDocument/2006/relationships/table" Target="../tables/table54.xml"/><Relationship Id="rId63" Type="http://schemas.openxmlformats.org/officeDocument/2006/relationships/table" Target="../tables/table62.xml"/><Relationship Id="rId68" Type="http://schemas.openxmlformats.org/officeDocument/2006/relationships/table" Target="../tables/table67.xml"/><Relationship Id="rId7" Type="http://schemas.openxmlformats.org/officeDocument/2006/relationships/table" Target="../tables/table6.xml"/><Relationship Id="rId71" Type="http://schemas.openxmlformats.org/officeDocument/2006/relationships/table" Target="../tables/table70.xml"/><Relationship Id="rId2" Type="http://schemas.openxmlformats.org/officeDocument/2006/relationships/table" Target="../tables/table1.xml"/><Relationship Id="rId16" Type="http://schemas.openxmlformats.org/officeDocument/2006/relationships/table" Target="../tables/table15.xml"/><Relationship Id="rId29" Type="http://schemas.openxmlformats.org/officeDocument/2006/relationships/table" Target="../tables/table28.xml"/><Relationship Id="rId11" Type="http://schemas.openxmlformats.org/officeDocument/2006/relationships/table" Target="../tables/table10.xml"/><Relationship Id="rId24" Type="http://schemas.openxmlformats.org/officeDocument/2006/relationships/table" Target="../tables/table23.xml"/><Relationship Id="rId32" Type="http://schemas.openxmlformats.org/officeDocument/2006/relationships/table" Target="../tables/table31.xml"/><Relationship Id="rId37" Type="http://schemas.openxmlformats.org/officeDocument/2006/relationships/table" Target="../tables/table36.xml"/><Relationship Id="rId40" Type="http://schemas.openxmlformats.org/officeDocument/2006/relationships/table" Target="../tables/table39.xml"/><Relationship Id="rId45" Type="http://schemas.openxmlformats.org/officeDocument/2006/relationships/table" Target="../tables/table44.xml"/><Relationship Id="rId53" Type="http://schemas.openxmlformats.org/officeDocument/2006/relationships/table" Target="../tables/table52.xml"/><Relationship Id="rId58" Type="http://schemas.openxmlformats.org/officeDocument/2006/relationships/table" Target="../tables/table57.xml"/><Relationship Id="rId66" Type="http://schemas.openxmlformats.org/officeDocument/2006/relationships/table" Target="../tables/table65.xml"/><Relationship Id="rId5" Type="http://schemas.openxmlformats.org/officeDocument/2006/relationships/table" Target="../tables/table4.xml"/><Relationship Id="rId15" Type="http://schemas.openxmlformats.org/officeDocument/2006/relationships/table" Target="../tables/table14.xml"/><Relationship Id="rId23" Type="http://schemas.openxmlformats.org/officeDocument/2006/relationships/table" Target="../tables/table22.xml"/><Relationship Id="rId28" Type="http://schemas.openxmlformats.org/officeDocument/2006/relationships/table" Target="../tables/table27.xml"/><Relationship Id="rId36" Type="http://schemas.openxmlformats.org/officeDocument/2006/relationships/table" Target="../tables/table35.xml"/><Relationship Id="rId49" Type="http://schemas.openxmlformats.org/officeDocument/2006/relationships/table" Target="../tables/table48.xml"/><Relationship Id="rId57" Type="http://schemas.openxmlformats.org/officeDocument/2006/relationships/table" Target="../tables/table56.xml"/><Relationship Id="rId61" Type="http://schemas.openxmlformats.org/officeDocument/2006/relationships/table" Target="../tables/table60.xml"/><Relationship Id="rId10" Type="http://schemas.openxmlformats.org/officeDocument/2006/relationships/table" Target="../tables/table9.xml"/><Relationship Id="rId19" Type="http://schemas.openxmlformats.org/officeDocument/2006/relationships/table" Target="../tables/table18.xml"/><Relationship Id="rId31" Type="http://schemas.openxmlformats.org/officeDocument/2006/relationships/table" Target="../tables/table30.xml"/><Relationship Id="rId44" Type="http://schemas.openxmlformats.org/officeDocument/2006/relationships/table" Target="../tables/table43.xml"/><Relationship Id="rId52" Type="http://schemas.openxmlformats.org/officeDocument/2006/relationships/table" Target="../tables/table51.xml"/><Relationship Id="rId60" Type="http://schemas.openxmlformats.org/officeDocument/2006/relationships/table" Target="../tables/table59.xml"/><Relationship Id="rId65" Type="http://schemas.openxmlformats.org/officeDocument/2006/relationships/table" Target="../tables/table64.xml"/><Relationship Id="rId73" Type="http://schemas.openxmlformats.org/officeDocument/2006/relationships/table" Target="../tables/table72.xml"/><Relationship Id="rId4" Type="http://schemas.openxmlformats.org/officeDocument/2006/relationships/table" Target="../tables/table3.xml"/><Relationship Id="rId9" Type="http://schemas.openxmlformats.org/officeDocument/2006/relationships/table" Target="../tables/table8.xml"/><Relationship Id="rId14" Type="http://schemas.openxmlformats.org/officeDocument/2006/relationships/table" Target="../tables/table13.xml"/><Relationship Id="rId22" Type="http://schemas.openxmlformats.org/officeDocument/2006/relationships/table" Target="../tables/table21.xml"/><Relationship Id="rId27" Type="http://schemas.openxmlformats.org/officeDocument/2006/relationships/table" Target="../tables/table26.xml"/><Relationship Id="rId30" Type="http://schemas.openxmlformats.org/officeDocument/2006/relationships/table" Target="../tables/table29.xml"/><Relationship Id="rId35" Type="http://schemas.openxmlformats.org/officeDocument/2006/relationships/table" Target="../tables/table34.xml"/><Relationship Id="rId43" Type="http://schemas.openxmlformats.org/officeDocument/2006/relationships/table" Target="../tables/table42.xml"/><Relationship Id="rId48" Type="http://schemas.openxmlformats.org/officeDocument/2006/relationships/table" Target="../tables/table47.xml"/><Relationship Id="rId56" Type="http://schemas.openxmlformats.org/officeDocument/2006/relationships/table" Target="../tables/table55.xml"/><Relationship Id="rId64" Type="http://schemas.openxmlformats.org/officeDocument/2006/relationships/table" Target="../tables/table63.xml"/><Relationship Id="rId69" Type="http://schemas.openxmlformats.org/officeDocument/2006/relationships/table" Target="../tables/table68.xml"/><Relationship Id="rId8" Type="http://schemas.openxmlformats.org/officeDocument/2006/relationships/table" Target="../tables/table7.xml"/><Relationship Id="rId51" Type="http://schemas.openxmlformats.org/officeDocument/2006/relationships/table" Target="../tables/table50.xml"/><Relationship Id="rId72" Type="http://schemas.openxmlformats.org/officeDocument/2006/relationships/table" Target="../tables/table71.xml"/><Relationship Id="rId3" Type="http://schemas.openxmlformats.org/officeDocument/2006/relationships/table" Target="../tables/table2.xml"/><Relationship Id="rId12" Type="http://schemas.openxmlformats.org/officeDocument/2006/relationships/table" Target="../tables/table11.xml"/><Relationship Id="rId17" Type="http://schemas.openxmlformats.org/officeDocument/2006/relationships/table" Target="../tables/table16.xml"/><Relationship Id="rId25" Type="http://schemas.openxmlformats.org/officeDocument/2006/relationships/table" Target="../tables/table24.xml"/><Relationship Id="rId33" Type="http://schemas.openxmlformats.org/officeDocument/2006/relationships/table" Target="../tables/table32.xml"/><Relationship Id="rId38" Type="http://schemas.openxmlformats.org/officeDocument/2006/relationships/table" Target="../tables/table37.xml"/><Relationship Id="rId46" Type="http://schemas.openxmlformats.org/officeDocument/2006/relationships/table" Target="../tables/table45.xml"/><Relationship Id="rId59" Type="http://schemas.openxmlformats.org/officeDocument/2006/relationships/table" Target="../tables/table58.xml"/><Relationship Id="rId67" Type="http://schemas.openxmlformats.org/officeDocument/2006/relationships/table" Target="../tables/table66.xml"/><Relationship Id="rId20" Type="http://schemas.openxmlformats.org/officeDocument/2006/relationships/table" Target="../tables/table19.xml"/><Relationship Id="rId41" Type="http://schemas.openxmlformats.org/officeDocument/2006/relationships/table" Target="../tables/table40.xml"/><Relationship Id="rId54" Type="http://schemas.openxmlformats.org/officeDocument/2006/relationships/table" Target="../tables/table53.xml"/><Relationship Id="rId62" Type="http://schemas.openxmlformats.org/officeDocument/2006/relationships/table" Target="../tables/table61.xml"/><Relationship Id="rId70" Type="http://schemas.openxmlformats.org/officeDocument/2006/relationships/table" Target="../tables/table69.xml"/><Relationship Id="rId1" Type="http://schemas.openxmlformats.org/officeDocument/2006/relationships/printerSettings" Target="../printerSettings/printerSettings6.bin"/><Relationship Id="rId6"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49113C-C803-42FB-9174-CE9E8D2375EE}">
  <dimension ref="A1"/>
  <sheetViews>
    <sheetView topLeftCell="N16" workbookViewId="0">
      <selection activeCell="Q50" sqref="Q50"/>
    </sheetView>
  </sheetViews>
  <sheetFormatPr defaultRowHeight="14.4"/>
  <sheetData/>
  <phoneticPr fontId="17"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AF700"/>
  <sheetViews>
    <sheetView zoomScaleNormal="100" workbookViewId="0">
      <pane xSplit="3" ySplit="2" topLeftCell="V3" activePane="bottomRight" state="frozen"/>
      <selection activeCell="A24" sqref="A24"/>
      <selection pane="topRight" activeCell="A24" sqref="A24"/>
      <selection pane="bottomLeft" activeCell="A24" sqref="A24"/>
      <selection pane="bottomRight" activeCell="X277" sqref="X277"/>
    </sheetView>
  </sheetViews>
  <sheetFormatPr defaultColWidth="46.15625" defaultRowHeight="75" customHeight="1"/>
  <cols>
    <col min="1" max="2" width="20.734375" style="10" customWidth="1"/>
    <col min="3" max="3" width="23.734375" style="10" customWidth="1"/>
    <col min="4" max="4" width="21.26171875" style="10" bestFit="1" customWidth="1"/>
    <col min="5" max="5" width="20.734375" style="10" customWidth="1"/>
    <col min="6" max="10" width="25.734375" style="10" customWidth="1"/>
    <col min="11" max="11" width="20.734375" style="10" customWidth="1"/>
    <col min="12" max="21" width="25.734375" style="10" customWidth="1"/>
    <col min="22" max="22" width="23.5234375" style="10" customWidth="1"/>
    <col min="23" max="23" width="22.734375" style="10" customWidth="1"/>
    <col min="24" max="24" width="26.734375" style="10" customWidth="1"/>
    <col min="25" max="26" width="16.734375" style="10" customWidth="1"/>
    <col min="27" max="29" width="18.7890625" style="10" customWidth="1"/>
    <col min="30" max="31" width="20.734375" style="10" customWidth="1"/>
    <col min="32" max="32" width="30.734375" style="10" bestFit="1" customWidth="1"/>
    <col min="33" max="16384" width="46.15625" style="10"/>
  </cols>
  <sheetData>
    <row r="1" spans="1:32" ht="17.7">
      <c r="E1" s="256" t="s">
        <v>404</v>
      </c>
      <c r="F1" s="257"/>
      <c r="G1" s="257"/>
      <c r="H1" s="257"/>
      <c r="I1" s="257"/>
      <c r="J1" s="257"/>
      <c r="K1" s="258" t="s">
        <v>243</v>
      </c>
      <c r="L1" s="258"/>
      <c r="M1" s="258"/>
      <c r="N1" s="258"/>
      <c r="O1" s="258"/>
      <c r="P1" s="258"/>
      <c r="Q1" s="255" t="s">
        <v>417</v>
      </c>
      <c r="R1" s="255"/>
      <c r="S1" s="255"/>
      <c r="T1" s="255"/>
      <c r="U1" s="255"/>
      <c r="V1" s="259" t="s">
        <v>591</v>
      </c>
      <c r="W1" s="260"/>
      <c r="X1" s="260"/>
      <c r="Y1" s="260"/>
      <c r="Z1" s="260"/>
      <c r="AA1" s="260"/>
      <c r="AB1" s="260"/>
      <c r="AC1" s="260"/>
    </row>
    <row r="2" spans="1:32" ht="75" customHeight="1">
      <c r="A2" s="12" t="s">
        <v>268</v>
      </c>
      <c r="B2" s="12" t="s">
        <v>250</v>
      </c>
      <c r="C2" s="12" t="s">
        <v>42</v>
      </c>
      <c r="D2" s="12" t="s">
        <v>466</v>
      </c>
      <c r="E2" s="13" t="s">
        <v>404</v>
      </c>
      <c r="F2" s="13" t="s">
        <v>43</v>
      </c>
      <c r="G2" s="13" t="s">
        <v>599</v>
      </c>
      <c r="H2" s="13" t="s">
        <v>596</v>
      </c>
      <c r="I2" s="13" t="s">
        <v>598</v>
      </c>
      <c r="J2" s="13" t="s">
        <v>633</v>
      </c>
      <c r="K2" s="14" t="s">
        <v>605</v>
      </c>
      <c r="L2" s="14" t="s">
        <v>244</v>
      </c>
      <c r="M2" s="14" t="s">
        <v>600</v>
      </c>
      <c r="N2" s="14" t="s">
        <v>610</v>
      </c>
      <c r="O2" s="14" t="s">
        <v>597</v>
      </c>
      <c r="P2" s="14" t="s">
        <v>634</v>
      </c>
      <c r="Q2" s="62" t="s">
        <v>606</v>
      </c>
      <c r="R2" s="62" t="s">
        <v>607</v>
      </c>
      <c r="S2" s="62" t="s">
        <v>601</v>
      </c>
      <c r="T2" s="62" t="s">
        <v>638</v>
      </c>
      <c r="U2" s="62" t="s">
        <v>611</v>
      </c>
      <c r="V2" s="15" t="s">
        <v>602</v>
      </c>
      <c r="W2" s="15" t="s">
        <v>603</v>
      </c>
      <c r="X2" s="15" t="s">
        <v>604</v>
      </c>
      <c r="Y2" s="15" t="s">
        <v>637</v>
      </c>
      <c r="Z2" s="15" t="s">
        <v>636</v>
      </c>
      <c r="AA2" s="15" t="s">
        <v>608</v>
      </c>
      <c r="AB2" s="15" t="s">
        <v>609</v>
      </c>
      <c r="AC2" s="15" t="s">
        <v>635</v>
      </c>
      <c r="AD2" s="12" t="s">
        <v>44</v>
      </c>
      <c r="AE2" s="12" t="s">
        <v>45</v>
      </c>
      <c r="AF2" s="12" t="s">
        <v>640</v>
      </c>
    </row>
    <row r="3" spans="1:32" ht="75" hidden="1" customHeight="1">
      <c r="A3" s="6" t="s">
        <v>455</v>
      </c>
      <c r="B3" s="6" t="s">
        <v>66</v>
      </c>
      <c r="C3" s="6" t="s">
        <v>897</v>
      </c>
      <c r="D3" s="70"/>
      <c r="E3" s="6" t="s">
        <v>48</v>
      </c>
      <c r="F3" s="6" t="s">
        <v>48</v>
      </c>
      <c r="G3" s="6" t="s">
        <v>48</v>
      </c>
      <c r="H3" s="6" t="s">
        <v>48</v>
      </c>
      <c r="I3" s="6" t="s">
        <v>48</v>
      </c>
      <c r="J3" s="6" t="s">
        <v>48</v>
      </c>
      <c r="K3" s="6" t="s">
        <v>68</v>
      </c>
      <c r="L3" s="6"/>
      <c r="M3" s="6"/>
      <c r="N3" s="6"/>
      <c r="O3" s="6"/>
      <c r="P3" s="6"/>
      <c r="Q3" s="6" t="s">
        <v>48</v>
      </c>
      <c r="R3" s="6" t="s">
        <v>48</v>
      </c>
      <c r="S3" s="6" t="s">
        <v>48</v>
      </c>
      <c r="T3" s="6" t="s">
        <v>48</v>
      </c>
      <c r="U3" s="6" t="s">
        <v>48</v>
      </c>
      <c r="V3" s="102" t="s">
        <v>67</v>
      </c>
      <c r="W3" s="102" t="str">
        <f>V3</f>
        <v>7.67, 7.72, 7.80,  7.81, 7.82 7.84</v>
      </c>
      <c r="X3" s="102" t="s">
        <v>48</v>
      </c>
      <c r="Y3" s="102" t="s">
        <v>48</v>
      </c>
      <c r="Z3" s="102" t="s">
        <v>48</v>
      </c>
      <c r="AA3" s="102" t="s">
        <v>48</v>
      </c>
      <c r="AB3" s="102" t="s">
        <v>48</v>
      </c>
      <c r="AC3" s="102" t="s">
        <v>48</v>
      </c>
      <c r="AD3" s="6" t="s">
        <v>306</v>
      </c>
      <c r="AE3" s="6" t="s">
        <v>62</v>
      </c>
      <c r="AF3" s="79"/>
    </row>
    <row r="4" spans="1:32" ht="75" hidden="1" customHeight="1">
      <c r="A4" s="6" t="s">
        <v>231</v>
      </c>
      <c r="B4" s="6" t="s">
        <v>161</v>
      </c>
      <c r="C4" s="6" t="s">
        <v>230</v>
      </c>
      <c r="D4" s="70">
        <v>15000</v>
      </c>
      <c r="E4" s="6" t="s">
        <v>76</v>
      </c>
      <c r="F4" s="6" t="s">
        <v>163</v>
      </c>
      <c r="G4" s="6" t="s">
        <v>476</v>
      </c>
      <c r="H4" s="6" t="s">
        <v>580</v>
      </c>
      <c r="I4" s="6" t="s">
        <v>477</v>
      </c>
      <c r="J4" s="6" t="s">
        <v>478</v>
      </c>
      <c r="K4" s="6" t="s">
        <v>48</v>
      </c>
      <c r="L4" s="6" t="s">
        <v>48</v>
      </c>
      <c r="M4" s="6" t="s">
        <v>48</v>
      </c>
      <c r="N4" s="6" t="s">
        <v>48</v>
      </c>
      <c r="O4" s="6" t="s">
        <v>48</v>
      </c>
      <c r="P4" s="6" t="s">
        <v>48</v>
      </c>
      <c r="Q4" s="6" t="s">
        <v>48</v>
      </c>
      <c r="R4" s="6" t="s">
        <v>48</v>
      </c>
      <c r="S4" s="6" t="s">
        <v>48</v>
      </c>
      <c r="T4" s="6" t="s">
        <v>48</v>
      </c>
      <c r="U4" s="6" t="s">
        <v>48</v>
      </c>
      <c r="V4" s="102" t="s">
        <v>1011</v>
      </c>
      <c r="W4" s="102" t="s">
        <v>162</v>
      </c>
      <c r="X4" s="102" t="s">
        <v>1064</v>
      </c>
      <c r="Y4" s="102" t="s">
        <v>1034</v>
      </c>
      <c r="Z4" s="102" t="s">
        <v>630</v>
      </c>
      <c r="AA4" s="102" t="s">
        <v>1035</v>
      </c>
      <c r="AB4" s="102" t="s">
        <v>473</v>
      </c>
      <c r="AC4" s="102" t="s">
        <v>1038</v>
      </c>
      <c r="AD4" s="6" t="s">
        <v>1045</v>
      </c>
      <c r="AE4" s="6" t="s">
        <v>49</v>
      </c>
      <c r="AF4" s="79"/>
    </row>
    <row r="5" spans="1:32" ht="75" hidden="1" customHeight="1">
      <c r="A5" s="6" t="s">
        <v>231</v>
      </c>
      <c r="B5" s="6" t="s">
        <v>167</v>
      </c>
      <c r="C5" s="6" t="s">
        <v>168</v>
      </c>
      <c r="D5" s="70">
        <v>15000</v>
      </c>
      <c r="E5" s="6" t="s">
        <v>48</v>
      </c>
      <c r="F5" s="6" t="s">
        <v>48</v>
      </c>
      <c r="G5" s="6" t="s">
        <v>48</v>
      </c>
      <c r="H5" s="6" t="s">
        <v>48</v>
      </c>
      <c r="I5" s="6" t="s">
        <v>48</v>
      </c>
      <c r="J5" s="6" t="s">
        <v>48</v>
      </c>
      <c r="K5" s="6" t="s">
        <v>169</v>
      </c>
      <c r="L5" s="6" t="s">
        <v>771</v>
      </c>
      <c r="M5" s="6" t="s">
        <v>246</v>
      </c>
      <c r="N5" s="6" t="s">
        <v>590</v>
      </c>
      <c r="O5" s="6" t="s">
        <v>263</v>
      </c>
      <c r="P5" s="6" t="s">
        <v>479</v>
      </c>
      <c r="Q5" s="6" t="s">
        <v>48</v>
      </c>
      <c r="R5" s="6" t="s">
        <v>48</v>
      </c>
      <c r="S5" s="6" t="s">
        <v>48</v>
      </c>
      <c r="T5" s="6" t="s">
        <v>48</v>
      </c>
      <c r="U5" s="6" t="s">
        <v>48</v>
      </c>
      <c r="V5" s="102" t="s">
        <v>1011</v>
      </c>
      <c r="W5" s="102" t="s">
        <v>162</v>
      </c>
      <c r="X5" s="102" t="s">
        <v>1064</v>
      </c>
      <c r="Y5" s="102" t="s">
        <v>1034</v>
      </c>
      <c r="Z5" s="102" t="s">
        <v>630</v>
      </c>
      <c r="AA5" s="102" t="s">
        <v>1035</v>
      </c>
      <c r="AB5" s="102" t="s">
        <v>473</v>
      </c>
      <c r="AC5" s="102" t="s">
        <v>1038</v>
      </c>
      <c r="AD5" s="6" t="s">
        <v>1045</v>
      </c>
      <c r="AE5" s="6" t="s">
        <v>49</v>
      </c>
      <c r="AF5" s="79"/>
    </row>
    <row r="6" spans="1:32" ht="75" hidden="1" customHeight="1">
      <c r="A6" s="6" t="s">
        <v>231</v>
      </c>
      <c r="B6" s="6" t="s">
        <v>170</v>
      </c>
      <c r="C6" s="6" t="s">
        <v>171</v>
      </c>
      <c r="D6" s="70">
        <v>15000</v>
      </c>
      <c r="E6" s="6" t="s">
        <v>48</v>
      </c>
      <c r="F6" s="6" t="s">
        <v>48</v>
      </c>
      <c r="G6" s="6" t="s">
        <v>48</v>
      </c>
      <c r="H6" s="6" t="s">
        <v>48</v>
      </c>
      <c r="I6" s="6" t="s">
        <v>48</v>
      </c>
      <c r="J6" s="6" t="s">
        <v>48</v>
      </c>
      <c r="K6" s="6" t="s">
        <v>48</v>
      </c>
      <c r="L6" s="6" t="s">
        <v>48</v>
      </c>
      <c r="M6" s="6" t="s">
        <v>48</v>
      </c>
      <c r="N6" s="6" t="s">
        <v>48</v>
      </c>
      <c r="O6" s="6" t="s">
        <v>48</v>
      </c>
      <c r="P6" s="6" t="s">
        <v>48</v>
      </c>
      <c r="Q6" s="6" t="s">
        <v>48</v>
      </c>
      <c r="R6" s="6" t="s">
        <v>48</v>
      </c>
      <c r="S6" s="6" t="s">
        <v>48</v>
      </c>
      <c r="T6" s="6" t="s">
        <v>48</v>
      </c>
      <c r="U6" s="6" t="s">
        <v>48</v>
      </c>
      <c r="V6" s="102" t="s">
        <v>1011</v>
      </c>
      <c r="W6" s="102" t="s">
        <v>162</v>
      </c>
      <c r="X6" s="102" t="s">
        <v>1064</v>
      </c>
      <c r="Y6" s="102" t="s">
        <v>1034</v>
      </c>
      <c r="Z6" s="102" t="s">
        <v>630</v>
      </c>
      <c r="AA6" s="102" t="s">
        <v>1035</v>
      </c>
      <c r="AB6" s="102" t="s">
        <v>473</v>
      </c>
      <c r="AC6" s="102" t="s">
        <v>1038</v>
      </c>
      <c r="AD6" s="6" t="s">
        <v>1045</v>
      </c>
      <c r="AE6" s="6" t="s">
        <v>49</v>
      </c>
      <c r="AF6" s="79"/>
    </row>
    <row r="7" spans="1:32" ht="75" hidden="1" customHeight="1">
      <c r="A7" s="6" t="s">
        <v>231</v>
      </c>
      <c r="B7" s="6" t="s">
        <v>172</v>
      </c>
      <c r="C7" s="6" t="s">
        <v>162</v>
      </c>
      <c r="D7" s="70">
        <v>15000</v>
      </c>
      <c r="E7" s="6" t="s">
        <v>48</v>
      </c>
      <c r="F7" s="6" t="s">
        <v>48</v>
      </c>
      <c r="G7" s="6" t="s">
        <v>48</v>
      </c>
      <c r="H7" s="6" t="s">
        <v>48</v>
      </c>
      <c r="I7" s="6" t="s">
        <v>48</v>
      </c>
      <c r="J7" s="6" t="s">
        <v>48</v>
      </c>
      <c r="K7" s="6" t="s">
        <v>48</v>
      </c>
      <c r="L7" s="6" t="s">
        <v>48</v>
      </c>
      <c r="M7" s="6" t="s">
        <v>48</v>
      </c>
      <c r="N7" s="6" t="s">
        <v>48</v>
      </c>
      <c r="O7" s="6" t="s">
        <v>48</v>
      </c>
      <c r="P7" s="6" t="s">
        <v>48</v>
      </c>
      <c r="Q7" s="6" t="s">
        <v>48</v>
      </c>
      <c r="R7" s="6" t="s">
        <v>48</v>
      </c>
      <c r="S7" s="6" t="s">
        <v>48</v>
      </c>
      <c r="T7" s="6" t="s">
        <v>48</v>
      </c>
      <c r="U7" s="6" t="s">
        <v>48</v>
      </c>
      <c r="V7" s="102" t="s">
        <v>1011</v>
      </c>
      <c r="W7" s="102" t="s">
        <v>162</v>
      </c>
      <c r="X7" s="102" t="s">
        <v>1064</v>
      </c>
      <c r="Y7" s="102" t="s">
        <v>1034</v>
      </c>
      <c r="Z7" s="102" t="s">
        <v>630</v>
      </c>
      <c r="AA7" s="102" t="s">
        <v>1035</v>
      </c>
      <c r="AB7" s="102" t="s">
        <v>473</v>
      </c>
      <c r="AC7" s="102" t="s">
        <v>1038</v>
      </c>
      <c r="AD7" s="6" t="s">
        <v>1045</v>
      </c>
      <c r="AE7" s="6" t="s">
        <v>49</v>
      </c>
      <c r="AF7" s="79"/>
    </row>
    <row r="8" spans="1:32" ht="75" hidden="1" customHeight="1">
      <c r="A8" s="6" t="s">
        <v>231</v>
      </c>
      <c r="B8" s="6" t="s">
        <v>172</v>
      </c>
      <c r="C8" s="6" t="s">
        <v>173</v>
      </c>
      <c r="D8" s="70">
        <v>15000</v>
      </c>
      <c r="E8" s="6" t="s">
        <v>48</v>
      </c>
      <c r="F8" s="6" t="s">
        <v>48</v>
      </c>
      <c r="G8" s="6" t="s">
        <v>48</v>
      </c>
      <c r="H8" s="6" t="s">
        <v>48</v>
      </c>
      <c r="I8" s="6" t="s">
        <v>48</v>
      </c>
      <c r="J8" s="6" t="s">
        <v>48</v>
      </c>
      <c r="K8" s="6" t="s">
        <v>48</v>
      </c>
      <c r="L8" s="6" t="s">
        <v>48</v>
      </c>
      <c r="M8" s="6" t="s">
        <v>48</v>
      </c>
      <c r="N8" s="6" t="s">
        <v>48</v>
      </c>
      <c r="O8" s="6" t="s">
        <v>48</v>
      </c>
      <c r="P8" s="6" t="s">
        <v>48</v>
      </c>
      <c r="Q8" s="6" t="s">
        <v>48</v>
      </c>
      <c r="R8" s="6" t="s">
        <v>48</v>
      </c>
      <c r="S8" s="6" t="s">
        <v>48</v>
      </c>
      <c r="T8" s="6" t="s">
        <v>48</v>
      </c>
      <c r="U8" s="6" t="s">
        <v>48</v>
      </c>
      <c r="V8" s="102" t="s">
        <v>1011</v>
      </c>
      <c r="W8" s="102" t="s">
        <v>173</v>
      </c>
      <c r="X8" s="102" t="s">
        <v>1065</v>
      </c>
      <c r="Y8" s="102" t="s">
        <v>1034</v>
      </c>
      <c r="Z8" s="102" t="s">
        <v>616</v>
      </c>
      <c r="AA8" s="102" t="s">
        <v>1036</v>
      </c>
      <c r="AB8" s="102" t="s">
        <v>473</v>
      </c>
      <c r="AC8" s="102" t="s">
        <v>1040</v>
      </c>
      <c r="AD8" s="6" t="s">
        <v>1046</v>
      </c>
      <c r="AE8" s="6" t="s">
        <v>49</v>
      </c>
      <c r="AF8" s="79"/>
    </row>
    <row r="9" spans="1:32" ht="75" hidden="1" customHeight="1">
      <c r="A9" s="6" t="s">
        <v>231</v>
      </c>
      <c r="B9" s="6" t="s">
        <v>175</v>
      </c>
      <c r="C9" s="6" t="s">
        <v>176</v>
      </c>
      <c r="D9" s="70">
        <v>15000</v>
      </c>
      <c r="E9" s="6" t="s">
        <v>48</v>
      </c>
      <c r="F9" s="6" t="s">
        <v>48</v>
      </c>
      <c r="G9" s="6" t="s">
        <v>48</v>
      </c>
      <c r="H9" s="6" t="s">
        <v>48</v>
      </c>
      <c r="I9" s="6" t="s">
        <v>48</v>
      </c>
      <c r="J9" s="6" t="s">
        <v>48</v>
      </c>
      <c r="K9" s="6" t="s">
        <v>48</v>
      </c>
      <c r="L9" s="6" t="s">
        <v>48</v>
      </c>
      <c r="M9" s="6" t="s">
        <v>48</v>
      </c>
      <c r="N9" s="6" t="s">
        <v>48</v>
      </c>
      <c r="O9" s="6" t="s">
        <v>48</v>
      </c>
      <c r="P9" s="6" t="s">
        <v>48</v>
      </c>
      <c r="Q9" s="6" t="s">
        <v>48</v>
      </c>
      <c r="R9" s="6" t="s">
        <v>48</v>
      </c>
      <c r="S9" s="6" t="s">
        <v>48</v>
      </c>
      <c r="T9" s="6" t="s">
        <v>48</v>
      </c>
      <c r="U9" s="6" t="s">
        <v>48</v>
      </c>
      <c r="V9" s="102" t="s">
        <v>1011</v>
      </c>
      <c r="W9" s="102" t="s">
        <v>176</v>
      </c>
      <c r="X9" s="102" t="s">
        <v>1065</v>
      </c>
      <c r="Y9" s="102" t="s">
        <v>1034</v>
      </c>
      <c r="Z9" s="102" t="s">
        <v>616</v>
      </c>
      <c r="AA9" s="102" t="s">
        <v>1036</v>
      </c>
      <c r="AB9" s="102" t="s">
        <v>473</v>
      </c>
      <c r="AC9" s="102" t="s">
        <v>1040</v>
      </c>
      <c r="AD9" s="6" t="s">
        <v>1046</v>
      </c>
      <c r="AE9" s="6" t="s">
        <v>49</v>
      </c>
      <c r="AF9" s="79"/>
    </row>
    <row r="10" spans="1:32" ht="75" hidden="1" customHeight="1">
      <c r="A10" s="6" t="s">
        <v>231</v>
      </c>
      <c r="B10" s="6" t="s">
        <v>175</v>
      </c>
      <c r="C10" s="6" t="s">
        <v>177</v>
      </c>
      <c r="D10" s="70">
        <v>15000</v>
      </c>
      <c r="E10" s="6" t="s">
        <v>48</v>
      </c>
      <c r="F10" s="6" t="s">
        <v>48</v>
      </c>
      <c r="G10" s="6" t="s">
        <v>48</v>
      </c>
      <c r="H10" s="6" t="s">
        <v>48</v>
      </c>
      <c r="I10" s="6" t="s">
        <v>48</v>
      </c>
      <c r="J10" s="6" t="s">
        <v>48</v>
      </c>
      <c r="K10" s="6" t="s">
        <v>68</v>
      </c>
      <c r="L10" s="6" t="s">
        <v>178</v>
      </c>
      <c r="M10" s="6" t="s">
        <v>480</v>
      </c>
      <c r="N10" s="6" t="s">
        <v>612</v>
      </c>
      <c r="O10" s="6" t="s">
        <v>481</v>
      </c>
      <c r="P10" s="6" t="s">
        <v>482</v>
      </c>
      <c r="Q10" s="6" t="s">
        <v>48</v>
      </c>
      <c r="R10" s="6" t="s">
        <v>48</v>
      </c>
      <c r="S10" s="6" t="s">
        <v>48</v>
      </c>
      <c r="T10" s="6" t="s">
        <v>48</v>
      </c>
      <c r="U10" s="6" t="s">
        <v>48</v>
      </c>
      <c r="V10" s="102" t="s">
        <v>1011</v>
      </c>
      <c r="W10" s="102" t="s">
        <v>177</v>
      </c>
      <c r="X10" s="102" t="s">
        <v>1065</v>
      </c>
      <c r="Y10" s="102" t="s">
        <v>1034</v>
      </c>
      <c r="Z10" s="102" t="s">
        <v>616</v>
      </c>
      <c r="AA10" s="102" t="s">
        <v>1036</v>
      </c>
      <c r="AB10" s="102" t="s">
        <v>473</v>
      </c>
      <c r="AC10" s="102" t="s">
        <v>1040</v>
      </c>
      <c r="AD10" s="6" t="s">
        <v>1046</v>
      </c>
      <c r="AE10" s="6" t="s">
        <v>49</v>
      </c>
      <c r="AF10" s="79"/>
    </row>
    <row r="11" spans="1:32" ht="75" hidden="1" customHeight="1">
      <c r="A11" s="6" t="s">
        <v>231</v>
      </c>
      <c r="B11" s="6" t="s">
        <v>179</v>
      </c>
      <c r="C11" s="6" t="s">
        <v>180</v>
      </c>
      <c r="D11" s="70">
        <v>15000</v>
      </c>
      <c r="E11" s="6" t="s">
        <v>48</v>
      </c>
      <c r="F11" s="6" t="s">
        <v>48</v>
      </c>
      <c r="G11" s="6" t="s">
        <v>48</v>
      </c>
      <c r="H11" s="6" t="s">
        <v>48</v>
      </c>
      <c r="I11" s="6" t="s">
        <v>48</v>
      </c>
      <c r="J11" s="6" t="s">
        <v>48</v>
      </c>
      <c r="K11" s="6" t="s">
        <v>80</v>
      </c>
      <c r="L11" s="6" t="s">
        <v>181</v>
      </c>
      <c r="M11" s="6">
        <v>60905</v>
      </c>
      <c r="N11" s="6" t="s">
        <v>613</v>
      </c>
      <c r="O11" s="6">
        <v>5765452</v>
      </c>
      <c r="P11" s="6" t="s">
        <v>182</v>
      </c>
      <c r="Q11" s="6" t="s">
        <v>48</v>
      </c>
      <c r="R11" s="6" t="s">
        <v>48</v>
      </c>
      <c r="S11" s="6" t="s">
        <v>48</v>
      </c>
      <c r="T11" s="6" t="s">
        <v>48</v>
      </c>
      <c r="U11" s="6" t="s">
        <v>48</v>
      </c>
      <c r="V11" s="102" t="s">
        <v>1011</v>
      </c>
      <c r="W11" s="102" t="s">
        <v>180</v>
      </c>
      <c r="X11" s="102" t="s">
        <v>1065</v>
      </c>
      <c r="Y11" s="102" t="s">
        <v>1034</v>
      </c>
      <c r="Z11" s="102" t="s">
        <v>616</v>
      </c>
      <c r="AA11" s="102" t="s">
        <v>1036</v>
      </c>
      <c r="AB11" s="102" t="s">
        <v>475</v>
      </c>
      <c r="AC11" s="102" t="s">
        <v>1040</v>
      </c>
      <c r="AD11" s="6" t="s">
        <v>1046</v>
      </c>
      <c r="AE11" s="6" t="s">
        <v>49</v>
      </c>
      <c r="AF11" s="79"/>
    </row>
    <row r="12" spans="1:32" ht="75" hidden="1" customHeight="1">
      <c r="A12" s="6" t="s">
        <v>231</v>
      </c>
      <c r="B12" s="6" t="s">
        <v>179</v>
      </c>
      <c r="C12" s="6" t="s">
        <v>183</v>
      </c>
      <c r="D12" s="70">
        <v>15000</v>
      </c>
      <c r="E12" s="6" t="s">
        <v>48</v>
      </c>
      <c r="F12" s="6" t="s">
        <v>48</v>
      </c>
      <c r="G12" s="6" t="s">
        <v>48</v>
      </c>
      <c r="H12" s="6" t="s">
        <v>48</v>
      </c>
      <c r="I12" s="6" t="s">
        <v>48</v>
      </c>
      <c r="J12" s="6" t="s">
        <v>48</v>
      </c>
      <c r="K12" s="6" t="s">
        <v>80</v>
      </c>
      <c r="L12" s="6" t="s">
        <v>185</v>
      </c>
      <c r="M12" s="6">
        <v>60901</v>
      </c>
      <c r="N12" s="6" t="s">
        <v>614</v>
      </c>
      <c r="O12" s="6">
        <v>5766594</v>
      </c>
      <c r="P12" s="6" t="s">
        <v>184</v>
      </c>
      <c r="Q12" s="6" t="s">
        <v>48</v>
      </c>
      <c r="R12" s="6" t="s">
        <v>48</v>
      </c>
      <c r="S12" s="6" t="s">
        <v>48</v>
      </c>
      <c r="T12" s="6" t="s">
        <v>48</v>
      </c>
      <c r="U12" s="6" t="s">
        <v>48</v>
      </c>
      <c r="V12" s="102" t="s">
        <v>1706</v>
      </c>
      <c r="W12" s="102" t="s">
        <v>1706</v>
      </c>
      <c r="X12" s="102" t="s">
        <v>1742</v>
      </c>
      <c r="Y12" s="102" t="s">
        <v>1708</v>
      </c>
      <c r="Z12" s="102" t="s">
        <v>1708</v>
      </c>
      <c r="AA12" s="102" t="s">
        <v>1745</v>
      </c>
      <c r="AB12" s="102" t="s">
        <v>595</v>
      </c>
      <c r="AC12" s="102" t="s">
        <v>1746</v>
      </c>
      <c r="AD12" s="6" t="s">
        <v>1747</v>
      </c>
      <c r="AE12" s="6" t="s">
        <v>49</v>
      </c>
      <c r="AF12" s="120" t="s">
        <v>1743</v>
      </c>
    </row>
    <row r="13" spans="1:32" ht="75" hidden="1" customHeight="1">
      <c r="A13" s="6" t="s">
        <v>231</v>
      </c>
      <c r="B13" s="103" t="s">
        <v>218</v>
      </c>
      <c r="C13" s="6" t="s">
        <v>234</v>
      </c>
      <c r="D13" s="70">
        <v>15000</v>
      </c>
      <c r="E13" s="6" t="s">
        <v>48</v>
      </c>
      <c r="F13" s="6" t="s">
        <v>48</v>
      </c>
      <c r="G13" s="6" t="s">
        <v>48</v>
      </c>
      <c r="H13" s="6" t="s">
        <v>48</v>
      </c>
      <c r="I13" s="6" t="s">
        <v>48</v>
      </c>
      <c r="J13" s="6" t="s">
        <v>48</v>
      </c>
      <c r="K13" s="103" t="s">
        <v>48</v>
      </c>
      <c r="L13" s="6" t="s">
        <v>48</v>
      </c>
      <c r="M13" s="103" t="s">
        <v>48</v>
      </c>
      <c r="N13" s="6" t="s">
        <v>48</v>
      </c>
      <c r="O13" s="6" t="s">
        <v>48</v>
      </c>
      <c r="P13" s="6" t="s">
        <v>48</v>
      </c>
      <c r="Q13" s="6" t="s">
        <v>48</v>
      </c>
      <c r="R13" s="6" t="s">
        <v>48</v>
      </c>
      <c r="S13" s="6" t="s">
        <v>48</v>
      </c>
      <c r="T13" s="6" t="s">
        <v>48</v>
      </c>
      <c r="U13" s="6" t="s">
        <v>48</v>
      </c>
      <c r="V13" s="102" t="s">
        <v>1691</v>
      </c>
      <c r="W13" s="102" t="s">
        <v>1691</v>
      </c>
      <c r="X13" s="102" t="s">
        <v>1751</v>
      </c>
      <c r="Y13" s="102" t="s">
        <v>1708</v>
      </c>
      <c r="Z13" s="102" t="s">
        <v>1708</v>
      </c>
      <c r="AA13" s="102" t="s">
        <v>1752</v>
      </c>
      <c r="AB13" s="102" t="s">
        <v>595</v>
      </c>
      <c r="AC13" s="102" t="s">
        <v>1687</v>
      </c>
      <c r="AD13" s="6" t="s">
        <v>1767</v>
      </c>
      <c r="AE13" s="103" t="s">
        <v>49</v>
      </c>
      <c r="AF13" s="120" t="s">
        <v>1692</v>
      </c>
    </row>
    <row r="14" spans="1:32" ht="75" hidden="1" customHeight="1">
      <c r="A14" s="6" t="s">
        <v>231</v>
      </c>
      <c r="B14" s="103" t="s">
        <v>218</v>
      </c>
      <c r="C14" s="6" t="s">
        <v>235</v>
      </c>
      <c r="D14" s="70">
        <v>15000</v>
      </c>
      <c r="E14" s="6" t="s">
        <v>48</v>
      </c>
      <c r="F14" s="6" t="s">
        <v>48</v>
      </c>
      <c r="G14" s="6" t="s">
        <v>48</v>
      </c>
      <c r="H14" s="6" t="s">
        <v>48</v>
      </c>
      <c r="I14" s="6" t="s">
        <v>48</v>
      </c>
      <c r="J14" s="6" t="s">
        <v>48</v>
      </c>
      <c r="K14" s="103" t="s">
        <v>80</v>
      </c>
      <c r="L14" s="103" t="s">
        <v>219</v>
      </c>
      <c r="M14" s="103" t="s">
        <v>245</v>
      </c>
      <c r="N14" s="103" t="s">
        <v>615</v>
      </c>
      <c r="O14" s="6" t="s">
        <v>788</v>
      </c>
      <c r="P14" s="6" t="s">
        <v>48</v>
      </c>
      <c r="Q14" s="6" t="s">
        <v>48</v>
      </c>
      <c r="R14" s="6" t="s">
        <v>48</v>
      </c>
      <c r="S14" s="6" t="s">
        <v>48</v>
      </c>
      <c r="T14" s="6" t="s">
        <v>48</v>
      </c>
      <c r="U14" s="6" t="s">
        <v>48</v>
      </c>
      <c r="V14" s="102" t="s">
        <v>1691</v>
      </c>
      <c r="W14" s="102" t="s">
        <v>1691</v>
      </c>
      <c r="X14" s="102" t="s">
        <v>1751</v>
      </c>
      <c r="Y14" s="102" t="s">
        <v>1708</v>
      </c>
      <c r="Z14" s="102" t="s">
        <v>1708</v>
      </c>
      <c r="AA14" s="102" t="s">
        <v>1752</v>
      </c>
      <c r="AB14" s="102" t="s">
        <v>595</v>
      </c>
      <c r="AC14" s="102" t="s">
        <v>1687</v>
      </c>
      <c r="AD14" s="102" t="s">
        <v>1767</v>
      </c>
      <c r="AE14" s="103" t="s">
        <v>49</v>
      </c>
      <c r="AF14" s="120" t="s">
        <v>1692</v>
      </c>
    </row>
    <row r="15" spans="1:32" ht="75" hidden="1" customHeight="1">
      <c r="A15" s="6" t="s">
        <v>231</v>
      </c>
      <c r="B15" s="103" t="s">
        <v>220</v>
      </c>
      <c r="C15" s="6" t="s">
        <v>418</v>
      </c>
      <c r="D15" s="70">
        <v>15000</v>
      </c>
      <c r="E15" s="6" t="s">
        <v>48</v>
      </c>
      <c r="F15" s="6" t="s">
        <v>48</v>
      </c>
      <c r="G15" s="6" t="s">
        <v>48</v>
      </c>
      <c r="H15" s="6" t="s">
        <v>48</v>
      </c>
      <c r="I15" s="6" t="s">
        <v>48</v>
      </c>
      <c r="J15" s="6" t="s">
        <v>48</v>
      </c>
      <c r="K15" s="103" t="s">
        <v>48</v>
      </c>
      <c r="L15" s="103" t="s">
        <v>48</v>
      </c>
      <c r="M15" s="103" t="s">
        <v>48</v>
      </c>
      <c r="N15" s="6" t="s">
        <v>48</v>
      </c>
      <c r="O15" s="103" t="s">
        <v>48</v>
      </c>
      <c r="P15" s="103" t="s">
        <v>48</v>
      </c>
      <c r="Q15" s="103" t="s">
        <v>80</v>
      </c>
      <c r="R15" s="103" t="s">
        <v>221</v>
      </c>
      <c r="S15" s="103" t="s">
        <v>491</v>
      </c>
      <c r="T15" s="103" t="s">
        <v>48</v>
      </c>
      <c r="U15" s="103" t="s">
        <v>491</v>
      </c>
      <c r="V15" s="102" t="s">
        <v>1691</v>
      </c>
      <c r="W15" s="102" t="s">
        <v>1691</v>
      </c>
      <c r="X15" s="102" t="s">
        <v>1751</v>
      </c>
      <c r="Y15" s="102" t="s">
        <v>1708</v>
      </c>
      <c r="Z15" s="102" t="s">
        <v>1708</v>
      </c>
      <c r="AA15" s="102" t="s">
        <v>1752</v>
      </c>
      <c r="AB15" s="102" t="s">
        <v>595</v>
      </c>
      <c r="AC15" s="102" t="s">
        <v>1687</v>
      </c>
      <c r="AD15" s="102" t="s">
        <v>1767</v>
      </c>
      <c r="AE15" s="103" t="s">
        <v>49</v>
      </c>
      <c r="AF15" s="120" t="s">
        <v>1692</v>
      </c>
    </row>
    <row r="16" spans="1:32" ht="75" hidden="1" customHeight="1">
      <c r="A16" s="6" t="s">
        <v>231</v>
      </c>
      <c r="B16" s="103" t="s">
        <v>223</v>
      </c>
      <c r="C16" s="6" t="s">
        <v>236</v>
      </c>
      <c r="D16" s="70">
        <v>15000</v>
      </c>
      <c r="E16" s="6" t="s">
        <v>48</v>
      </c>
      <c r="F16" s="6" t="s">
        <v>48</v>
      </c>
      <c r="G16" s="6" t="s">
        <v>48</v>
      </c>
      <c r="H16" s="6" t="s">
        <v>48</v>
      </c>
      <c r="I16" s="6" t="s">
        <v>48</v>
      </c>
      <c r="J16" s="6" t="s">
        <v>48</v>
      </c>
      <c r="K16" s="103" t="s">
        <v>442</v>
      </c>
      <c r="L16" s="103" t="s">
        <v>224</v>
      </c>
      <c r="M16" s="103" t="s">
        <v>490</v>
      </c>
      <c r="N16" s="103" t="s">
        <v>616</v>
      </c>
      <c r="O16" s="6" t="s">
        <v>492</v>
      </c>
      <c r="P16" s="6" t="s">
        <v>493</v>
      </c>
      <c r="Q16" s="6" t="s">
        <v>443</v>
      </c>
      <c r="R16" s="6" t="s">
        <v>48</v>
      </c>
      <c r="S16" s="6" t="s">
        <v>453</v>
      </c>
      <c r="T16" s="6"/>
      <c r="U16" s="6" t="s">
        <v>48</v>
      </c>
      <c r="V16" s="102" t="s">
        <v>1691</v>
      </c>
      <c r="W16" s="102" t="s">
        <v>1691</v>
      </c>
      <c r="X16" s="102" t="s">
        <v>1751</v>
      </c>
      <c r="Y16" s="102" t="s">
        <v>1708</v>
      </c>
      <c r="Z16" s="102" t="s">
        <v>1708</v>
      </c>
      <c r="AA16" s="102" t="s">
        <v>1752</v>
      </c>
      <c r="AB16" s="102" t="s">
        <v>595</v>
      </c>
      <c r="AC16" s="102" t="s">
        <v>1687</v>
      </c>
      <c r="AD16" s="102" t="s">
        <v>1767</v>
      </c>
      <c r="AE16" s="103" t="s">
        <v>49</v>
      </c>
      <c r="AF16" s="120" t="s">
        <v>1692</v>
      </c>
    </row>
    <row r="17" spans="1:32" ht="169.5" hidden="1" customHeight="1">
      <c r="A17" s="6" t="s">
        <v>231</v>
      </c>
      <c r="B17" s="103" t="s">
        <v>225</v>
      </c>
      <c r="C17" s="6" t="s">
        <v>467</v>
      </c>
      <c r="D17" s="70">
        <v>15000</v>
      </c>
      <c r="E17" s="6" t="s">
        <v>48</v>
      </c>
      <c r="F17" s="6" t="s">
        <v>48</v>
      </c>
      <c r="G17" s="6" t="s">
        <v>48</v>
      </c>
      <c r="H17" s="6" t="s">
        <v>48</v>
      </c>
      <c r="I17" s="6" t="s">
        <v>48</v>
      </c>
      <c r="J17" s="6" t="s">
        <v>48</v>
      </c>
      <c r="K17" s="103" t="s">
        <v>789</v>
      </c>
      <c r="L17" s="115" t="s">
        <v>790</v>
      </c>
      <c r="M17" s="6" t="s">
        <v>791</v>
      </c>
      <c r="N17" s="6" t="s">
        <v>792</v>
      </c>
      <c r="O17" s="6" t="s">
        <v>793</v>
      </c>
      <c r="P17" s="6" t="s">
        <v>794</v>
      </c>
      <c r="Q17" s="6" t="s">
        <v>48</v>
      </c>
      <c r="R17" s="6" t="s">
        <v>48</v>
      </c>
      <c r="S17" s="6" t="s">
        <v>48</v>
      </c>
      <c r="T17" s="6" t="s">
        <v>48</v>
      </c>
      <c r="U17" s="6" t="s">
        <v>48</v>
      </c>
      <c r="V17" s="102" t="s">
        <v>1748</v>
      </c>
      <c r="W17" s="102" t="s">
        <v>1748</v>
      </c>
      <c r="X17" s="102" t="s">
        <v>1749</v>
      </c>
      <c r="Y17" s="102" t="s">
        <v>1708</v>
      </c>
      <c r="Z17" s="102" t="s">
        <v>1708</v>
      </c>
      <c r="AA17" s="103" t="s">
        <v>1750</v>
      </c>
      <c r="AB17" s="102" t="s">
        <v>595</v>
      </c>
      <c r="AC17" s="103" t="s">
        <v>1746</v>
      </c>
      <c r="AD17" s="6" t="s">
        <v>1766</v>
      </c>
      <c r="AE17" s="6" t="s">
        <v>49</v>
      </c>
      <c r="AF17" s="120" t="s">
        <v>1744</v>
      </c>
    </row>
    <row r="18" spans="1:32" ht="75" hidden="1" customHeight="1">
      <c r="A18" s="6" t="s">
        <v>231</v>
      </c>
      <c r="B18" s="103" t="s">
        <v>249</v>
      </c>
      <c r="C18" s="6" t="s">
        <v>237</v>
      </c>
      <c r="D18" s="70">
        <v>15000</v>
      </c>
      <c r="E18" s="6" t="s">
        <v>48</v>
      </c>
      <c r="F18" s="6" t="s">
        <v>48</v>
      </c>
      <c r="G18" s="6" t="s">
        <v>48</v>
      </c>
      <c r="H18" s="6" t="s">
        <v>48</v>
      </c>
      <c r="I18" s="6" t="s">
        <v>48</v>
      </c>
      <c r="J18" s="6" t="s">
        <v>48</v>
      </c>
      <c r="K18" s="103" t="s">
        <v>48</v>
      </c>
      <c r="L18" s="6" t="s">
        <v>48</v>
      </c>
      <c r="M18" s="103" t="s">
        <v>48</v>
      </c>
      <c r="N18" s="6" t="s">
        <v>48</v>
      </c>
      <c r="O18" s="6" t="s">
        <v>48</v>
      </c>
      <c r="P18" s="6" t="s">
        <v>48</v>
      </c>
      <c r="Q18" s="6" t="s">
        <v>48</v>
      </c>
      <c r="R18" s="6" t="s">
        <v>48</v>
      </c>
      <c r="S18" s="6" t="s">
        <v>48</v>
      </c>
      <c r="T18" s="6" t="s">
        <v>48</v>
      </c>
      <c r="U18" s="6" t="s">
        <v>48</v>
      </c>
      <c r="V18" s="102" t="s">
        <v>1691</v>
      </c>
      <c r="W18" s="102" t="s">
        <v>1691</v>
      </c>
      <c r="X18" s="102" t="s">
        <v>1751</v>
      </c>
      <c r="Y18" s="102" t="s">
        <v>1708</v>
      </c>
      <c r="Z18" s="102" t="s">
        <v>1708</v>
      </c>
      <c r="AA18" s="102" t="s">
        <v>1752</v>
      </c>
      <c r="AB18" s="102" t="s">
        <v>595</v>
      </c>
      <c r="AC18" s="102" t="s">
        <v>1687</v>
      </c>
      <c r="AD18" s="102" t="s">
        <v>1767</v>
      </c>
      <c r="AE18" s="103" t="s">
        <v>49</v>
      </c>
      <c r="AF18" s="120" t="s">
        <v>1692</v>
      </c>
    </row>
    <row r="19" spans="1:32" ht="75" hidden="1" customHeight="1">
      <c r="A19" s="6" t="s">
        <v>36</v>
      </c>
      <c r="B19" s="6" t="s">
        <v>161</v>
      </c>
      <c r="C19" s="6" t="s">
        <v>230</v>
      </c>
      <c r="D19" s="70">
        <v>30000</v>
      </c>
      <c r="E19" s="6" t="s">
        <v>76</v>
      </c>
      <c r="F19" s="6" t="s">
        <v>163</v>
      </c>
      <c r="G19" s="6" t="s">
        <v>476</v>
      </c>
      <c r="H19" s="6" t="s">
        <v>580</v>
      </c>
      <c r="I19" s="6" t="s">
        <v>477</v>
      </c>
      <c r="J19" s="6" t="s">
        <v>478</v>
      </c>
      <c r="K19" s="6" t="s">
        <v>48</v>
      </c>
      <c r="L19" s="6" t="s">
        <v>48</v>
      </c>
      <c r="M19" s="6" t="s">
        <v>48</v>
      </c>
      <c r="N19" s="6" t="s">
        <v>48</v>
      </c>
      <c r="O19" s="6" t="s">
        <v>48</v>
      </c>
      <c r="P19" s="6" t="s">
        <v>48</v>
      </c>
      <c r="Q19" s="6" t="s">
        <v>48</v>
      </c>
      <c r="R19" s="6" t="s">
        <v>48</v>
      </c>
      <c r="S19" s="6" t="s">
        <v>48</v>
      </c>
      <c r="T19" s="6" t="s">
        <v>48</v>
      </c>
      <c r="U19" s="6" t="s">
        <v>48</v>
      </c>
      <c r="V19" s="102" t="s">
        <v>1011</v>
      </c>
      <c r="W19" s="102" t="s">
        <v>173</v>
      </c>
      <c r="X19" s="102" t="s">
        <v>1052</v>
      </c>
      <c r="Y19" s="102" t="s">
        <v>1034</v>
      </c>
      <c r="Z19" s="102" t="s">
        <v>628</v>
      </c>
      <c r="AA19" s="102" t="s">
        <v>1053</v>
      </c>
      <c r="AB19" s="102" t="s">
        <v>595</v>
      </c>
      <c r="AC19" s="102" t="s">
        <v>1066</v>
      </c>
      <c r="AD19" s="6" t="s">
        <v>1045</v>
      </c>
      <c r="AE19" s="6" t="s">
        <v>49</v>
      </c>
      <c r="AF19" s="79"/>
    </row>
    <row r="20" spans="1:32" ht="75" hidden="1" customHeight="1">
      <c r="A20" s="6" t="s">
        <v>36</v>
      </c>
      <c r="B20" s="6" t="s">
        <v>167</v>
      </c>
      <c r="C20" s="6" t="s">
        <v>168</v>
      </c>
      <c r="D20" s="70">
        <v>30000</v>
      </c>
      <c r="E20" s="6" t="s">
        <v>48</v>
      </c>
      <c r="F20" s="6" t="s">
        <v>48</v>
      </c>
      <c r="G20" s="6" t="s">
        <v>48</v>
      </c>
      <c r="H20" s="6" t="s">
        <v>48</v>
      </c>
      <c r="I20" s="6" t="s">
        <v>48</v>
      </c>
      <c r="J20" s="6" t="s">
        <v>48</v>
      </c>
      <c r="K20" s="6" t="s">
        <v>169</v>
      </c>
      <c r="L20" s="6" t="s">
        <v>771</v>
      </c>
      <c r="M20" s="6" t="s">
        <v>246</v>
      </c>
      <c r="N20" s="6" t="s">
        <v>617</v>
      </c>
      <c r="O20" s="6" t="s">
        <v>263</v>
      </c>
      <c r="P20" s="6" t="s">
        <v>494</v>
      </c>
      <c r="Q20" s="6" t="s">
        <v>48</v>
      </c>
      <c r="R20" s="6" t="s">
        <v>48</v>
      </c>
      <c r="S20" s="6" t="s">
        <v>48</v>
      </c>
      <c r="T20" s="6" t="s">
        <v>48</v>
      </c>
      <c r="U20" s="6" t="s">
        <v>48</v>
      </c>
      <c r="V20" s="102" t="s">
        <v>1011</v>
      </c>
      <c r="W20" s="102" t="s">
        <v>173</v>
      </c>
      <c r="X20" s="102" t="s">
        <v>1052</v>
      </c>
      <c r="Y20" s="102" t="s">
        <v>1034</v>
      </c>
      <c r="Z20" s="102" t="s">
        <v>628</v>
      </c>
      <c r="AA20" s="102" t="s">
        <v>1053</v>
      </c>
      <c r="AB20" s="102" t="s">
        <v>595</v>
      </c>
      <c r="AC20" s="102" t="s">
        <v>1066</v>
      </c>
      <c r="AD20" s="6" t="s">
        <v>1045</v>
      </c>
      <c r="AE20" s="6" t="s">
        <v>49</v>
      </c>
      <c r="AF20" s="79"/>
    </row>
    <row r="21" spans="1:32" ht="75" hidden="1" customHeight="1">
      <c r="A21" s="6" t="s">
        <v>36</v>
      </c>
      <c r="B21" s="6" t="s">
        <v>170</v>
      </c>
      <c r="C21" s="6" t="s">
        <v>171</v>
      </c>
      <c r="D21" s="70">
        <v>30000</v>
      </c>
      <c r="E21" s="6" t="s">
        <v>48</v>
      </c>
      <c r="F21" s="6" t="s">
        <v>48</v>
      </c>
      <c r="G21" s="6" t="s">
        <v>48</v>
      </c>
      <c r="H21" s="6" t="s">
        <v>48</v>
      </c>
      <c r="I21" s="6" t="s">
        <v>48</v>
      </c>
      <c r="J21" s="6" t="s">
        <v>48</v>
      </c>
      <c r="K21" s="6" t="s">
        <v>48</v>
      </c>
      <c r="L21" s="6" t="s">
        <v>48</v>
      </c>
      <c r="M21" s="6" t="s">
        <v>48</v>
      </c>
      <c r="N21" s="6" t="s">
        <v>48</v>
      </c>
      <c r="O21" s="6" t="s">
        <v>48</v>
      </c>
      <c r="P21" s="6" t="s">
        <v>48</v>
      </c>
      <c r="Q21" s="6" t="s">
        <v>48</v>
      </c>
      <c r="R21" s="6" t="s">
        <v>48</v>
      </c>
      <c r="S21" s="6" t="s">
        <v>48</v>
      </c>
      <c r="T21" s="6" t="s">
        <v>48</v>
      </c>
      <c r="U21" s="6" t="s">
        <v>48</v>
      </c>
      <c r="V21" s="102" t="s">
        <v>1011</v>
      </c>
      <c r="W21" s="102" t="s">
        <v>173</v>
      </c>
      <c r="X21" s="102" t="s">
        <v>1052</v>
      </c>
      <c r="Y21" s="102" t="s">
        <v>1034</v>
      </c>
      <c r="Z21" s="102" t="s">
        <v>628</v>
      </c>
      <c r="AA21" s="102" t="s">
        <v>1053</v>
      </c>
      <c r="AB21" s="102" t="s">
        <v>595</v>
      </c>
      <c r="AC21" s="102" t="s">
        <v>1066</v>
      </c>
      <c r="AD21" s="6" t="s">
        <v>1045</v>
      </c>
      <c r="AE21" s="6" t="s">
        <v>49</v>
      </c>
      <c r="AF21" s="79"/>
    </row>
    <row r="22" spans="1:32" ht="75" hidden="1" customHeight="1">
      <c r="A22" s="6" t="s">
        <v>36</v>
      </c>
      <c r="B22" s="6" t="s">
        <v>172</v>
      </c>
      <c r="C22" s="6" t="s">
        <v>162</v>
      </c>
      <c r="D22" s="70">
        <v>30000</v>
      </c>
      <c r="E22" s="6" t="s">
        <v>48</v>
      </c>
      <c r="F22" s="6" t="s">
        <v>48</v>
      </c>
      <c r="G22" s="6" t="s">
        <v>48</v>
      </c>
      <c r="H22" s="6" t="s">
        <v>48</v>
      </c>
      <c r="I22" s="6" t="s">
        <v>48</v>
      </c>
      <c r="J22" s="6" t="s">
        <v>48</v>
      </c>
      <c r="K22" s="6" t="s">
        <v>48</v>
      </c>
      <c r="L22" s="6" t="s">
        <v>48</v>
      </c>
      <c r="M22" s="6" t="s">
        <v>48</v>
      </c>
      <c r="N22" s="6" t="s">
        <v>48</v>
      </c>
      <c r="O22" s="6" t="s">
        <v>48</v>
      </c>
      <c r="P22" s="6" t="s">
        <v>48</v>
      </c>
      <c r="Q22" s="6" t="s">
        <v>48</v>
      </c>
      <c r="R22" s="6" t="s">
        <v>48</v>
      </c>
      <c r="S22" s="6" t="s">
        <v>48</v>
      </c>
      <c r="T22" s="6" t="s">
        <v>48</v>
      </c>
      <c r="U22" s="6" t="s">
        <v>48</v>
      </c>
      <c r="V22" s="102" t="s">
        <v>1011</v>
      </c>
      <c r="W22" s="102" t="s">
        <v>173</v>
      </c>
      <c r="X22" s="102" t="s">
        <v>1052</v>
      </c>
      <c r="Y22" s="102" t="s">
        <v>1034</v>
      </c>
      <c r="Z22" s="102" t="s">
        <v>628</v>
      </c>
      <c r="AA22" s="102" t="s">
        <v>1053</v>
      </c>
      <c r="AB22" s="102" t="s">
        <v>595</v>
      </c>
      <c r="AC22" s="102" t="s">
        <v>1066</v>
      </c>
      <c r="AD22" s="6" t="s">
        <v>1045</v>
      </c>
      <c r="AE22" s="6" t="s">
        <v>49</v>
      </c>
      <c r="AF22" s="79"/>
    </row>
    <row r="23" spans="1:32" ht="75" hidden="1" customHeight="1">
      <c r="A23" s="6" t="s">
        <v>36</v>
      </c>
      <c r="B23" s="6" t="s">
        <v>172</v>
      </c>
      <c r="C23" s="6" t="s">
        <v>173</v>
      </c>
      <c r="D23" s="70">
        <v>30000</v>
      </c>
      <c r="E23" s="6" t="s">
        <v>48</v>
      </c>
      <c r="F23" s="6" t="s">
        <v>48</v>
      </c>
      <c r="G23" s="6" t="s">
        <v>48</v>
      </c>
      <c r="H23" s="6" t="s">
        <v>48</v>
      </c>
      <c r="I23" s="6" t="s">
        <v>48</v>
      </c>
      <c r="J23" s="6" t="s">
        <v>48</v>
      </c>
      <c r="K23" s="6" t="s">
        <v>80</v>
      </c>
      <c r="L23" s="6" t="s">
        <v>174</v>
      </c>
      <c r="M23" s="6" t="s">
        <v>247</v>
      </c>
      <c r="N23" s="6" t="s">
        <v>618</v>
      </c>
      <c r="O23" s="6" t="s">
        <v>264</v>
      </c>
      <c r="P23" s="6" t="s">
        <v>495</v>
      </c>
      <c r="Q23" s="6" t="s">
        <v>48</v>
      </c>
      <c r="R23" s="6" t="s">
        <v>48</v>
      </c>
      <c r="S23" s="6" t="s">
        <v>48</v>
      </c>
      <c r="T23" s="6" t="s">
        <v>48</v>
      </c>
      <c r="U23" s="6" t="s">
        <v>48</v>
      </c>
      <c r="V23" s="102" t="s">
        <v>1011</v>
      </c>
      <c r="W23" s="102" t="s">
        <v>177</v>
      </c>
      <c r="X23" s="102" t="s">
        <v>1059</v>
      </c>
      <c r="Y23" s="102" t="s">
        <v>1034</v>
      </c>
      <c r="Z23" s="102" t="s">
        <v>616</v>
      </c>
      <c r="AA23" s="102" t="s">
        <v>1054</v>
      </c>
      <c r="AB23" s="102" t="s">
        <v>473</v>
      </c>
      <c r="AC23" s="102" t="s">
        <v>1067</v>
      </c>
      <c r="AD23" s="102" t="s">
        <v>1062</v>
      </c>
      <c r="AE23" s="6" t="s">
        <v>49</v>
      </c>
      <c r="AF23" s="79"/>
    </row>
    <row r="24" spans="1:32" ht="75" hidden="1" customHeight="1">
      <c r="A24" s="6" t="s">
        <v>36</v>
      </c>
      <c r="B24" s="6" t="s">
        <v>175</v>
      </c>
      <c r="C24" s="6" t="s">
        <v>176</v>
      </c>
      <c r="D24" s="70">
        <v>30000</v>
      </c>
      <c r="E24" s="6" t="s">
        <v>48</v>
      </c>
      <c r="F24" s="6" t="s">
        <v>48</v>
      </c>
      <c r="G24" s="6" t="s">
        <v>48</v>
      </c>
      <c r="H24" s="6" t="s">
        <v>48</v>
      </c>
      <c r="I24" s="6" t="s">
        <v>48</v>
      </c>
      <c r="J24" s="6" t="s">
        <v>48</v>
      </c>
      <c r="K24" s="6" t="s">
        <v>48</v>
      </c>
      <c r="L24" s="6" t="s">
        <v>48</v>
      </c>
      <c r="M24" s="6" t="s">
        <v>48</v>
      </c>
      <c r="N24" s="6" t="s">
        <v>48</v>
      </c>
      <c r="O24" s="6" t="s">
        <v>48</v>
      </c>
      <c r="P24" s="6" t="s">
        <v>48</v>
      </c>
      <c r="Q24" s="6" t="s">
        <v>48</v>
      </c>
      <c r="R24" s="6" t="s">
        <v>48</v>
      </c>
      <c r="S24" s="6" t="s">
        <v>48</v>
      </c>
      <c r="T24" s="6" t="s">
        <v>48</v>
      </c>
      <c r="U24" s="6" t="s">
        <v>48</v>
      </c>
      <c r="V24" s="102" t="s">
        <v>1011</v>
      </c>
      <c r="W24" s="102" t="s">
        <v>177</v>
      </c>
      <c r="X24" s="102" t="s">
        <v>1059</v>
      </c>
      <c r="Y24" s="102" t="s">
        <v>1034</v>
      </c>
      <c r="Z24" s="102" t="s">
        <v>616</v>
      </c>
      <c r="AA24" s="102" t="s">
        <v>1054</v>
      </c>
      <c r="AB24" s="102" t="s">
        <v>473</v>
      </c>
      <c r="AC24" s="102" t="s">
        <v>1067</v>
      </c>
      <c r="AD24" s="102" t="s">
        <v>1062</v>
      </c>
      <c r="AE24" s="6" t="s">
        <v>49</v>
      </c>
      <c r="AF24" s="79"/>
    </row>
    <row r="25" spans="1:32" ht="75" hidden="1" customHeight="1">
      <c r="A25" s="6" t="s">
        <v>36</v>
      </c>
      <c r="B25" s="6" t="s">
        <v>175</v>
      </c>
      <c r="C25" s="6" t="s">
        <v>177</v>
      </c>
      <c r="D25" s="70">
        <v>30000</v>
      </c>
      <c r="E25" s="6" t="s">
        <v>68</v>
      </c>
      <c r="F25" s="6" t="s">
        <v>178</v>
      </c>
      <c r="G25" s="6" t="s">
        <v>1055</v>
      </c>
      <c r="H25" s="6" t="s">
        <v>1056</v>
      </c>
      <c r="I25" s="6" t="s">
        <v>1057</v>
      </c>
      <c r="J25" s="6" t="s">
        <v>1058</v>
      </c>
      <c r="K25" s="6" t="s">
        <v>48</v>
      </c>
      <c r="L25" s="6" t="s">
        <v>48</v>
      </c>
      <c r="M25" s="6" t="s">
        <v>48</v>
      </c>
      <c r="N25" s="6" t="s">
        <v>48</v>
      </c>
      <c r="O25" s="6" t="s">
        <v>48</v>
      </c>
      <c r="P25" s="6" t="s">
        <v>48</v>
      </c>
      <c r="Q25" s="6" t="s">
        <v>48</v>
      </c>
      <c r="R25" s="6" t="s">
        <v>48</v>
      </c>
      <c r="S25" s="6" t="s">
        <v>48</v>
      </c>
      <c r="T25" s="6" t="s">
        <v>48</v>
      </c>
      <c r="U25" s="6" t="s">
        <v>48</v>
      </c>
      <c r="V25" s="102" t="s">
        <v>1011</v>
      </c>
      <c r="W25" s="102" t="str">
        <f>C25</f>
        <v>DV25.0_R02_1549.b</v>
      </c>
      <c r="X25" s="102" t="s">
        <v>1051</v>
      </c>
      <c r="Y25" s="102" t="s">
        <v>1034</v>
      </c>
      <c r="Z25" s="102" t="s">
        <v>616</v>
      </c>
      <c r="AA25" s="102" t="s">
        <v>1054</v>
      </c>
      <c r="AB25" s="102" t="s">
        <v>473</v>
      </c>
      <c r="AC25" s="102" t="s">
        <v>1068</v>
      </c>
      <c r="AD25" s="6" t="s">
        <v>1046</v>
      </c>
      <c r="AE25" s="6" t="s">
        <v>49</v>
      </c>
      <c r="AF25" s="79"/>
    </row>
    <row r="26" spans="1:32" ht="75" hidden="1" customHeight="1">
      <c r="A26" s="6" t="s">
        <v>36</v>
      </c>
      <c r="B26" s="6" t="s">
        <v>179</v>
      </c>
      <c r="C26" s="6" t="s">
        <v>180</v>
      </c>
      <c r="D26" s="70">
        <v>30000</v>
      </c>
      <c r="E26" s="6" t="s">
        <v>48</v>
      </c>
      <c r="F26" s="6" t="s">
        <v>48</v>
      </c>
      <c r="G26" s="6" t="s">
        <v>48</v>
      </c>
      <c r="H26" s="6" t="s">
        <v>48</v>
      </c>
      <c r="I26" s="6" t="s">
        <v>48</v>
      </c>
      <c r="J26" s="6" t="s">
        <v>48</v>
      </c>
      <c r="K26" s="6" t="s">
        <v>80</v>
      </c>
      <c r="L26" s="6" t="s">
        <v>181</v>
      </c>
      <c r="M26" s="6">
        <v>60905</v>
      </c>
      <c r="N26" s="6" t="s">
        <v>613</v>
      </c>
      <c r="O26" s="6">
        <v>5765452</v>
      </c>
      <c r="P26" s="6" t="s">
        <v>182</v>
      </c>
      <c r="Q26" s="6" t="s">
        <v>48</v>
      </c>
      <c r="R26" s="6" t="s">
        <v>48</v>
      </c>
      <c r="S26" s="6" t="s">
        <v>48</v>
      </c>
      <c r="T26" s="6" t="s">
        <v>48</v>
      </c>
      <c r="U26" s="6" t="s">
        <v>48</v>
      </c>
      <c r="V26" s="102" t="s">
        <v>1011</v>
      </c>
      <c r="W26" s="102" t="str">
        <f>C26</f>
        <v>DV25.1_R01_1617.b</v>
      </c>
      <c r="X26" s="102" t="s">
        <v>1051</v>
      </c>
      <c r="Y26" s="102" t="s">
        <v>1034</v>
      </c>
      <c r="Z26" s="102" t="s">
        <v>616</v>
      </c>
      <c r="AA26" s="102" t="s">
        <v>1054</v>
      </c>
      <c r="AB26" s="102" t="s">
        <v>475</v>
      </c>
      <c r="AC26" s="102" t="s">
        <v>1068</v>
      </c>
      <c r="AD26" s="6" t="s">
        <v>1046</v>
      </c>
      <c r="AE26" s="6" t="s">
        <v>49</v>
      </c>
      <c r="AF26" s="79"/>
    </row>
    <row r="27" spans="1:32" ht="75" hidden="1" customHeight="1">
      <c r="A27" s="6" t="s">
        <v>36</v>
      </c>
      <c r="B27" s="6" t="s">
        <v>179</v>
      </c>
      <c r="C27" s="6" t="s">
        <v>183</v>
      </c>
      <c r="D27" s="70">
        <v>30000</v>
      </c>
      <c r="E27" s="6" t="s">
        <v>48</v>
      </c>
      <c r="F27" s="6" t="s">
        <v>48</v>
      </c>
      <c r="G27" s="6" t="s">
        <v>48</v>
      </c>
      <c r="H27" s="6" t="s">
        <v>48</v>
      </c>
      <c r="I27" s="6" t="s">
        <v>48</v>
      </c>
      <c r="J27" s="6" t="s">
        <v>48</v>
      </c>
      <c r="K27" s="6" t="s">
        <v>80</v>
      </c>
      <c r="L27" s="6" t="s">
        <v>185</v>
      </c>
      <c r="M27" s="6" t="s">
        <v>497</v>
      </c>
      <c r="N27" s="6" t="s">
        <v>614</v>
      </c>
      <c r="O27" s="6" t="s">
        <v>496</v>
      </c>
      <c r="P27" s="6" t="s">
        <v>184</v>
      </c>
      <c r="Q27" s="6" t="s">
        <v>48</v>
      </c>
      <c r="R27" s="6" t="s">
        <v>48</v>
      </c>
      <c r="S27" s="6" t="s">
        <v>48</v>
      </c>
      <c r="T27" s="6" t="s">
        <v>48</v>
      </c>
      <c r="U27" s="6" t="s">
        <v>48</v>
      </c>
      <c r="V27" s="102" t="s">
        <v>1706</v>
      </c>
      <c r="W27" s="102" t="s">
        <v>1706</v>
      </c>
      <c r="X27" s="102" t="s">
        <v>1742</v>
      </c>
      <c r="Y27" s="102" t="s">
        <v>1708</v>
      </c>
      <c r="Z27" s="102" t="s">
        <v>1708</v>
      </c>
      <c r="AA27" s="102" t="s">
        <v>1745</v>
      </c>
      <c r="AB27" s="102" t="s">
        <v>595</v>
      </c>
      <c r="AC27" s="102" t="s">
        <v>1746</v>
      </c>
      <c r="AD27" s="102" t="s">
        <v>1747</v>
      </c>
      <c r="AE27" s="6" t="s">
        <v>49</v>
      </c>
      <c r="AF27" s="120" t="s">
        <v>1743</v>
      </c>
    </row>
    <row r="28" spans="1:32" ht="75" hidden="1" customHeight="1">
      <c r="A28" s="6" t="s">
        <v>36</v>
      </c>
      <c r="B28" s="103" t="s">
        <v>218</v>
      </c>
      <c r="C28" s="6" t="s">
        <v>234</v>
      </c>
      <c r="D28" s="70">
        <v>30000</v>
      </c>
      <c r="E28" s="6" t="s">
        <v>48</v>
      </c>
      <c r="F28" s="6" t="s">
        <v>48</v>
      </c>
      <c r="G28" s="6" t="s">
        <v>48</v>
      </c>
      <c r="H28" s="6" t="s">
        <v>48</v>
      </c>
      <c r="I28" s="6" t="s">
        <v>48</v>
      </c>
      <c r="J28" s="6" t="s">
        <v>48</v>
      </c>
      <c r="K28" s="103" t="s">
        <v>48</v>
      </c>
      <c r="L28" s="6" t="s">
        <v>48</v>
      </c>
      <c r="M28" s="103" t="s">
        <v>48</v>
      </c>
      <c r="N28" s="6" t="s">
        <v>48</v>
      </c>
      <c r="O28" s="6" t="s">
        <v>48</v>
      </c>
      <c r="P28" s="6" t="s">
        <v>48</v>
      </c>
      <c r="Q28" s="6" t="s">
        <v>48</v>
      </c>
      <c r="R28" s="6" t="s">
        <v>48</v>
      </c>
      <c r="S28" s="6" t="s">
        <v>48</v>
      </c>
      <c r="T28" s="6" t="s">
        <v>48</v>
      </c>
      <c r="U28" s="6" t="s">
        <v>48</v>
      </c>
      <c r="V28" s="102" t="s">
        <v>1691</v>
      </c>
      <c r="W28" s="102" t="s">
        <v>1691</v>
      </c>
      <c r="X28" s="102" t="s">
        <v>1751</v>
      </c>
      <c r="Y28" s="102" t="s">
        <v>1708</v>
      </c>
      <c r="Z28" s="102" t="s">
        <v>1708</v>
      </c>
      <c r="AA28" s="102" t="s">
        <v>1752</v>
      </c>
      <c r="AB28" s="102" t="s">
        <v>595</v>
      </c>
      <c r="AC28" s="102" t="s">
        <v>1687</v>
      </c>
      <c r="AD28" s="102" t="s">
        <v>1767</v>
      </c>
      <c r="AE28" s="103" t="s">
        <v>49</v>
      </c>
      <c r="AF28" s="120" t="s">
        <v>1692</v>
      </c>
    </row>
    <row r="29" spans="1:32" ht="75" hidden="1" customHeight="1">
      <c r="A29" s="6" t="s">
        <v>36</v>
      </c>
      <c r="B29" s="103" t="s">
        <v>218</v>
      </c>
      <c r="C29" s="6" t="s">
        <v>235</v>
      </c>
      <c r="D29" s="70">
        <v>30000</v>
      </c>
      <c r="E29" s="6" t="s">
        <v>48</v>
      </c>
      <c r="F29" s="6" t="s">
        <v>48</v>
      </c>
      <c r="G29" s="6" t="s">
        <v>48</v>
      </c>
      <c r="H29" s="6" t="s">
        <v>48</v>
      </c>
      <c r="I29" s="6" t="s">
        <v>48</v>
      </c>
      <c r="J29" s="6" t="s">
        <v>48</v>
      </c>
      <c r="K29" s="103" t="s">
        <v>80</v>
      </c>
      <c r="L29" s="103" t="s">
        <v>219</v>
      </c>
      <c r="M29" s="103" t="s">
        <v>245</v>
      </c>
      <c r="N29" s="103" t="s">
        <v>615</v>
      </c>
      <c r="O29" s="6" t="s">
        <v>788</v>
      </c>
      <c r="P29" s="6" t="s">
        <v>48</v>
      </c>
      <c r="Q29" s="6" t="s">
        <v>48</v>
      </c>
      <c r="R29" s="6" t="s">
        <v>48</v>
      </c>
      <c r="S29" s="6" t="s">
        <v>48</v>
      </c>
      <c r="T29" s="6" t="s">
        <v>48</v>
      </c>
      <c r="U29" s="6" t="s">
        <v>48</v>
      </c>
      <c r="V29" s="102" t="s">
        <v>1691</v>
      </c>
      <c r="W29" s="102" t="s">
        <v>1691</v>
      </c>
      <c r="X29" s="102" t="s">
        <v>1751</v>
      </c>
      <c r="Y29" s="102" t="s">
        <v>1708</v>
      </c>
      <c r="Z29" s="102" t="s">
        <v>1708</v>
      </c>
      <c r="AA29" s="102" t="s">
        <v>1752</v>
      </c>
      <c r="AB29" s="102" t="s">
        <v>595</v>
      </c>
      <c r="AC29" s="102" t="s">
        <v>1687</v>
      </c>
      <c r="AD29" s="102" t="s">
        <v>1767</v>
      </c>
      <c r="AE29" s="103" t="s">
        <v>49</v>
      </c>
      <c r="AF29" s="120" t="s">
        <v>1692</v>
      </c>
    </row>
    <row r="30" spans="1:32" ht="75" hidden="1" customHeight="1">
      <c r="A30" s="6" t="s">
        <v>36</v>
      </c>
      <c r="B30" s="103" t="s">
        <v>220</v>
      </c>
      <c r="C30" s="6" t="s">
        <v>418</v>
      </c>
      <c r="D30" s="70">
        <v>30000</v>
      </c>
      <c r="E30" s="6" t="s">
        <v>48</v>
      </c>
      <c r="F30" s="6" t="s">
        <v>48</v>
      </c>
      <c r="G30" s="6" t="s">
        <v>48</v>
      </c>
      <c r="H30" s="6" t="s">
        <v>48</v>
      </c>
      <c r="I30" s="6" t="s">
        <v>48</v>
      </c>
      <c r="J30" s="6" t="s">
        <v>48</v>
      </c>
      <c r="K30" s="103" t="s">
        <v>48</v>
      </c>
      <c r="L30" s="103" t="s">
        <v>48</v>
      </c>
      <c r="M30" s="103" t="s">
        <v>48</v>
      </c>
      <c r="N30" s="6" t="s">
        <v>48</v>
      </c>
      <c r="O30" s="103" t="s">
        <v>48</v>
      </c>
      <c r="P30" s="103" t="s">
        <v>48</v>
      </c>
      <c r="Q30" s="103" t="s">
        <v>80</v>
      </c>
      <c r="R30" s="103" t="s">
        <v>221</v>
      </c>
      <c r="S30" s="103" t="s">
        <v>491</v>
      </c>
      <c r="T30" s="103" t="s">
        <v>48</v>
      </c>
      <c r="U30" s="103" t="s">
        <v>491</v>
      </c>
      <c r="V30" s="102" t="s">
        <v>1691</v>
      </c>
      <c r="W30" s="102" t="s">
        <v>1691</v>
      </c>
      <c r="X30" s="102" t="s">
        <v>1751</v>
      </c>
      <c r="Y30" s="102" t="s">
        <v>1708</v>
      </c>
      <c r="Z30" s="102" t="s">
        <v>1708</v>
      </c>
      <c r="AA30" s="102" t="s">
        <v>1752</v>
      </c>
      <c r="AB30" s="102" t="s">
        <v>595</v>
      </c>
      <c r="AC30" s="102" t="s">
        <v>1687</v>
      </c>
      <c r="AD30" s="102" t="s">
        <v>1767</v>
      </c>
      <c r="AE30" s="103" t="s">
        <v>49</v>
      </c>
      <c r="AF30" s="120" t="s">
        <v>1692</v>
      </c>
    </row>
    <row r="31" spans="1:32" ht="75.75" hidden="1" customHeight="1">
      <c r="A31" s="6" t="s">
        <v>36</v>
      </c>
      <c r="B31" s="103" t="s">
        <v>223</v>
      </c>
      <c r="C31" s="6" t="s">
        <v>236</v>
      </c>
      <c r="D31" s="70">
        <v>30000</v>
      </c>
      <c r="E31" s="6" t="s">
        <v>48</v>
      </c>
      <c r="F31" s="6" t="s">
        <v>48</v>
      </c>
      <c r="G31" s="6" t="s">
        <v>48</v>
      </c>
      <c r="H31" s="6" t="s">
        <v>48</v>
      </c>
      <c r="I31" s="6" t="s">
        <v>48</v>
      </c>
      <c r="J31" s="6" t="s">
        <v>48</v>
      </c>
      <c r="K31" s="103" t="s">
        <v>442</v>
      </c>
      <c r="L31" s="103" t="s">
        <v>224</v>
      </c>
      <c r="M31" s="103" t="s">
        <v>490</v>
      </c>
      <c r="N31" s="103" t="s">
        <v>616</v>
      </c>
      <c r="O31" s="6" t="s">
        <v>492</v>
      </c>
      <c r="P31" s="6" t="s">
        <v>493</v>
      </c>
      <c r="Q31" s="6" t="s">
        <v>443</v>
      </c>
      <c r="R31" s="6" t="s">
        <v>48</v>
      </c>
      <c r="S31" s="6" t="s">
        <v>453</v>
      </c>
      <c r="T31" s="6" t="s">
        <v>48</v>
      </c>
      <c r="U31" s="6" t="s">
        <v>48</v>
      </c>
      <c r="V31" s="102" t="s">
        <v>1691</v>
      </c>
      <c r="W31" s="102" t="s">
        <v>1691</v>
      </c>
      <c r="X31" s="102" t="s">
        <v>1751</v>
      </c>
      <c r="Y31" s="102" t="s">
        <v>1708</v>
      </c>
      <c r="Z31" s="102" t="s">
        <v>1708</v>
      </c>
      <c r="AA31" s="102" t="s">
        <v>1752</v>
      </c>
      <c r="AB31" s="102" t="s">
        <v>595</v>
      </c>
      <c r="AC31" s="102" t="s">
        <v>1687</v>
      </c>
      <c r="AD31" s="102" t="s">
        <v>1767</v>
      </c>
      <c r="AE31" s="103" t="s">
        <v>49</v>
      </c>
      <c r="AF31" s="120" t="s">
        <v>1692</v>
      </c>
    </row>
    <row r="32" spans="1:32" ht="75" hidden="1" customHeight="1">
      <c r="A32" s="6" t="s">
        <v>36</v>
      </c>
      <c r="B32" s="103" t="s">
        <v>225</v>
      </c>
      <c r="C32" s="6" t="s">
        <v>467</v>
      </c>
      <c r="D32" s="70">
        <v>30000</v>
      </c>
      <c r="E32" s="6" t="s">
        <v>48</v>
      </c>
      <c r="F32" s="6" t="s">
        <v>48</v>
      </c>
      <c r="G32" s="6" t="s">
        <v>48</v>
      </c>
      <c r="H32" s="6" t="s">
        <v>48</v>
      </c>
      <c r="I32" s="6" t="s">
        <v>48</v>
      </c>
      <c r="J32" s="6" t="s">
        <v>48</v>
      </c>
      <c r="K32" s="103" t="s">
        <v>789</v>
      </c>
      <c r="L32" s="115" t="s">
        <v>790</v>
      </c>
      <c r="M32" s="6" t="s">
        <v>791</v>
      </c>
      <c r="N32" s="6" t="s">
        <v>792</v>
      </c>
      <c r="O32" s="6" t="s">
        <v>793</v>
      </c>
      <c r="P32" s="6" t="s">
        <v>794</v>
      </c>
      <c r="Q32" s="6" t="s">
        <v>48</v>
      </c>
      <c r="R32" s="6" t="s">
        <v>48</v>
      </c>
      <c r="S32" s="6" t="s">
        <v>48</v>
      </c>
      <c r="T32" s="6" t="s">
        <v>48</v>
      </c>
      <c r="U32" s="6" t="s">
        <v>48</v>
      </c>
      <c r="V32" s="102" t="s">
        <v>1748</v>
      </c>
      <c r="W32" s="102" t="s">
        <v>1748</v>
      </c>
      <c r="X32" s="102" t="s">
        <v>1749</v>
      </c>
      <c r="Y32" s="102" t="s">
        <v>1708</v>
      </c>
      <c r="Z32" s="102" t="s">
        <v>1708</v>
      </c>
      <c r="AA32" s="103" t="s">
        <v>1750</v>
      </c>
      <c r="AB32" s="102" t="s">
        <v>595</v>
      </c>
      <c r="AC32" s="103" t="s">
        <v>1746</v>
      </c>
      <c r="AD32" s="102" t="s">
        <v>1766</v>
      </c>
      <c r="AE32" s="6" t="s">
        <v>49</v>
      </c>
      <c r="AF32" s="120" t="s">
        <v>1744</v>
      </c>
    </row>
    <row r="33" spans="1:32" ht="75" hidden="1" customHeight="1">
      <c r="A33" s="102" t="s">
        <v>36</v>
      </c>
      <c r="B33" s="9" t="s">
        <v>249</v>
      </c>
      <c r="C33" s="6" t="s">
        <v>237</v>
      </c>
      <c r="D33" s="70">
        <v>30000</v>
      </c>
      <c r="E33" s="102" t="s">
        <v>48</v>
      </c>
      <c r="F33" s="102" t="s">
        <v>48</v>
      </c>
      <c r="G33" s="6" t="s">
        <v>48</v>
      </c>
      <c r="H33" s="6" t="s">
        <v>48</v>
      </c>
      <c r="I33" s="6" t="s">
        <v>48</v>
      </c>
      <c r="J33" s="6" t="s">
        <v>48</v>
      </c>
      <c r="K33" s="9" t="s">
        <v>48</v>
      </c>
      <c r="L33" s="102" t="s">
        <v>48</v>
      </c>
      <c r="M33" s="9" t="s">
        <v>48</v>
      </c>
      <c r="N33" s="6" t="s">
        <v>48</v>
      </c>
      <c r="O33" s="102" t="s">
        <v>48</v>
      </c>
      <c r="P33" s="102" t="s">
        <v>48</v>
      </c>
      <c r="Q33" s="102" t="s">
        <v>48</v>
      </c>
      <c r="R33" s="102" t="s">
        <v>48</v>
      </c>
      <c r="S33" s="102" t="s">
        <v>48</v>
      </c>
      <c r="T33" s="6" t="s">
        <v>48</v>
      </c>
      <c r="U33" s="102" t="s">
        <v>48</v>
      </c>
      <c r="V33" s="102" t="s">
        <v>1691</v>
      </c>
      <c r="W33" s="102" t="s">
        <v>1691</v>
      </c>
      <c r="X33" s="102" t="s">
        <v>1751</v>
      </c>
      <c r="Y33" s="102" t="s">
        <v>1708</v>
      </c>
      <c r="Z33" s="102" t="s">
        <v>1708</v>
      </c>
      <c r="AA33" s="102" t="s">
        <v>1752</v>
      </c>
      <c r="AB33" s="102" t="s">
        <v>595</v>
      </c>
      <c r="AC33" s="102" t="s">
        <v>1687</v>
      </c>
      <c r="AD33" s="102" t="s">
        <v>1767</v>
      </c>
      <c r="AE33" s="103" t="s">
        <v>49</v>
      </c>
      <c r="AF33" s="120" t="s">
        <v>1692</v>
      </c>
    </row>
    <row r="34" spans="1:32" ht="75" hidden="1" customHeight="1">
      <c r="A34" s="6" t="s">
        <v>940</v>
      </c>
      <c r="B34" s="6" t="s">
        <v>167</v>
      </c>
      <c r="C34" s="6" t="s">
        <v>168</v>
      </c>
      <c r="D34" s="70">
        <v>30000</v>
      </c>
      <c r="E34" s="6" t="s">
        <v>48</v>
      </c>
      <c r="F34" s="6" t="s">
        <v>48</v>
      </c>
      <c r="G34" s="6" t="s">
        <v>48</v>
      </c>
      <c r="H34" s="6" t="s">
        <v>48</v>
      </c>
      <c r="I34" s="6" t="s">
        <v>48</v>
      </c>
      <c r="J34" s="6" t="s">
        <v>48</v>
      </c>
      <c r="K34" s="6" t="s">
        <v>169</v>
      </c>
      <c r="L34" s="6" t="s">
        <v>771</v>
      </c>
      <c r="M34" s="6" t="s">
        <v>246</v>
      </c>
      <c r="N34" s="6" t="s">
        <v>617</v>
      </c>
      <c r="O34" s="6" t="s">
        <v>263</v>
      </c>
      <c r="P34" s="6" t="s">
        <v>494</v>
      </c>
      <c r="Q34" s="6" t="s">
        <v>48</v>
      </c>
      <c r="R34" s="6" t="s">
        <v>48</v>
      </c>
      <c r="S34" s="6" t="s">
        <v>48</v>
      </c>
      <c r="T34" s="6" t="s">
        <v>48</v>
      </c>
      <c r="U34" s="6" t="s">
        <v>48</v>
      </c>
      <c r="V34" s="102" t="s">
        <v>1011</v>
      </c>
      <c r="W34" s="102" t="s">
        <v>183</v>
      </c>
      <c r="X34" s="102" t="s">
        <v>1063</v>
      </c>
      <c r="Y34" s="102" t="s">
        <v>1034</v>
      </c>
      <c r="Z34" s="102" t="s">
        <v>614</v>
      </c>
      <c r="AA34" s="102" t="s">
        <v>1047</v>
      </c>
      <c r="AB34" s="102" t="s">
        <v>595</v>
      </c>
      <c r="AC34" s="102" t="s">
        <v>1048</v>
      </c>
      <c r="AD34" s="6" t="s">
        <v>1050</v>
      </c>
      <c r="AE34" s="6" t="s">
        <v>49</v>
      </c>
      <c r="AF34" s="79"/>
    </row>
    <row r="35" spans="1:32" ht="75" hidden="1" customHeight="1">
      <c r="A35" s="102" t="s">
        <v>940</v>
      </c>
      <c r="B35" s="102" t="s">
        <v>170</v>
      </c>
      <c r="C35" s="6" t="s">
        <v>171</v>
      </c>
      <c r="D35" s="70">
        <v>30000</v>
      </c>
      <c r="E35" s="102" t="s">
        <v>48</v>
      </c>
      <c r="F35" s="102" t="s">
        <v>48</v>
      </c>
      <c r="G35" s="6" t="s">
        <v>48</v>
      </c>
      <c r="H35" s="6" t="s">
        <v>48</v>
      </c>
      <c r="I35" s="6" t="s">
        <v>48</v>
      </c>
      <c r="J35" s="6" t="s">
        <v>48</v>
      </c>
      <c r="K35" s="102" t="s">
        <v>48</v>
      </c>
      <c r="L35" s="102" t="s">
        <v>48</v>
      </c>
      <c r="M35" s="102" t="s">
        <v>48</v>
      </c>
      <c r="N35" s="6" t="s">
        <v>48</v>
      </c>
      <c r="O35" s="102" t="s">
        <v>48</v>
      </c>
      <c r="P35" s="102" t="s">
        <v>48</v>
      </c>
      <c r="Q35" s="102" t="s">
        <v>48</v>
      </c>
      <c r="R35" s="102" t="s">
        <v>48</v>
      </c>
      <c r="S35" s="102" t="s">
        <v>48</v>
      </c>
      <c r="T35" s="6" t="s">
        <v>48</v>
      </c>
      <c r="U35" s="102" t="s">
        <v>48</v>
      </c>
      <c r="V35" s="102" t="s">
        <v>1011</v>
      </c>
      <c r="W35" s="102" t="s">
        <v>183</v>
      </c>
      <c r="X35" s="102" t="s">
        <v>1063</v>
      </c>
      <c r="Y35" s="102" t="s">
        <v>1034</v>
      </c>
      <c r="Z35" s="102" t="s">
        <v>614</v>
      </c>
      <c r="AA35" s="102" t="s">
        <v>1047</v>
      </c>
      <c r="AB35" s="102" t="s">
        <v>595</v>
      </c>
      <c r="AC35" s="102" t="s">
        <v>1048</v>
      </c>
      <c r="AD35" s="6" t="s">
        <v>1050</v>
      </c>
      <c r="AE35" s="6" t="s">
        <v>49</v>
      </c>
      <c r="AF35" s="79"/>
    </row>
    <row r="36" spans="1:32" ht="75" hidden="1" customHeight="1">
      <c r="A36" s="6" t="s">
        <v>940</v>
      </c>
      <c r="B36" s="6" t="s">
        <v>172</v>
      </c>
      <c r="C36" s="6" t="s">
        <v>162</v>
      </c>
      <c r="D36" s="70">
        <v>30000</v>
      </c>
      <c r="E36" s="6" t="s">
        <v>48</v>
      </c>
      <c r="F36" s="6" t="s">
        <v>48</v>
      </c>
      <c r="G36" s="6" t="s">
        <v>48</v>
      </c>
      <c r="H36" s="6" t="s">
        <v>48</v>
      </c>
      <c r="I36" s="6" t="s">
        <v>48</v>
      </c>
      <c r="J36" s="6" t="s">
        <v>48</v>
      </c>
      <c r="K36" s="6" t="s">
        <v>48</v>
      </c>
      <c r="L36" s="6" t="s">
        <v>48</v>
      </c>
      <c r="M36" s="6" t="s">
        <v>48</v>
      </c>
      <c r="N36" s="6" t="s">
        <v>48</v>
      </c>
      <c r="O36" s="6" t="s">
        <v>48</v>
      </c>
      <c r="P36" s="6" t="s">
        <v>48</v>
      </c>
      <c r="Q36" s="6" t="s">
        <v>48</v>
      </c>
      <c r="R36" s="6" t="s">
        <v>48</v>
      </c>
      <c r="S36" s="6" t="s">
        <v>48</v>
      </c>
      <c r="T36" s="6" t="s">
        <v>48</v>
      </c>
      <c r="U36" s="6" t="s">
        <v>48</v>
      </c>
      <c r="V36" s="102" t="s">
        <v>1011</v>
      </c>
      <c r="W36" s="102" t="s">
        <v>183</v>
      </c>
      <c r="X36" s="102" t="s">
        <v>1063</v>
      </c>
      <c r="Y36" s="102" t="s">
        <v>1034</v>
      </c>
      <c r="Z36" s="102" t="s">
        <v>614</v>
      </c>
      <c r="AA36" s="102" t="s">
        <v>1047</v>
      </c>
      <c r="AB36" s="102" t="s">
        <v>595</v>
      </c>
      <c r="AC36" s="102" t="s">
        <v>1048</v>
      </c>
      <c r="AD36" s="6" t="s">
        <v>1050</v>
      </c>
      <c r="AE36" s="6" t="s">
        <v>49</v>
      </c>
      <c r="AF36" s="79"/>
    </row>
    <row r="37" spans="1:32" ht="75" hidden="1" customHeight="1">
      <c r="A37" s="102" t="s">
        <v>940</v>
      </c>
      <c r="B37" s="102" t="s">
        <v>172</v>
      </c>
      <c r="C37" s="6" t="s">
        <v>173</v>
      </c>
      <c r="D37" s="70">
        <v>30000</v>
      </c>
      <c r="E37" s="102" t="s">
        <v>48</v>
      </c>
      <c r="F37" s="102" t="s">
        <v>48</v>
      </c>
      <c r="G37" s="6" t="s">
        <v>48</v>
      </c>
      <c r="H37" s="6" t="s">
        <v>48</v>
      </c>
      <c r="I37" s="6" t="s">
        <v>48</v>
      </c>
      <c r="J37" s="6" t="s">
        <v>48</v>
      </c>
      <c r="K37" s="102" t="s">
        <v>80</v>
      </c>
      <c r="L37" s="102" t="s">
        <v>174</v>
      </c>
      <c r="M37" s="102" t="s">
        <v>247</v>
      </c>
      <c r="N37" s="6" t="s">
        <v>618</v>
      </c>
      <c r="O37" s="102" t="s">
        <v>264</v>
      </c>
      <c r="P37" s="102" t="s">
        <v>495</v>
      </c>
      <c r="Q37" s="102" t="s">
        <v>48</v>
      </c>
      <c r="R37" s="102" t="s">
        <v>48</v>
      </c>
      <c r="S37" s="102" t="s">
        <v>48</v>
      </c>
      <c r="T37" s="6" t="s">
        <v>48</v>
      </c>
      <c r="U37" s="102" t="s">
        <v>48</v>
      </c>
      <c r="V37" s="102" t="s">
        <v>1011</v>
      </c>
      <c r="W37" s="102" t="s">
        <v>183</v>
      </c>
      <c r="X37" s="102" t="s">
        <v>1063</v>
      </c>
      <c r="Y37" s="102" t="s">
        <v>1034</v>
      </c>
      <c r="Z37" s="102" t="s">
        <v>614</v>
      </c>
      <c r="AA37" s="102" t="s">
        <v>1047</v>
      </c>
      <c r="AB37" s="102" t="s">
        <v>595</v>
      </c>
      <c r="AC37" s="102" t="s">
        <v>1048</v>
      </c>
      <c r="AD37" s="6" t="s">
        <v>1050</v>
      </c>
      <c r="AE37" s="6" t="s">
        <v>49</v>
      </c>
      <c r="AF37" s="79"/>
    </row>
    <row r="38" spans="1:32" ht="75" hidden="1" customHeight="1">
      <c r="A38" s="6" t="s">
        <v>940</v>
      </c>
      <c r="B38" s="6" t="s">
        <v>175</v>
      </c>
      <c r="C38" s="6" t="s">
        <v>176</v>
      </c>
      <c r="D38" s="70">
        <v>30000</v>
      </c>
      <c r="E38" s="6" t="s">
        <v>48</v>
      </c>
      <c r="F38" s="6" t="s">
        <v>48</v>
      </c>
      <c r="G38" s="6" t="s">
        <v>48</v>
      </c>
      <c r="H38" s="6" t="s">
        <v>48</v>
      </c>
      <c r="I38" s="6" t="s">
        <v>48</v>
      </c>
      <c r="J38" s="6" t="s">
        <v>48</v>
      </c>
      <c r="K38" s="6" t="s">
        <v>48</v>
      </c>
      <c r="L38" s="6" t="s">
        <v>48</v>
      </c>
      <c r="M38" s="6" t="s">
        <v>48</v>
      </c>
      <c r="N38" s="6" t="s">
        <v>48</v>
      </c>
      <c r="O38" s="6" t="s">
        <v>48</v>
      </c>
      <c r="P38" s="6" t="s">
        <v>48</v>
      </c>
      <c r="Q38" s="6" t="s">
        <v>48</v>
      </c>
      <c r="R38" s="6" t="s">
        <v>48</v>
      </c>
      <c r="S38" s="6" t="s">
        <v>48</v>
      </c>
      <c r="T38" s="6" t="s">
        <v>48</v>
      </c>
      <c r="U38" s="6" t="s">
        <v>48</v>
      </c>
      <c r="V38" s="102" t="s">
        <v>1011</v>
      </c>
      <c r="W38" s="102" t="s">
        <v>183</v>
      </c>
      <c r="X38" s="102" t="s">
        <v>1063</v>
      </c>
      <c r="Y38" s="102" t="s">
        <v>1034</v>
      </c>
      <c r="Z38" s="102" t="s">
        <v>614</v>
      </c>
      <c r="AA38" s="102" t="s">
        <v>1047</v>
      </c>
      <c r="AB38" s="102" t="s">
        <v>595</v>
      </c>
      <c r="AC38" s="102" t="s">
        <v>1048</v>
      </c>
      <c r="AD38" s="6" t="s">
        <v>1050</v>
      </c>
      <c r="AE38" s="6" t="s">
        <v>49</v>
      </c>
      <c r="AF38" s="79"/>
    </row>
    <row r="39" spans="1:32" ht="75" hidden="1" customHeight="1">
      <c r="A39" s="6" t="s">
        <v>940</v>
      </c>
      <c r="B39" s="6" t="s">
        <v>175</v>
      </c>
      <c r="C39" s="6" t="s">
        <v>177</v>
      </c>
      <c r="D39" s="70">
        <v>30000</v>
      </c>
      <c r="E39" s="6" t="s">
        <v>48</v>
      </c>
      <c r="F39" s="6" t="s">
        <v>48</v>
      </c>
      <c r="G39" s="6" t="s">
        <v>48</v>
      </c>
      <c r="H39" s="6" t="s">
        <v>48</v>
      </c>
      <c r="I39" s="6" t="s">
        <v>48</v>
      </c>
      <c r="J39" s="6" t="s">
        <v>48</v>
      </c>
      <c r="K39" s="6" t="s">
        <v>68</v>
      </c>
      <c r="L39" s="6" t="s">
        <v>178</v>
      </c>
      <c r="M39" s="6" t="s">
        <v>480</v>
      </c>
      <c r="N39" s="6" t="s">
        <v>619</v>
      </c>
      <c r="O39" s="6" t="s">
        <v>481</v>
      </c>
      <c r="P39" s="6" t="s">
        <v>482</v>
      </c>
      <c r="Q39" s="6" t="s">
        <v>48</v>
      </c>
      <c r="R39" s="6" t="s">
        <v>48</v>
      </c>
      <c r="S39" s="6" t="s">
        <v>48</v>
      </c>
      <c r="T39" s="6" t="s">
        <v>48</v>
      </c>
      <c r="U39" s="6" t="s">
        <v>48</v>
      </c>
      <c r="V39" s="102" t="s">
        <v>1011</v>
      </c>
      <c r="W39" s="102" t="s">
        <v>183</v>
      </c>
      <c r="X39" s="102" t="s">
        <v>1063</v>
      </c>
      <c r="Y39" s="102" t="s">
        <v>1034</v>
      </c>
      <c r="Z39" s="102" t="s">
        <v>614</v>
      </c>
      <c r="AA39" s="102" t="s">
        <v>1047</v>
      </c>
      <c r="AB39" s="102" t="s">
        <v>595</v>
      </c>
      <c r="AC39" s="102" t="s">
        <v>1048</v>
      </c>
      <c r="AD39" s="6" t="s">
        <v>1050</v>
      </c>
      <c r="AE39" s="6" t="s">
        <v>49</v>
      </c>
      <c r="AF39" s="79"/>
    </row>
    <row r="40" spans="1:32" ht="75" hidden="1" customHeight="1">
      <c r="A40" s="6" t="s">
        <v>940</v>
      </c>
      <c r="B40" s="6" t="s">
        <v>179</v>
      </c>
      <c r="C40" s="6" t="s">
        <v>180</v>
      </c>
      <c r="D40" s="70">
        <v>30000</v>
      </c>
      <c r="E40" s="6" t="s">
        <v>48</v>
      </c>
      <c r="F40" s="6" t="s">
        <v>48</v>
      </c>
      <c r="G40" s="6" t="s">
        <v>48</v>
      </c>
      <c r="H40" s="6" t="s">
        <v>48</v>
      </c>
      <c r="I40" s="6" t="s">
        <v>48</v>
      </c>
      <c r="J40" s="6" t="s">
        <v>48</v>
      </c>
      <c r="K40" s="6" t="s">
        <v>80</v>
      </c>
      <c r="L40" s="6" t="s">
        <v>181</v>
      </c>
      <c r="M40" s="6" t="s">
        <v>483</v>
      </c>
      <c r="N40" s="6" t="s">
        <v>581</v>
      </c>
      <c r="O40" s="6">
        <v>5765452</v>
      </c>
      <c r="P40" s="6" t="s">
        <v>182</v>
      </c>
      <c r="Q40" s="6" t="s">
        <v>48</v>
      </c>
      <c r="R40" s="6" t="s">
        <v>48</v>
      </c>
      <c r="S40" s="6" t="s">
        <v>48</v>
      </c>
      <c r="T40" s="6" t="s">
        <v>48</v>
      </c>
      <c r="U40" s="6" t="s">
        <v>48</v>
      </c>
      <c r="V40" s="102" t="s">
        <v>1011</v>
      </c>
      <c r="W40" s="102" t="s">
        <v>183</v>
      </c>
      <c r="X40" s="102" t="s">
        <v>1063</v>
      </c>
      <c r="Y40" s="102" t="s">
        <v>1034</v>
      </c>
      <c r="Z40" s="102" t="s">
        <v>614</v>
      </c>
      <c r="AA40" s="102" t="s">
        <v>1047</v>
      </c>
      <c r="AB40" s="102" t="s">
        <v>595</v>
      </c>
      <c r="AC40" s="102" t="s">
        <v>1048</v>
      </c>
      <c r="AD40" s="6" t="s">
        <v>1050</v>
      </c>
      <c r="AE40" s="6" t="s">
        <v>49</v>
      </c>
      <c r="AF40" s="79"/>
    </row>
    <row r="41" spans="1:32" ht="75" hidden="1" customHeight="1">
      <c r="A41" s="6" t="s">
        <v>940</v>
      </c>
      <c r="B41" s="6" t="s">
        <v>179</v>
      </c>
      <c r="C41" s="6" t="s">
        <v>183</v>
      </c>
      <c r="D41" s="70">
        <v>30000</v>
      </c>
      <c r="E41" s="6" t="s">
        <v>48</v>
      </c>
      <c r="F41" s="6" t="s">
        <v>48</v>
      </c>
      <c r="G41" s="6" t="s">
        <v>48</v>
      </c>
      <c r="H41" s="6" t="s">
        <v>48</v>
      </c>
      <c r="I41" s="6" t="s">
        <v>48</v>
      </c>
      <c r="J41" s="6" t="s">
        <v>48</v>
      </c>
      <c r="K41" s="6" t="s">
        <v>80</v>
      </c>
      <c r="L41" s="6" t="s">
        <v>185</v>
      </c>
      <c r="M41" s="6">
        <v>60901</v>
      </c>
      <c r="N41" s="6" t="s">
        <v>614</v>
      </c>
      <c r="O41" s="6" t="s">
        <v>496</v>
      </c>
      <c r="P41" s="6" t="s">
        <v>184</v>
      </c>
      <c r="Q41" s="6" t="s">
        <v>48</v>
      </c>
      <c r="R41" s="6" t="s">
        <v>48</v>
      </c>
      <c r="S41" s="6" t="s">
        <v>48</v>
      </c>
      <c r="T41" s="6" t="s">
        <v>48</v>
      </c>
      <c r="U41" s="6" t="s">
        <v>48</v>
      </c>
      <c r="V41" s="102" t="s">
        <v>1706</v>
      </c>
      <c r="W41" s="102" t="s">
        <v>1706</v>
      </c>
      <c r="X41" s="102" t="s">
        <v>1742</v>
      </c>
      <c r="Y41" s="102" t="s">
        <v>1708</v>
      </c>
      <c r="Z41" s="102" t="s">
        <v>1708</v>
      </c>
      <c r="AA41" s="102" t="s">
        <v>1745</v>
      </c>
      <c r="AB41" s="102" t="s">
        <v>595</v>
      </c>
      <c r="AC41" s="102" t="s">
        <v>1746</v>
      </c>
      <c r="AD41" s="102" t="s">
        <v>1747</v>
      </c>
      <c r="AE41" s="6" t="s">
        <v>49</v>
      </c>
      <c r="AF41" s="120" t="s">
        <v>1743</v>
      </c>
    </row>
    <row r="42" spans="1:32" ht="75" hidden="1" customHeight="1">
      <c r="A42" s="6" t="s">
        <v>940</v>
      </c>
      <c r="B42" s="103" t="s">
        <v>218</v>
      </c>
      <c r="C42" s="6" t="s">
        <v>234</v>
      </c>
      <c r="D42" s="70">
        <v>30000</v>
      </c>
      <c r="E42" s="6" t="s">
        <v>48</v>
      </c>
      <c r="F42" s="6" t="s">
        <v>48</v>
      </c>
      <c r="G42" s="6" t="s">
        <v>48</v>
      </c>
      <c r="H42" s="6" t="s">
        <v>48</v>
      </c>
      <c r="I42" s="6" t="s">
        <v>48</v>
      </c>
      <c r="J42" s="6" t="s">
        <v>48</v>
      </c>
      <c r="K42" s="103" t="s">
        <v>48</v>
      </c>
      <c r="L42" s="6" t="s">
        <v>48</v>
      </c>
      <c r="M42" s="103" t="s">
        <v>48</v>
      </c>
      <c r="N42" s="6" t="s">
        <v>48</v>
      </c>
      <c r="O42" s="6" t="s">
        <v>48</v>
      </c>
      <c r="P42" s="6" t="s">
        <v>48</v>
      </c>
      <c r="Q42" s="6" t="s">
        <v>48</v>
      </c>
      <c r="R42" s="6" t="s">
        <v>48</v>
      </c>
      <c r="S42" s="6" t="s">
        <v>48</v>
      </c>
      <c r="T42" s="6" t="s">
        <v>48</v>
      </c>
      <c r="U42" s="6" t="s">
        <v>48</v>
      </c>
      <c r="V42" s="102" t="s">
        <v>1691</v>
      </c>
      <c r="W42" s="102" t="s">
        <v>1691</v>
      </c>
      <c r="X42" s="102" t="s">
        <v>1751</v>
      </c>
      <c r="Y42" s="102" t="s">
        <v>1708</v>
      </c>
      <c r="Z42" s="102" t="s">
        <v>1708</v>
      </c>
      <c r="AA42" s="102" t="s">
        <v>1752</v>
      </c>
      <c r="AB42" s="102" t="s">
        <v>595</v>
      </c>
      <c r="AC42" s="102" t="s">
        <v>1687</v>
      </c>
      <c r="AD42" s="102" t="s">
        <v>1767</v>
      </c>
      <c r="AE42" s="103" t="s">
        <v>49</v>
      </c>
      <c r="AF42" s="120" t="s">
        <v>1692</v>
      </c>
    </row>
    <row r="43" spans="1:32" ht="75" hidden="1" customHeight="1">
      <c r="A43" s="6" t="s">
        <v>940</v>
      </c>
      <c r="B43" s="103" t="s">
        <v>218</v>
      </c>
      <c r="C43" s="6" t="s">
        <v>235</v>
      </c>
      <c r="D43" s="70">
        <v>30000</v>
      </c>
      <c r="E43" s="6" t="s">
        <v>48</v>
      </c>
      <c r="F43" s="6" t="s">
        <v>48</v>
      </c>
      <c r="G43" s="6" t="s">
        <v>48</v>
      </c>
      <c r="H43" s="6" t="s">
        <v>48</v>
      </c>
      <c r="I43" s="6" t="s">
        <v>48</v>
      </c>
      <c r="J43" s="6" t="s">
        <v>48</v>
      </c>
      <c r="K43" s="103" t="s">
        <v>80</v>
      </c>
      <c r="L43" s="103" t="s">
        <v>219</v>
      </c>
      <c r="M43" s="103" t="s">
        <v>245</v>
      </c>
      <c r="N43" s="103" t="s">
        <v>615</v>
      </c>
      <c r="O43" s="6" t="s">
        <v>788</v>
      </c>
      <c r="P43" s="6" t="s">
        <v>48</v>
      </c>
      <c r="Q43" s="6" t="s">
        <v>48</v>
      </c>
      <c r="R43" s="6" t="s">
        <v>48</v>
      </c>
      <c r="S43" s="6" t="s">
        <v>48</v>
      </c>
      <c r="T43" s="6" t="s">
        <v>48</v>
      </c>
      <c r="U43" s="6" t="s">
        <v>48</v>
      </c>
      <c r="V43" s="102" t="s">
        <v>1691</v>
      </c>
      <c r="W43" s="102" t="s">
        <v>1691</v>
      </c>
      <c r="X43" s="102" t="s">
        <v>1751</v>
      </c>
      <c r="Y43" s="102" t="s">
        <v>1708</v>
      </c>
      <c r="Z43" s="102" t="s">
        <v>1708</v>
      </c>
      <c r="AA43" s="102" t="s">
        <v>1752</v>
      </c>
      <c r="AB43" s="102" t="s">
        <v>595</v>
      </c>
      <c r="AC43" s="102" t="s">
        <v>1687</v>
      </c>
      <c r="AD43" s="102" t="s">
        <v>1767</v>
      </c>
      <c r="AE43" s="103" t="s">
        <v>49</v>
      </c>
      <c r="AF43" s="120" t="s">
        <v>1692</v>
      </c>
    </row>
    <row r="44" spans="1:32" ht="75" hidden="1" customHeight="1">
      <c r="A44" s="6" t="s">
        <v>940</v>
      </c>
      <c r="B44" s="103" t="s">
        <v>220</v>
      </c>
      <c r="C44" s="6" t="s">
        <v>418</v>
      </c>
      <c r="D44" s="70">
        <v>30000</v>
      </c>
      <c r="E44" s="6" t="s">
        <v>48</v>
      </c>
      <c r="F44" s="6" t="s">
        <v>48</v>
      </c>
      <c r="G44" s="6" t="s">
        <v>48</v>
      </c>
      <c r="H44" s="6" t="s">
        <v>48</v>
      </c>
      <c r="I44" s="6" t="s">
        <v>48</v>
      </c>
      <c r="J44" s="6" t="s">
        <v>48</v>
      </c>
      <c r="K44" s="103" t="s">
        <v>48</v>
      </c>
      <c r="L44" s="103" t="s">
        <v>48</v>
      </c>
      <c r="M44" s="103" t="s">
        <v>48</v>
      </c>
      <c r="N44" s="6" t="s">
        <v>48</v>
      </c>
      <c r="O44" s="103" t="s">
        <v>48</v>
      </c>
      <c r="P44" s="103" t="s">
        <v>48</v>
      </c>
      <c r="Q44" s="103" t="s">
        <v>80</v>
      </c>
      <c r="R44" s="103" t="s">
        <v>221</v>
      </c>
      <c r="S44" s="103" t="s">
        <v>491</v>
      </c>
      <c r="T44" s="103" t="s">
        <v>48</v>
      </c>
      <c r="U44" s="103" t="s">
        <v>491</v>
      </c>
      <c r="V44" s="102" t="s">
        <v>1691</v>
      </c>
      <c r="W44" s="102" t="s">
        <v>1691</v>
      </c>
      <c r="X44" s="102" t="s">
        <v>1751</v>
      </c>
      <c r="Y44" s="102" t="s">
        <v>1708</v>
      </c>
      <c r="Z44" s="102" t="s">
        <v>1708</v>
      </c>
      <c r="AA44" s="102" t="s">
        <v>1752</v>
      </c>
      <c r="AB44" s="102" t="s">
        <v>595</v>
      </c>
      <c r="AC44" s="102" t="s">
        <v>1687</v>
      </c>
      <c r="AD44" s="102" t="s">
        <v>1767</v>
      </c>
      <c r="AE44" s="103" t="s">
        <v>49</v>
      </c>
      <c r="AF44" s="120" t="s">
        <v>1692</v>
      </c>
    </row>
    <row r="45" spans="1:32" ht="75" hidden="1" customHeight="1">
      <c r="A45" s="6" t="s">
        <v>940</v>
      </c>
      <c r="B45" s="103" t="s">
        <v>223</v>
      </c>
      <c r="C45" s="6" t="s">
        <v>236</v>
      </c>
      <c r="D45" s="70">
        <v>30000</v>
      </c>
      <c r="E45" s="6" t="s">
        <v>48</v>
      </c>
      <c r="F45" s="6" t="s">
        <v>48</v>
      </c>
      <c r="G45" s="6" t="s">
        <v>48</v>
      </c>
      <c r="H45" s="6" t="s">
        <v>48</v>
      </c>
      <c r="I45" s="6" t="s">
        <v>48</v>
      </c>
      <c r="J45" s="6" t="s">
        <v>48</v>
      </c>
      <c r="K45" s="103" t="s">
        <v>442</v>
      </c>
      <c r="L45" s="103" t="s">
        <v>224</v>
      </c>
      <c r="M45" s="103" t="s">
        <v>490</v>
      </c>
      <c r="N45" s="103" t="s">
        <v>616</v>
      </c>
      <c r="O45" s="6" t="s">
        <v>492</v>
      </c>
      <c r="P45" s="6" t="s">
        <v>493</v>
      </c>
      <c r="Q45" s="6" t="s">
        <v>443</v>
      </c>
      <c r="R45" s="6" t="s">
        <v>48</v>
      </c>
      <c r="S45" s="6" t="s">
        <v>453</v>
      </c>
      <c r="T45" s="6" t="s">
        <v>1381</v>
      </c>
      <c r="U45" s="6" t="s">
        <v>48</v>
      </c>
      <c r="V45" s="102" t="s">
        <v>1691</v>
      </c>
      <c r="W45" s="102" t="s">
        <v>1691</v>
      </c>
      <c r="X45" s="102" t="s">
        <v>1751</v>
      </c>
      <c r="Y45" s="102" t="s">
        <v>1708</v>
      </c>
      <c r="Z45" s="102" t="s">
        <v>1708</v>
      </c>
      <c r="AA45" s="102" t="s">
        <v>1752</v>
      </c>
      <c r="AB45" s="102" t="s">
        <v>595</v>
      </c>
      <c r="AC45" s="102" t="s">
        <v>1687</v>
      </c>
      <c r="AD45" s="102" t="s">
        <v>1767</v>
      </c>
      <c r="AE45" s="103" t="s">
        <v>49</v>
      </c>
      <c r="AF45" s="120" t="s">
        <v>1692</v>
      </c>
    </row>
    <row r="46" spans="1:32" ht="75" hidden="1" customHeight="1">
      <c r="A46" s="6" t="s">
        <v>940</v>
      </c>
      <c r="B46" s="103" t="s">
        <v>225</v>
      </c>
      <c r="C46" s="6" t="s">
        <v>467</v>
      </c>
      <c r="D46" s="70">
        <v>30000</v>
      </c>
      <c r="E46" s="6" t="s">
        <v>48</v>
      </c>
      <c r="F46" s="6" t="s">
        <v>48</v>
      </c>
      <c r="G46" s="6" t="s">
        <v>48</v>
      </c>
      <c r="H46" s="6" t="s">
        <v>48</v>
      </c>
      <c r="I46" s="6" t="s">
        <v>48</v>
      </c>
      <c r="J46" s="6" t="s">
        <v>48</v>
      </c>
      <c r="K46" s="103" t="s">
        <v>789</v>
      </c>
      <c r="L46" s="115" t="s">
        <v>790</v>
      </c>
      <c r="M46" s="6" t="s">
        <v>791</v>
      </c>
      <c r="N46" s="6" t="s">
        <v>792</v>
      </c>
      <c r="O46" s="6" t="s">
        <v>793</v>
      </c>
      <c r="P46" s="6" t="s">
        <v>794</v>
      </c>
      <c r="Q46" s="6" t="s">
        <v>48</v>
      </c>
      <c r="R46" s="6" t="s">
        <v>48</v>
      </c>
      <c r="S46" s="6" t="s">
        <v>48</v>
      </c>
      <c r="T46" s="6" t="s">
        <v>48</v>
      </c>
      <c r="U46" s="6" t="s">
        <v>48</v>
      </c>
      <c r="V46" s="102" t="s">
        <v>1748</v>
      </c>
      <c r="W46" s="102" t="s">
        <v>1748</v>
      </c>
      <c r="X46" s="102" t="s">
        <v>1749</v>
      </c>
      <c r="Y46" s="102" t="s">
        <v>1708</v>
      </c>
      <c r="Z46" s="102" t="s">
        <v>1708</v>
      </c>
      <c r="AA46" s="103" t="s">
        <v>1750</v>
      </c>
      <c r="AB46" s="102" t="s">
        <v>595</v>
      </c>
      <c r="AC46" s="103" t="s">
        <v>1746</v>
      </c>
      <c r="AD46" s="102" t="s">
        <v>1766</v>
      </c>
      <c r="AE46" s="6" t="s">
        <v>49</v>
      </c>
      <c r="AF46" s="120" t="s">
        <v>1744</v>
      </c>
    </row>
    <row r="47" spans="1:32" ht="75" hidden="1" customHeight="1">
      <c r="A47" s="6" t="s">
        <v>940</v>
      </c>
      <c r="B47" s="103" t="s">
        <v>249</v>
      </c>
      <c r="C47" s="6" t="s">
        <v>237</v>
      </c>
      <c r="D47" s="70">
        <v>30000</v>
      </c>
      <c r="E47" s="6" t="s">
        <v>48</v>
      </c>
      <c r="F47" s="6" t="s">
        <v>48</v>
      </c>
      <c r="G47" s="6" t="s">
        <v>48</v>
      </c>
      <c r="H47" s="6" t="s">
        <v>48</v>
      </c>
      <c r="I47" s="6" t="s">
        <v>48</v>
      </c>
      <c r="J47" s="6" t="s">
        <v>48</v>
      </c>
      <c r="K47" s="103" t="s">
        <v>48</v>
      </c>
      <c r="L47" s="6" t="s">
        <v>48</v>
      </c>
      <c r="M47" s="103" t="s">
        <v>48</v>
      </c>
      <c r="N47" s="6" t="s">
        <v>48</v>
      </c>
      <c r="O47" s="6" t="s">
        <v>48</v>
      </c>
      <c r="P47" s="6" t="s">
        <v>48</v>
      </c>
      <c r="Q47" s="6" t="s">
        <v>48</v>
      </c>
      <c r="R47" s="6" t="s">
        <v>48</v>
      </c>
      <c r="S47" s="6" t="s">
        <v>48</v>
      </c>
      <c r="T47" s="6" t="s">
        <v>48</v>
      </c>
      <c r="U47" s="6" t="s">
        <v>48</v>
      </c>
      <c r="V47" s="102" t="s">
        <v>1691</v>
      </c>
      <c r="W47" s="102" t="s">
        <v>1691</v>
      </c>
      <c r="X47" s="102" t="s">
        <v>1751</v>
      </c>
      <c r="Y47" s="102" t="s">
        <v>1708</v>
      </c>
      <c r="Z47" s="102" t="s">
        <v>1708</v>
      </c>
      <c r="AA47" s="102" t="s">
        <v>1752</v>
      </c>
      <c r="AB47" s="102" t="s">
        <v>595</v>
      </c>
      <c r="AC47" s="102" t="s">
        <v>1687</v>
      </c>
      <c r="AD47" s="102" t="s">
        <v>1767</v>
      </c>
      <c r="AE47" s="103" t="s">
        <v>49</v>
      </c>
      <c r="AF47" s="120" t="s">
        <v>1692</v>
      </c>
    </row>
    <row r="48" spans="1:32" ht="75" hidden="1" customHeight="1">
      <c r="A48" s="6" t="s">
        <v>456</v>
      </c>
      <c r="B48" s="6" t="s">
        <v>74</v>
      </c>
      <c r="C48" s="6" t="s">
        <v>75</v>
      </c>
      <c r="D48" s="70">
        <v>15000</v>
      </c>
      <c r="E48" s="6" t="s">
        <v>76</v>
      </c>
      <c r="F48" s="6" t="s">
        <v>750</v>
      </c>
      <c r="G48" s="6" t="s">
        <v>748</v>
      </c>
      <c r="H48" s="6" t="s">
        <v>751</v>
      </c>
      <c r="I48" s="6" t="s">
        <v>752</v>
      </c>
      <c r="J48" s="6" t="s">
        <v>757</v>
      </c>
      <c r="K48" s="6" t="s">
        <v>48</v>
      </c>
      <c r="L48" s="6" t="s">
        <v>48</v>
      </c>
      <c r="M48" s="6" t="s">
        <v>48</v>
      </c>
      <c r="N48" s="6" t="s">
        <v>48</v>
      </c>
      <c r="O48" s="6" t="s">
        <v>48</v>
      </c>
      <c r="P48" s="6" t="s">
        <v>48</v>
      </c>
      <c r="Q48" s="6" t="s">
        <v>48</v>
      </c>
      <c r="R48" s="6" t="s">
        <v>48</v>
      </c>
      <c r="S48" s="6" t="s">
        <v>48</v>
      </c>
      <c r="T48" s="6" t="s">
        <v>48</v>
      </c>
      <c r="U48" s="6" t="s">
        <v>48</v>
      </c>
      <c r="V48" s="102" t="s">
        <v>75</v>
      </c>
      <c r="W48" s="102" t="str">
        <f t="shared" ref="W48:W66" si="0">V48</f>
        <v>E2.0_M4_0502.b</v>
      </c>
      <c r="X48" s="102" t="s">
        <v>48</v>
      </c>
      <c r="Y48" s="102" t="s">
        <v>48</v>
      </c>
      <c r="Z48" s="102" t="s">
        <v>48</v>
      </c>
      <c r="AA48" s="102" t="s">
        <v>48</v>
      </c>
      <c r="AB48" s="102" t="s">
        <v>48</v>
      </c>
      <c r="AC48" s="102" t="s">
        <v>48</v>
      </c>
      <c r="AD48" s="6" t="s">
        <v>753</v>
      </c>
      <c r="AE48" s="6" t="s">
        <v>49</v>
      </c>
      <c r="AF48" s="79"/>
    </row>
    <row r="49" spans="1:32" ht="75" hidden="1" customHeight="1">
      <c r="A49" s="6" t="s">
        <v>14</v>
      </c>
      <c r="B49" s="6" t="s">
        <v>90</v>
      </c>
      <c r="C49" s="6" t="s">
        <v>91</v>
      </c>
      <c r="D49" s="70">
        <v>15000</v>
      </c>
      <c r="E49" s="6" t="s">
        <v>48</v>
      </c>
      <c r="F49" s="6" t="s">
        <v>48</v>
      </c>
      <c r="G49" s="6" t="s">
        <v>48</v>
      </c>
      <c r="H49" s="6" t="s">
        <v>48</v>
      </c>
      <c r="I49" s="6" t="s">
        <v>48</v>
      </c>
      <c r="J49" s="6" t="s">
        <v>48</v>
      </c>
      <c r="K49" s="6" t="s">
        <v>48</v>
      </c>
      <c r="L49" s="6" t="s">
        <v>48</v>
      </c>
      <c r="M49" s="6" t="s">
        <v>48</v>
      </c>
      <c r="N49" s="6" t="s">
        <v>48</v>
      </c>
      <c r="O49" s="6" t="s">
        <v>48</v>
      </c>
      <c r="P49" s="6" t="s">
        <v>48</v>
      </c>
      <c r="Q49" s="6" t="s">
        <v>48</v>
      </c>
      <c r="R49" s="6" t="s">
        <v>48</v>
      </c>
      <c r="S49" s="6" t="s">
        <v>48</v>
      </c>
      <c r="T49" s="6" t="s">
        <v>48</v>
      </c>
      <c r="U49" s="6" t="s">
        <v>48</v>
      </c>
      <c r="V49" s="102" t="s">
        <v>92</v>
      </c>
      <c r="W49" s="102" t="str">
        <f t="shared" si="0"/>
        <v>11.1_M4_0818.a</v>
      </c>
      <c r="X49" s="102" t="s">
        <v>694</v>
      </c>
      <c r="Y49" s="102" t="s">
        <v>625</v>
      </c>
      <c r="Z49" s="102" t="s">
        <v>625</v>
      </c>
      <c r="AA49" s="102" t="s">
        <v>695</v>
      </c>
      <c r="AB49" s="102" t="s">
        <v>595</v>
      </c>
      <c r="AC49" s="102" t="s">
        <v>696</v>
      </c>
      <c r="AD49" s="6" t="s">
        <v>94</v>
      </c>
      <c r="AE49" s="6" t="s">
        <v>49</v>
      </c>
      <c r="AF49" s="79"/>
    </row>
    <row r="50" spans="1:32" ht="75" hidden="1" customHeight="1">
      <c r="A50" s="6" t="s">
        <v>14</v>
      </c>
      <c r="B50" s="6" t="s">
        <v>90</v>
      </c>
      <c r="C50" s="6" t="s">
        <v>93</v>
      </c>
      <c r="D50" s="70">
        <v>15000</v>
      </c>
      <c r="E50" s="6" t="s">
        <v>48</v>
      </c>
      <c r="F50" s="6" t="s">
        <v>48</v>
      </c>
      <c r="G50" s="6" t="s">
        <v>48</v>
      </c>
      <c r="H50" s="6" t="s">
        <v>48</v>
      </c>
      <c r="I50" s="6" t="s">
        <v>48</v>
      </c>
      <c r="J50" s="6" t="s">
        <v>48</v>
      </c>
      <c r="K50" s="6" t="s">
        <v>48</v>
      </c>
      <c r="L50" s="6" t="s">
        <v>48</v>
      </c>
      <c r="M50" s="6" t="s">
        <v>48</v>
      </c>
      <c r="N50" s="6" t="s">
        <v>48</v>
      </c>
      <c r="O50" s="6" t="s">
        <v>48</v>
      </c>
      <c r="P50" s="6" t="s">
        <v>48</v>
      </c>
      <c r="Q50" s="6" t="s">
        <v>48</v>
      </c>
      <c r="R50" s="6" t="s">
        <v>48</v>
      </c>
      <c r="S50" s="6" t="s">
        <v>48</v>
      </c>
      <c r="T50" s="6" t="s">
        <v>48</v>
      </c>
      <c r="U50" s="6" t="s">
        <v>48</v>
      </c>
      <c r="V50" s="102" t="s">
        <v>92</v>
      </c>
      <c r="W50" s="102" t="str">
        <f t="shared" si="0"/>
        <v>11.1_M4_0818.a</v>
      </c>
      <c r="X50" s="102" t="s">
        <v>694</v>
      </c>
      <c r="Y50" s="102" t="s">
        <v>625</v>
      </c>
      <c r="Z50" s="102" t="s">
        <v>625</v>
      </c>
      <c r="AA50" s="102" t="s">
        <v>695</v>
      </c>
      <c r="AB50" s="102" t="s">
        <v>595</v>
      </c>
      <c r="AC50" s="102" t="s">
        <v>696</v>
      </c>
      <c r="AD50" s="6" t="s">
        <v>94</v>
      </c>
      <c r="AE50" s="6" t="s">
        <v>49</v>
      </c>
      <c r="AF50" s="79"/>
    </row>
    <row r="51" spans="1:32" ht="75" hidden="1" customHeight="1">
      <c r="A51" s="6" t="s">
        <v>14</v>
      </c>
      <c r="B51" s="6" t="s">
        <v>90</v>
      </c>
      <c r="C51" s="6" t="s">
        <v>92</v>
      </c>
      <c r="D51" s="70">
        <v>15000</v>
      </c>
      <c r="E51" s="6" t="s">
        <v>95</v>
      </c>
      <c r="F51" s="6" t="s">
        <v>96</v>
      </c>
      <c r="G51" s="6" t="s">
        <v>694</v>
      </c>
      <c r="H51" s="6" t="s">
        <v>698</v>
      </c>
      <c r="I51" s="6" t="s">
        <v>695</v>
      </c>
      <c r="J51" s="6" t="s">
        <v>696</v>
      </c>
      <c r="K51" s="6" t="s">
        <v>48</v>
      </c>
      <c r="L51" s="6" t="s">
        <v>48</v>
      </c>
      <c r="M51" s="6" t="s">
        <v>48</v>
      </c>
      <c r="N51" s="6" t="s">
        <v>48</v>
      </c>
      <c r="O51" s="6" t="s">
        <v>48</v>
      </c>
      <c r="P51" s="6" t="s">
        <v>48</v>
      </c>
      <c r="Q51" s="6" t="s">
        <v>48</v>
      </c>
      <c r="R51" s="6" t="s">
        <v>48</v>
      </c>
      <c r="S51" s="6" t="s">
        <v>48</v>
      </c>
      <c r="T51" s="6" t="s">
        <v>48</v>
      </c>
      <c r="U51" s="6" t="s">
        <v>48</v>
      </c>
      <c r="V51" s="102" t="s">
        <v>92</v>
      </c>
      <c r="W51" s="102" t="str">
        <f t="shared" si="0"/>
        <v>11.1_M4_0818.a</v>
      </c>
      <c r="X51" s="102" t="s">
        <v>48</v>
      </c>
      <c r="Y51" s="102" t="s">
        <v>48</v>
      </c>
      <c r="Z51" s="102" t="s">
        <v>48</v>
      </c>
      <c r="AA51" s="102" t="s">
        <v>48</v>
      </c>
      <c r="AB51" s="102" t="s">
        <v>48</v>
      </c>
      <c r="AC51" s="102" t="s">
        <v>48</v>
      </c>
      <c r="AD51" s="6" t="s">
        <v>48</v>
      </c>
      <c r="AE51" s="6" t="s">
        <v>49</v>
      </c>
      <c r="AF51" s="79"/>
    </row>
    <row r="52" spans="1:32" ht="75" hidden="1" customHeight="1">
      <c r="A52" s="6" t="s">
        <v>19</v>
      </c>
      <c r="B52" s="6" t="s">
        <v>106</v>
      </c>
      <c r="C52" s="6" t="s">
        <v>104</v>
      </c>
      <c r="D52" s="70">
        <v>700</v>
      </c>
      <c r="E52" s="6" t="s">
        <v>105</v>
      </c>
      <c r="F52" s="6" t="s">
        <v>812</v>
      </c>
      <c r="G52" s="6" t="s">
        <v>813</v>
      </c>
      <c r="H52" s="6" t="s">
        <v>814</v>
      </c>
      <c r="I52" s="6" t="s">
        <v>815</v>
      </c>
      <c r="J52" s="6" t="s">
        <v>816</v>
      </c>
      <c r="K52" s="6" t="s">
        <v>95</v>
      </c>
      <c r="L52" s="6" t="s">
        <v>565</v>
      </c>
      <c r="M52" s="6" t="s">
        <v>421</v>
      </c>
      <c r="N52" s="6" t="s">
        <v>623</v>
      </c>
      <c r="O52" s="6" t="s">
        <v>422</v>
      </c>
      <c r="P52" s="6" t="s">
        <v>566</v>
      </c>
      <c r="Q52" s="6" t="s">
        <v>48</v>
      </c>
      <c r="R52" s="6" t="s">
        <v>48</v>
      </c>
      <c r="S52" s="6" t="s">
        <v>48</v>
      </c>
      <c r="T52" s="6" t="s">
        <v>48</v>
      </c>
      <c r="U52" s="6" t="s">
        <v>48</v>
      </c>
      <c r="V52" s="102" t="s">
        <v>104</v>
      </c>
      <c r="W52" s="102" t="str">
        <f t="shared" si="0"/>
        <v>OPENMR4.292a_M4_0844.a</v>
      </c>
      <c r="X52" s="102" t="s">
        <v>48</v>
      </c>
      <c r="Y52" s="102" t="s">
        <v>48</v>
      </c>
      <c r="Z52" s="102" t="s">
        <v>48</v>
      </c>
      <c r="AA52" s="102" t="s">
        <v>48</v>
      </c>
      <c r="AB52" s="102" t="s">
        <v>48</v>
      </c>
      <c r="AC52" s="102" t="s">
        <v>48</v>
      </c>
      <c r="AD52" s="6" t="s">
        <v>811</v>
      </c>
      <c r="AE52" s="6" t="s">
        <v>62</v>
      </c>
      <c r="AF52" s="79"/>
    </row>
    <row r="53" spans="1:32" ht="75" hidden="1" customHeight="1">
      <c r="A53" s="6" t="s">
        <v>18</v>
      </c>
      <c r="B53" s="6" t="s">
        <v>103</v>
      </c>
      <c r="C53" s="6" t="s">
        <v>104</v>
      </c>
      <c r="D53" s="70">
        <v>700</v>
      </c>
      <c r="E53" s="6" t="s">
        <v>105</v>
      </c>
      <c r="F53" s="6" t="s">
        <v>812</v>
      </c>
      <c r="G53" s="6" t="s">
        <v>817</v>
      </c>
      <c r="H53" s="6" t="s">
        <v>818</v>
      </c>
      <c r="I53" s="6" t="s">
        <v>819</v>
      </c>
      <c r="J53" s="6" t="s">
        <v>816</v>
      </c>
      <c r="K53" s="6" t="s">
        <v>95</v>
      </c>
      <c r="L53" s="6" t="s">
        <v>565</v>
      </c>
      <c r="M53" s="6" t="s">
        <v>420</v>
      </c>
      <c r="N53" s="6" t="s">
        <v>623</v>
      </c>
      <c r="O53" s="6">
        <v>5457490</v>
      </c>
      <c r="P53" s="6" t="s">
        <v>566</v>
      </c>
      <c r="Q53" s="6" t="s">
        <v>48</v>
      </c>
      <c r="R53" s="6" t="s">
        <v>48</v>
      </c>
      <c r="S53" s="6" t="s">
        <v>48</v>
      </c>
      <c r="T53" s="6" t="s">
        <v>48</v>
      </c>
      <c r="U53" s="6" t="s">
        <v>48</v>
      </c>
      <c r="V53" s="102" t="s">
        <v>104</v>
      </c>
      <c r="W53" s="102" t="str">
        <f t="shared" si="0"/>
        <v>OPENMR4.292a_M4_0844.a</v>
      </c>
      <c r="X53" s="102" t="s">
        <v>48</v>
      </c>
      <c r="Y53" s="102" t="s">
        <v>48</v>
      </c>
      <c r="Z53" s="102" t="s">
        <v>48</v>
      </c>
      <c r="AA53" s="102" t="s">
        <v>48</v>
      </c>
      <c r="AB53" s="102" t="s">
        <v>48</v>
      </c>
      <c r="AC53" s="102" t="s">
        <v>48</v>
      </c>
      <c r="AD53" s="6" t="s">
        <v>851</v>
      </c>
      <c r="AE53" s="6" t="s">
        <v>62</v>
      </c>
      <c r="AF53" s="79"/>
    </row>
    <row r="54" spans="1:32" ht="75" hidden="1" customHeight="1">
      <c r="A54" s="6" t="s">
        <v>457</v>
      </c>
      <c r="B54" s="6" t="s">
        <v>77</v>
      </c>
      <c r="C54" s="6" t="s">
        <v>78</v>
      </c>
      <c r="D54" s="70">
        <v>30000</v>
      </c>
      <c r="E54" s="6" t="s">
        <v>76</v>
      </c>
      <c r="F54" s="6" t="s">
        <v>754</v>
      </c>
      <c r="G54" s="6" t="s">
        <v>755</v>
      </c>
      <c r="H54" s="6" t="s">
        <v>751</v>
      </c>
      <c r="I54" s="6" t="s">
        <v>756</v>
      </c>
      <c r="J54" s="6" t="s">
        <v>757</v>
      </c>
      <c r="K54" s="6" t="s">
        <v>48</v>
      </c>
      <c r="L54" s="6" t="s">
        <v>48</v>
      </c>
      <c r="M54" s="6" t="s">
        <v>48</v>
      </c>
      <c r="N54" s="6" t="s">
        <v>48</v>
      </c>
      <c r="O54" s="6" t="s">
        <v>48</v>
      </c>
      <c r="P54" s="6" t="s">
        <v>48</v>
      </c>
      <c r="Q54" s="6" t="s">
        <v>48</v>
      </c>
      <c r="R54" s="6" t="s">
        <v>48</v>
      </c>
      <c r="S54" s="6" t="s">
        <v>48</v>
      </c>
      <c r="T54" s="6" t="s">
        <v>48</v>
      </c>
      <c r="U54" s="6" t="s">
        <v>48</v>
      </c>
      <c r="V54" s="102" t="s">
        <v>78</v>
      </c>
      <c r="W54" s="102" t="str">
        <f t="shared" si="0"/>
        <v>G3.0_M4B_0513.a</v>
      </c>
      <c r="X54" s="102" t="s">
        <v>48</v>
      </c>
      <c r="Y54" s="102" t="s">
        <v>48</v>
      </c>
      <c r="Z54" s="102" t="s">
        <v>48</v>
      </c>
      <c r="AA54" s="102" t="s">
        <v>48</v>
      </c>
      <c r="AB54" s="102" t="s">
        <v>48</v>
      </c>
      <c r="AC54" s="102" t="s">
        <v>48</v>
      </c>
      <c r="AD54" s="6" t="s">
        <v>753</v>
      </c>
      <c r="AE54" s="6" t="s">
        <v>49</v>
      </c>
      <c r="AF54" s="79"/>
    </row>
    <row r="55" spans="1:32" ht="75" hidden="1" customHeight="1">
      <c r="A55" s="6" t="s">
        <v>461</v>
      </c>
      <c r="B55" s="6" t="s">
        <v>22</v>
      </c>
      <c r="C55" s="6" t="s">
        <v>574</v>
      </c>
      <c r="D55" s="70">
        <v>15000</v>
      </c>
      <c r="E55" s="6" t="s">
        <v>48</v>
      </c>
      <c r="F55" s="6" t="s">
        <v>48</v>
      </c>
      <c r="G55" s="6" t="s">
        <v>48</v>
      </c>
      <c r="H55" s="6" t="s">
        <v>48</v>
      </c>
      <c r="I55" s="6" t="s">
        <v>48</v>
      </c>
      <c r="J55" s="6" t="s">
        <v>48</v>
      </c>
      <c r="K55" s="6" t="s">
        <v>48</v>
      </c>
      <c r="L55" s="6" t="s">
        <v>48</v>
      </c>
      <c r="M55" s="6" t="s">
        <v>48</v>
      </c>
      <c r="N55" s="6" t="s">
        <v>48</v>
      </c>
      <c r="O55" s="6" t="s">
        <v>48</v>
      </c>
      <c r="P55" s="6" t="s">
        <v>48</v>
      </c>
      <c r="Q55" s="6" t="s">
        <v>48</v>
      </c>
      <c r="R55" s="6" t="s">
        <v>48</v>
      </c>
      <c r="S55" s="6" t="s">
        <v>48</v>
      </c>
      <c r="T55" s="6" t="s">
        <v>48</v>
      </c>
      <c r="U55" s="6" t="s">
        <v>48</v>
      </c>
      <c r="V55" s="102" t="s">
        <v>117</v>
      </c>
      <c r="W55" s="102" t="str">
        <f t="shared" si="0"/>
        <v>HDE15.0_M4_0943.c</v>
      </c>
      <c r="X55" s="102" t="s">
        <v>782</v>
      </c>
      <c r="Y55" s="102" t="s">
        <v>783</v>
      </c>
      <c r="Z55" s="102" t="s">
        <v>783</v>
      </c>
      <c r="AA55" s="102" t="s">
        <v>784</v>
      </c>
      <c r="AB55" s="102" t="s">
        <v>473</v>
      </c>
      <c r="AC55" s="102" t="s">
        <v>785</v>
      </c>
      <c r="AD55" s="6" t="s">
        <v>48</v>
      </c>
      <c r="AE55" s="6" t="s">
        <v>62</v>
      </c>
      <c r="AF55" s="79"/>
    </row>
    <row r="56" spans="1:32" ht="75" hidden="1" customHeight="1">
      <c r="A56" s="6" t="s">
        <v>461</v>
      </c>
      <c r="B56" s="6" t="s">
        <v>22</v>
      </c>
      <c r="C56" s="6" t="s">
        <v>541</v>
      </c>
      <c r="D56" s="70">
        <v>15000</v>
      </c>
      <c r="E56" s="6" t="s">
        <v>48</v>
      </c>
      <c r="F56" s="6" t="s">
        <v>48</v>
      </c>
      <c r="G56" s="6" t="s">
        <v>48</v>
      </c>
      <c r="H56" s="6" t="s">
        <v>48</v>
      </c>
      <c r="I56" s="6" t="s">
        <v>48</v>
      </c>
      <c r="J56" s="6" t="s">
        <v>48</v>
      </c>
      <c r="K56" s="6" t="s">
        <v>68</v>
      </c>
      <c r="L56" s="6" t="s">
        <v>781</v>
      </c>
      <c r="M56" s="6" t="s">
        <v>499</v>
      </c>
      <c r="N56" s="6" t="s">
        <v>48</v>
      </c>
      <c r="O56" s="6" t="s">
        <v>48</v>
      </c>
      <c r="P56" s="6" t="s">
        <v>48</v>
      </c>
      <c r="Q56" s="6" t="s">
        <v>48</v>
      </c>
      <c r="R56" s="6" t="s">
        <v>48</v>
      </c>
      <c r="S56" s="6" t="s">
        <v>48</v>
      </c>
      <c r="T56" s="6" t="s">
        <v>48</v>
      </c>
      <c r="U56" s="6" t="s">
        <v>48</v>
      </c>
      <c r="V56" s="102" t="s">
        <v>117</v>
      </c>
      <c r="W56" s="102" t="str">
        <f t="shared" si="0"/>
        <v>HDE15.0_M4_0943.c</v>
      </c>
      <c r="X56" s="102" t="s">
        <v>782</v>
      </c>
      <c r="Y56" s="102" t="s">
        <v>783</v>
      </c>
      <c r="Z56" s="102" t="s">
        <v>783</v>
      </c>
      <c r="AA56" s="102" t="s">
        <v>784</v>
      </c>
      <c r="AB56" s="102" t="s">
        <v>473</v>
      </c>
      <c r="AC56" s="102" t="s">
        <v>785</v>
      </c>
      <c r="AD56" s="6" t="s">
        <v>48</v>
      </c>
      <c r="AE56" s="6" t="s">
        <v>62</v>
      </c>
      <c r="AF56" s="79"/>
    </row>
    <row r="57" spans="1:32" ht="75" hidden="1" customHeight="1">
      <c r="A57" s="6" t="s">
        <v>461</v>
      </c>
      <c r="B57" s="6" t="s">
        <v>22</v>
      </c>
      <c r="C57" s="6" t="s">
        <v>117</v>
      </c>
      <c r="D57" s="70">
        <v>15000</v>
      </c>
      <c r="E57" s="6" t="s">
        <v>852</v>
      </c>
      <c r="F57" s="6" t="s">
        <v>824</v>
      </c>
      <c r="G57" s="6" t="s">
        <v>825</v>
      </c>
      <c r="H57" s="6" t="s">
        <v>826</v>
      </c>
      <c r="I57" s="6" t="s">
        <v>820</v>
      </c>
      <c r="J57" s="6" t="s">
        <v>827</v>
      </c>
      <c r="K57" s="6" t="s">
        <v>118</v>
      </c>
      <c r="L57" s="6" t="s">
        <v>251</v>
      </c>
      <c r="M57" s="6" t="s">
        <v>501</v>
      </c>
      <c r="N57" s="6" t="s">
        <v>624</v>
      </c>
      <c r="O57" s="6" t="s">
        <v>444</v>
      </c>
      <c r="P57" s="6" t="s">
        <v>780</v>
      </c>
      <c r="Q57" s="6" t="s">
        <v>48</v>
      </c>
      <c r="R57" s="6" t="s">
        <v>48</v>
      </c>
      <c r="S57" s="6" t="s">
        <v>48</v>
      </c>
      <c r="T57" s="6" t="s">
        <v>48</v>
      </c>
      <c r="U57" s="6" t="s">
        <v>48</v>
      </c>
      <c r="V57" s="102" t="s">
        <v>117</v>
      </c>
      <c r="W57" s="102" t="str">
        <f t="shared" si="0"/>
        <v>HDE15.0_M4_0943.c</v>
      </c>
      <c r="X57" s="102" t="s">
        <v>48</v>
      </c>
      <c r="Y57" s="102" t="s">
        <v>48</v>
      </c>
      <c r="Z57" s="102" t="s">
        <v>48</v>
      </c>
      <c r="AA57" s="102" t="s">
        <v>48</v>
      </c>
      <c r="AB57" s="102" t="s">
        <v>48</v>
      </c>
      <c r="AC57" s="102" t="s">
        <v>48</v>
      </c>
      <c r="AD57" s="6" t="s">
        <v>853</v>
      </c>
      <c r="AE57" s="6" t="s">
        <v>62</v>
      </c>
      <c r="AF57" s="79"/>
    </row>
    <row r="58" spans="1:32" ht="75" hidden="1" customHeight="1">
      <c r="A58" s="6" t="s">
        <v>460</v>
      </c>
      <c r="B58" s="6" t="s">
        <v>17</v>
      </c>
      <c r="C58" s="6" t="s">
        <v>102</v>
      </c>
      <c r="D58" s="70">
        <v>700</v>
      </c>
      <c r="E58" s="6" t="s">
        <v>95</v>
      </c>
      <c r="F58" s="6" t="s">
        <v>567</v>
      </c>
      <c r="G58" s="6" t="s">
        <v>835</v>
      </c>
      <c r="H58" s="6" t="s">
        <v>840</v>
      </c>
      <c r="I58" s="6" t="s">
        <v>841</v>
      </c>
      <c r="J58" s="6" t="s">
        <v>799</v>
      </c>
      <c r="K58" s="6" t="s">
        <v>48</v>
      </c>
      <c r="L58" s="6" t="s">
        <v>48</v>
      </c>
      <c r="M58" s="6" t="s">
        <v>48</v>
      </c>
      <c r="N58" s="6" t="s">
        <v>48</v>
      </c>
      <c r="O58" s="6" t="s">
        <v>48</v>
      </c>
      <c r="P58" s="6" t="s">
        <v>48</v>
      </c>
      <c r="Q58" s="6" t="s">
        <v>48</v>
      </c>
      <c r="R58" s="6" t="s">
        <v>48</v>
      </c>
      <c r="S58" s="6" t="s">
        <v>48</v>
      </c>
      <c r="T58" s="6" t="s">
        <v>48</v>
      </c>
      <c r="U58" s="6" t="s">
        <v>48</v>
      </c>
      <c r="V58" s="102" t="s">
        <v>102</v>
      </c>
      <c r="W58" s="102" t="str">
        <f t="shared" si="0"/>
        <v>OPENMR5.293a_M4_0838.a</v>
      </c>
      <c r="X58" s="102" t="s">
        <v>48</v>
      </c>
      <c r="Y58" s="102" t="s">
        <v>48</v>
      </c>
      <c r="Z58" s="102" t="s">
        <v>48</v>
      </c>
      <c r="AA58" s="102" t="s">
        <v>48</v>
      </c>
      <c r="AB58" s="102" t="s">
        <v>48</v>
      </c>
      <c r="AC58" s="102" t="s">
        <v>48</v>
      </c>
      <c r="AD58" s="6" t="s">
        <v>846</v>
      </c>
      <c r="AE58" s="6" t="s">
        <v>62</v>
      </c>
      <c r="AF58" s="79"/>
    </row>
    <row r="59" spans="1:32" ht="75" hidden="1" customHeight="1">
      <c r="A59" s="6" t="s">
        <v>8</v>
      </c>
      <c r="B59" s="6" t="s">
        <v>72</v>
      </c>
      <c r="C59" s="6" t="s">
        <v>73</v>
      </c>
      <c r="D59" s="70">
        <v>30000</v>
      </c>
      <c r="E59" s="6" t="s">
        <v>48</v>
      </c>
      <c r="F59" s="6" t="s">
        <v>48</v>
      </c>
      <c r="G59" s="6" t="s">
        <v>48</v>
      </c>
      <c r="H59" s="6" t="s">
        <v>48</v>
      </c>
      <c r="I59" s="6" t="s">
        <v>48</v>
      </c>
      <c r="J59" s="6" t="s">
        <v>48</v>
      </c>
      <c r="K59" s="6" t="s">
        <v>48</v>
      </c>
      <c r="L59" s="6" t="s">
        <v>48</v>
      </c>
      <c r="M59" s="6" t="s">
        <v>48</v>
      </c>
      <c r="N59" s="6" t="s">
        <v>48</v>
      </c>
      <c r="O59" s="6" t="s">
        <v>48</v>
      </c>
      <c r="P59" s="6" t="s">
        <v>48</v>
      </c>
      <c r="Q59" s="6" t="s">
        <v>48</v>
      </c>
      <c r="R59" s="6" t="s">
        <v>48</v>
      </c>
      <c r="S59" s="6" t="s">
        <v>48</v>
      </c>
      <c r="T59" s="6" t="s">
        <v>48</v>
      </c>
      <c r="U59" s="6" t="s">
        <v>48</v>
      </c>
      <c r="V59" s="102" t="s">
        <v>73</v>
      </c>
      <c r="W59" s="102" t="str">
        <f t="shared" si="0"/>
        <v>VH3.29I_M4_0339.a</v>
      </c>
      <c r="X59" s="102" t="s">
        <v>48</v>
      </c>
      <c r="Y59" s="102" t="s">
        <v>48</v>
      </c>
      <c r="Z59" s="102" t="s">
        <v>48</v>
      </c>
      <c r="AA59" s="102" t="s">
        <v>48</v>
      </c>
      <c r="AB59" s="102" t="s">
        <v>48</v>
      </c>
      <c r="AC59" s="102" t="s">
        <v>48</v>
      </c>
      <c r="AD59" s="6" t="s">
        <v>48</v>
      </c>
      <c r="AE59" s="6" t="s">
        <v>49</v>
      </c>
      <c r="AF59" s="79"/>
    </row>
    <row r="60" spans="1:32" ht="75" hidden="1" customHeight="1">
      <c r="A60" s="6" t="s">
        <v>7</v>
      </c>
      <c r="B60" s="6" t="s">
        <v>70</v>
      </c>
      <c r="C60" s="6" t="s">
        <v>71</v>
      </c>
      <c r="D60" s="70">
        <v>700</v>
      </c>
      <c r="E60" s="6" t="s">
        <v>68</v>
      </c>
      <c r="F60" s="6" t="s">
        <v>796</v>
      </c>
      <c r="G60" s="6" t="s">
        <v>836</v>
      </c>
      <c r="H60" s="6" t="s">
        <v>582</v>
      </c>
      <c r="I60" s="6" t="s">
        <v>842</v>
      </c>
      <c r="J60" s="6" t="s">
        <v>795</v>
      </c>
      <c r="K60" s="6" t="s">
        <v>48</v>
      </c>
      <c r="L60" s="6" t="s">
        <v>48</v>
      </c>
      <c r="M60" s="6" t="s">
        <v>48</v>
      </c>
      <c r="N60" s="6" t="s">
        <v>48</v>
      </c>
      <c r="O60" s="6" t="s">
        <v>48</v>
      </c>
      <c r="P60" s="6" t="s">
        <v>48</v>
      </c>
      <c r="Q60" s="6" t="s">
        <v>48</v>
      </c>
      <c r="R60" s="6" t="s">
        <v>48</v>
      </c>
      <c r="S60" s="6" t="s">
        <v>48</v>
      </c>
      <c r="T60" s="6" t="s">
        <v>48</v>
      </c>
      <c r="U60" s="6" t="s">
        <v>48</v>
      </c>
      <c r="V60" s="102" t="s">
        <v>71</v>
      </c>
      <c r="W60" s="102" t="str">
        <f t="shared" si="0"/>
        <v>HFO3.29I_M4_0320.a</v>
      </c>
      <c r="X60" s="102" t="s">
        <v>48</v>
      </c>
      <c r="Y60" s="102" t="s">
        <v>48</v>
      </c>
      <c r="Z60" s="102" t="s">
        <v>48</v>
      </c>
      <c r="AA60" s="102" t="s">
        <v>48</v>
      </c>
      <c r="AB60" s="102" t="s">
        <v>48</v>
      </c>
      <c r="AC60" s="102" t="s">
        <v>48</v>
      </c>
      <c r="AD60" s="6" t="s">
        <v>854</v>
      </c>
      <c r="AE60" s="6" t="s">
        <v>49</v>
      </c>
      <c r="AF60" s="79"/>
    </row>
    <row r="61" spans="1:32" ht="75" hidden="1" customHeight="1">
      <c r="A61" s="6" t="s">
        <v>464</v>
      </c>
      <c r="B61" s="6"/>
      <c r="C61" s="6">
        <v>3.53</v>
      </c>
      <c r="D61" s="70">
        <v>15000</v>
      </c>
      <c r="E61" s="6" t="s">
        <v>48</v>
      </c>
      <c r="F61" s="6" t="s">
        <v>48</v>
      </c>
      <c r="G61" s="6" t="s">
        <v>48</v>
      </c>
      <c r="H61" s="6" t="s">
        <v>48</v>
      </c>
      <c r="I61" s="6" t="s">
        <v>48</v>
      </c>
      <c r="J61" s="6" t="s">
        <v>48</v>
      </c>
      <c r="K61" s="6" t="s">
        <v>48</v>
      </c>
      <c r="L61" s="6" t="s">
        <v>48</v>
      </c>
      <c r="M61" s="6" t="s">
        <v>48</v>
      </c>
      <c r="N61" s="6" t="s">
        <v>48</v>
      </c>
      <c r="O61" s="6" t="s">
        <v>48</v>
      </c>
      <c r="P61" s="6" t="s">
        <v>48</v>
      </c>
      <c r="Q61" s="6" t="s">
        <v>48</v>
      </c>
      <c r="R61" s="6" t="s">
        <v>48</v>
      </c>
      <c r="S61" s="6" t="s">
        <v>48</v>
      </c>
      <c r="T61" s="6" t="s">
        <v>48</v>
      </c>
      <c r="U61" s="6" t="s">
        <v>48</v>
      </c>
      <c r="V61" s="102">
        <v>3.53</v>
      </c>
      <c r="W61" s="102">
        <f t="shared" si="0"/>
        <v>3.53</v>
      </c>
      <c r="X61" s="102" t="s">
        <v>48</v>
      </c>
      <c r="Y61" s="102" t="s">
        <v>48</v>
      </c>
      <c r="Z61" s="102" t="s">
        <v>48</v>
      </c>
      <c r="AA61" s="102" t="s">
        <v>48</v>
      </c>
      <c r="AB61" s="102" t="s">
        <v>48</v>
      </c>
      <c r="AC61" s="102" t="s">
        <v>48</v>
      </c>
      <c r="AD61" s="6" t="s">
        <v>48</v>
      </c>
      <c r="AE61" s="6" t="s">
        <v>49</v>
      </c>
      <c r="AF61" s="79"/>
    </row>
    <row r="62" spans="1:32" ht="75" hidden="1" customHeight="1">
      <c r="A62" s="6" t="s">
        <v>465</v>
      </c>
      <c r="B62" s="6"/>
      <c r="C62" s="6">
        <v>3.54</v>
      </c>
      <c r="D62" s="70">
        <v>15000</v>
      </c>
      <c r="E62" s="6" t="s">
        <v>48</v>
      </c>
      <c r="F62" s="6" t="s">
        <v>48</v>
      </c>
      <c r="G62" s="6" t="s">
        <v>48</v>
      </c>
      <c r="H62" s="6" t="s">
        <v>48</v>
      </c>
      <c r="I62" s="6" t="s">
        <v>48</v>
      </c>
      <c r="J62" s="6" t="s">
        <v>48</v>
      </c>
      <c r="K62" s="6" t="s">
        <v>48</v>
      </c>
      <c r="L62" s="6" t="s">
        <v>48</v>
      </c>
      <c r="M62" s="6" t="s">
        <v>48</v>
      </c>
      <c r="N62" s="6" t="s">
        <v>48</v>
      </c>
      <c r="O62" s="6" t="s">
        <v>48</v>
      </c>
      <c r="P62" s="6" t="s">
        <v>48</v>
      </c>
      <c r="Q62" s="6" t="s">
        <v>48</v>
      </c>
      <c r="R62" s="6" t="s">
        <v>48</v>
      </c>
      <c r="S62" s="6" t="s">
        <v>48</v>
      </c>
      <c r="T62" s="6" t="s">
        <v>48</v>
      </c>
      <c r="U62" s="6" t="s">
        <v>48</v>
      </c>
      <c r="V62" s="102">
        <v>3.54</v>
      </c>
      <c r="W62" s="102">
        <f t="shared" si="0"/>
        <v>3.54</v>
      </c>
      <c r="X62" s="102" t="s">
        <v>48</v>
      </c>
      <c r="Y62" s="102" t="s">
        <v>48</v>
      </c>
      <c r="Z62" s="102" t="s">
        <v>48</v>
      </c>
      <c r="AA62" s="102" t="s">
        <v>48</v>
      </c>
      <c r="AB62" s="102" t="s">
        <v>48</v>
      </c>
      <c r="AC62" s="102" t="s">
        <v>48</v>
      </c>
      <c r="AD62" s="6" t="s">
        <v>48</v>
      </c>
      <c r="AE62" s="6" t="s">
        <v>49</v>
      </c>
      <c r="AF62" s="79"/>
    </row>
    <row r="63" spans="1:32" ht="75" hidden="1" customHeight="1">
      <c r="A63" s="6" t="s">
        <v>465</v>
      </c>
      <c r="B63" s="6"/>
      <c r="C63" s="6" t="s">
        <v>773</v>
      </c>
      <c r="D63" s="70">
        <v>15000</v>
      </c>
      <c r="E63" s="6" t="s">
        <v>48</v>
      </c>
      <c r="F63" s="6" t="s">
        <v>48</v>
      </c>
      <c r="G63" s="6" t="s">
        <v>48</v>
      </c>
      <c r="H63" s="6" t="s">
        <v>48</v>
      </c>
      <c r="I63" s="6" t="s">
        <v>48</v>
      </c>
      <c r="J63" s="6" t="s">
        <v>48</v>
      </c>
      <c r="K63" s="6" t="s">
        <v>48</v>
      </c>
      <c r="L63" s="6" t="s">
        <v>48</v>
      </c>
      <c r="M63" s="6" t="s">
        <v>48</v>
      </c>
      <c r="N63" s="6" t="s">
        <v>48</v>
      </c>
      <c r="O63" s="6" t="s">
        <v>48</v>
      </c>
      <c r="P63" s="6" t="s">
        <v>48</v>
      </c>
      <c r="Q63" s="6" t="s">
        <v>48</v>
      </c>
      <c r="R63" s="6" t="s">
        <v>48</v>
      </c>
      <c r="S63" s="6" t="s">
        <v>48</v>
      </c>
      <c r="T63" s="6" t="s">
        <v>48</v>
      </c>
      <c r="U63" s="6" t="s">
        <v>48</v>
      </c>
      <c r="V63" s="102" t="s">
        <v>773</v>
      </c>
      <c r="W63" s="102" t="str">
        <f t="shared" si="0"/>
        <v>4.00</v>
      </c>
      <c r="X63" s="102" t="s">
        <v>48</v>
      </c>
      <c r="Y63" s="102" t="s">
        <v>48</v>
      </c>
      <c r="Z63" s="102" t="s">
        <v>48</v>
      </c>
      <c r="AA63" s="102" t="s">
        <v>48</v>
      </c>
      <c r="AB63" s="102" t="s">
        <v>48</v>
      </c>
      <c r="AC63" s="102" t="s">
        <v>48</v>
      </c>
      <c r="AD63" s="6" t="s">
        <v>48</v>
      </c>
      <c r="AE63" s="6" t="s">
        <v>49</v>
      </c>
      <c r="AF63" s="79"/>
    </row>
    <row r="64" spans="1:32" ht="75" hidden="1" customHeight="1">
      <c r="A64" s="6" t="s">
        <v>465</v>
      </c>
      <c r="B64" s="6"/>
      <c r="C64" s="6" t="s">
        <v>774</v>
      </c>
      <c r="D64" s="70">
        <v>15000</v>
      </c>
      <c r="E64" s="6" t="s">
        <v>48</v>
      </c>
      <c r="F64" s="6" t="s">
        <v>48</v>
      </c>
      <c r="G64" s="6" t="s">
        <v>48</v>
      </c>
      <c r="H64" s="6" t="s">
        <v>48</v>
      </c>
      <c r="I64" s="6" t="s">
        <v>48</v>
      </c>
      <c r="J64" s="6" t="s">
        <v>48</v>
      </c>
      <c r="K64" s="6" t="s">
        <v>48</v>
      </c>
      <c r="L64" s="6" t="s">
        <v>48</v>
      </c>
      <c r="M64" s="6" t="s">
        <v>48</v>
      </c>
      <c r="N64" s="6" t="s">
        <v>48</v>
      </c>
      <c r="O64" s="6" t="s">
        <v>48</v>
      </c>
      <c r="P64" s="6" t="s">
        <v>48</v>
      </c>
      <c r="Q64" s="6" t="s">
        <v>48</v>
      </c>
      <c r="R64" s="6" t="s">
        <v>48</v>
      </c>
      <c r="S64" s="6" t="s">
        <v>48</v>
      </c>
      <c r="T64" s="6" t="s">
        <v>48</v>
      </c>
      <c r="U64" s="6" t="s">
        <v>48</v>
      </c>
      <c r="V64" s="102" t="s">
        <v>774</v>
      </c>
      <c r="W64" s="102" t="str">
        <f t="shared" si="0"/>
        <v>4.01</v>
      </c>
      <c r="X64" s="102" t="s">
        <v>48</v>
      </c>
      <c r="Y64" s="102" t="s">
        <v>48</v>
      </c>
      <c r="Z64" s="102" t="s">
        <v>48</v>
      </c>
      <c r="AA64" s="102" t="s">
        <v>48</v>
      </c>
      <c r="AB64" s="102" t="s">
        <v>48</v>
      </c>
      <c r="AC64" s="102" t="s">
        <v>48</v>
      </c>
      <c r="AD64" s="6" t="s">
        <v>48</v>
      </c>
      <c r="AE64" s="6" t="s">
        <v>49</v>
      </c>
      <c r="AF64" s="79"/>
    </row>
    <row r="65" spans="1:32" ht="75" hidden="1" customHeight="1">
      <c r="A65" s="6" t="s">
        <v>465</v>
      </c>
      <c r="B65" s="6"/>
      <c r="C65" s="6" t="s">
        <v>775</v>
      </c>
      <c r="D65" s="70">
        <v>15000</v>
      </c>
      <c r="E65" s="6" t="s">
        <v>48</v>
      </c>
      <c r="F65" s="6" t="s">
        <v>48</v>
      </c>
      <c r="G65" s="6" t="s">
        <v>48</v>
      </c>
      <c r="H65" s="6" t="s">
        <v>48</v>
      </c>
      <c r="I65" s="6" t="s">
        <v>48</v>
      </c>
      <c r="J65" s="6" t="s">
        <v>48</v>
      </c>
      <c r="K65" s="6" t="s">
        <v>48</v>
      </c>
      <c r="L65" s="6" t="s">
        <v>48</v>
      </c>
      <c r="M65" s="6" t="s">
        <v>48</v>
      </c>
      <c r="N65" s="6" t="s">
        <v>48</v>
      </c>
      <c r="O65" s="6" t="s">
        <v>48</v>
      </c>
      <c r="P65" s="6" t="s">
        <v>48</v>
      </c>
      <c r="Q65" s="6" t="s">
        <v>48</v>
      </c>
      <c r="R65" s="6" t="s">
        <v>48</v>
      </c>
      <c r="S65" s="6" t="s">
        <v>48</v>
      </c>
      <c r="T65" s="6" t="s">
        <v>48</v>
      </c>
      <c r="U65" s="6" t="s">
        <v>48</v>
      </c>
      <c r="V65" s="102" t="s">
        <v>775</v>
      </c>
      <c r="W65" s="102" t="str">
        <f t="shared" si="0"/>
        <v>4.02</v>
      </c>
      <c r="X65" s="102" t="s">
        <v>48</v>
      </c>
      <c r="Y65" s="102" t="s">
        <v>48</v>
      </c>
      <c r="Z65" s="102" t="s">
        <v>48</v>
      </c>
      <c r="AA65" s="102" t="s">
        <v>48</v>
      </c>
      <c r="AB65" s="102" t="s">
        <v>48</v>
      </c>
      <c r="AC65" s="102" t="s">
        <v>48</v>
      </c>
      <c r="AD65" s="6" t="s">
        <v>48</v>
      </c>
      <c r="AE65" s="6" t="s">
        <v>49</v>
      </c>
      <c r="AF65" s="79"/>
    </row>
    <row r="66" spans="1:32" ht="75" hidden="1" customHeight="1">
      <c r="A66" s="6" t="s">
        <v>463</v>
      </c>
      <c r="B66" s="6"/>
      <c r="C66" s="6">
        <v>3.02</v>
      </c>
      <c r="D66" s="70">
        <v>1000</v>
      </c>
      <c r="E66" s="6" t="s">
        <v>48</v>
      </c>
      <c r="F66" s="6" t="s">
        <v>48</v>
      </c>
      <c r="G66" s="6" t="s">
        <v>48</v>
      </c>
      <c r="H66" s="6" t="s">
        <v>48</v>
      </c>
      <c r="I66" s="6" t="s">
        <v>48</v>
      </c>
      <c r="J66" s="6" t="s">
        <v>48</v>
      </c>
      <c r="K66" s="6" t="s">
        <v>48</v>
      </c>
      <c r="L66" s="6" t="s">
        <v>48</v>
      </c>
      <c r="M66" s="6" t="s">
        <v>48</v>
      </c>
      <c r="N66" s="6" t="s">
        <v>48</v>
      </c>
      <c r="O66" s="6" t="s">
        <v>48</v>
      </c>
      <c r="P66" s="6" t="s">
        <v>48</v>
      </c>
      <c r="Q66" s="6" t="s">
        <v>48</v>
      </c>
      <c r="R66" s="6" t="s">
        <v>48</v>
      </c>
      <c r="S66" s="6" t="s">
        <v>48</v>
      </c>
      <c r="T66" s="6" t="s">
        <v>48</v>
      </c>
      <c r="U66" s="6" t="s">
        <v>48</v>
      </c>
      <c r="V66" s="102">
        <v>3.02</v>
      </c>
      <c r="W66" s="102">
        <f t="shared" si="0"/>
        <v>3.02</v>
      </c>
      <c r="X66" s="102" t="s">
        <v>48</v>
      </c>
      <c r="Y66" s="102" t="s">
        <v>48</v>
      </c>
      <c r="Z66" s="102" t="s">
        <v>48</v>
      </c>
      <c r="AA66" s="102" t="s">
        <v>48</v>
      </c>
      <c r="AB66" s="102" t="s">
        <v>48</v>
      </c>
      <c r="AC66" s="102" t="s">
        <v>48</v>
      </c>
      <c r="AD66" s="6" t="s">
        <v>48</v>
      </c>
      <c r="AE66" s="6" t="s">
        <v>49</v>
      </c>
      <c r="AF66" s="79"/>
    </row>
    <row r="67" spans="1:32" ht="75" hidden="1" customHeight="1">
      <c r="A67" s="6" t="s">
        <v>232</v>
      </c>
      <c r="B67" s="6" t="s">
        <v>161</v>
      </c>
      <c r="C67" s="6" t="s">
        <v>230</v>
      </c>
      <c r="D67" s="70">
        <v>15000</v>
      </c>
      <c r="E67" s="6" t="s">
        <v>76</v>
      </c>
      <c r="F67" s="6" t="s">
        <v>163</v>
      </c>
      <c r="G67" s="6" t="s">
        <v>476</v>
      </c>
      <c r="H67" s="6" t="s">
        <v>580</v>
      </c>
      <c r="I67" s="6" t="s">
        <v>477</v>
      </c>
      <c r="J67" s="6" t="s">
        <v>478</v>
      </c>
      <c r="K67" s="6" t="s">
        <v>48</v>
      </c>
      <c r="L67" s="6" t="s">
        <v>48</v>
      </c>
      <c r="M67" s="6" t="s">
        <v>48</v>
      </c>
      <c r="N67" s="6" t="s">
        <v>48</v>
      </c>
      <c r="O67" s="6" t="s">
        <v>48</v>
      </c>
      <c r="P67" s="6" t="s">
        <v>48</v>
      </c>
      <c r="Q67" s="6" t="s">
        <v>48</v>
      </c>
      <c r="R67" s="6" t="s">
        <v>48</v>
      </c>
      <c r="S67" s="6" t="s">
        <v>48</v>
      </c>
      <c r="T67" s="6" t="s">
        <v>48</v>
      </c>
      <c r="U67" s="6" t="s">
        <v>48</v>
      </c>
      <c r="V67" s="102" t="s">
        <v>1011</v>
      </c>
      <c r="W67" s="102" t="s">
        <v>162</v>
      </c>
      <c r="X67" s="102" t="s">
        <v>1064</v>
      </c>
      <c r="Y67" s="102" t="s">
        <v>1034</v>
      </c>
      <c r="Z67" s="102" t="s">
        <v>630</v>
      </c>
      <c r="AA67" s="102" t="s">
        <v>1035</v>
      </c>
      <c r="AB67" s="102" t="s">
        <v>473</v>
      </c>
      <c r="AC67" s="102" t="s">
        <v>1038</v>
      </c>
      <c r="AD67" s="6" t="s">
        <v>1045</v>
      </c>
      <c r="AE67" s="6" t="s">
        <v>49</v>
      </c>
      <c r="AF67" s="79"/>
    </row>
    <row r="68" spans="1:32" ht="75" hidden="1" customHeight="1">
      <c r="A68" s="6" t="s">
        <v>232</v>
      </c>
      <c r="B68" s="6" t="s">
        <v>167</v>
      </c>
      <c r="C68" s="6" t="s">
        <v>168</v>
      </c>
      <c r="D68" s="70">
        <v>15000</v>
      </c>
      <c r="E68" s="6" t="s">
        <v>48</v>
      </c>
      <c r="F68" s="6" t="s">
        <v>48</v>
      </c>
      <c r="G68" s="6" t="s">
        <v>48</v>
      </c>
      <c r="H68" s="6" t="s">
        <v>48</v>
      </c>
      <c r="I68" s="6" t="s">
        <v>48</v>
      </c>
      <c r="J68" s="6" t="s">
        <v>48</v>
      </c>
      <c r="K68" s="6" t="s">
        <v>169</v>
      </c>
      <c r="L68" s="6" t="s">
        <v>771</v>
      </c>
      <c r="M68" s="6" t="s">
        <v>246</v>
      </c>
      <c r="N68" s="6" t="s">
        <v>617</v>
      </c>
      <c r="O68" s="6" t="s">
        <v>263</v>
      </c>
      <c r="P68" s="6" t="s">
        <v>494</v>
      </c>
      <c r="Q68" s="6" t="s">
        <v>48</v>
      </c>
      <c r="R68" s="6" t="s">
        <v>48</v>
      </c>
      <c r="S68" s="6" t="s">
        <v>48</v>
      </c>
      <c r="T68" s="6" t="s">
        <v>48</v>
      </c>
      <c r="U68" s="6" t="s">
        <v>48</v>
      </c>
      <c r="V68" s="102" t="s">
        <v>1011</v>
      </c>
      <c r="W68" s="102" t="s">
        <v>162</v>
      </c>
      <c r="X68" s="102" t="s">
        <v>1064</v>
      </c>
      <c r="Y68" s="102" t="s">
        <v>1034</v>
      </c>
      <c r="Z68" s="102" t="s">
        <v>630</v>
      </c>
      <c r="AA68" s="102" t="s">
        <v>1035</v>
      </c>
      <c r="AB68" s="102" t="s">
        <v>473</v>
      </c>
      <c r="AC68" s="102" t="s">
        <v>1038</v>
      </c>
      <c r="AD68" s="6" t="s">
        <v>1045</v>
      </c>
      <c r="AE68" s="6" t="s">
        <v>49</v>
      </c>
      <c r="AF68" s="79"/>
    </row>
    <row r="69" spans="1:32" ht="75" hidden="1" customHeight="1">
      <c r="A69" s="6" t="s">
        <v>232</v>
      </c>
      <c r="B69" s="6" t="s">
        <v>170</v>
      </c>
      <c r="C69" s="6" t="s">
        <v>568</v>
      </c>
      <c r="D69" s="70">
        <v>15000</v>
      </c>
      <c r="E69" s="6" t="s">
        <v>48</v>
      </c>
      <c r="F69" s="6" t="s">
        <v>48</v>
      </c>
      <c r="G69" s="6" t="s">
        <v>48</v>
      </c>
      <c r="H69" s="6" t="s">
        <v>48</v>
      </c>
      <c r="I69" s="6" t="s">
        <v>48</v>
      </c>
      <c r="J69" s="6" t="s">
        <v>48</v>
      </c>
      <c r="K69" s="6" t="s">
        <v>48</v>
      </c>
      <c r="L69" s="6" t="s">
        <v>48</v>
      </c>
      <c r="M69" s="6" t="s">
        <v>48</v>
      </c>
      <c r="N69" s="6" t="s">
        <v>48</v>
      </c>
      <c r="O69" s="6" t="s">
        <v>48</v>
      </c>
      <c r="P69" s="6" t="s">
        <v>48</v>
      </c>
      <c r="Q69" s="6" t="s">
        <v>48</v>
      </c>
      <c r="R69" s="6" t="s">
        <v>48</v>
      </c>
      <c r="S69" s="6" t="s">
        <v>48</v>
      </c>
      <c r="T69" s="6" t="s">
        <v>48</v>
      </c>
      <c r="U69" s="6" t="s">
        <v>48</v>
      </c>
      <c r="V69" s="102" t="s">
        <v>1011</v>
      </c>
      <c r="W69" s="102" t="s">
        <v>162</v>
      </c>
      <c r="X69" s="102" t="s">
        <v>1064</v>
      </c>
      <c r="Y69" s="102" t="s">
        <v>1034</v>
      </c>
      <c r="Z69" s="102" t="s">
        <v>630</v>
      </c>
      <c r="AA69" s="102" t="s">
        <v>1037</v>
      </c>
      <c r="AB69" s="102" t="s">
        <v>473</v>
      </c>
      <c r="AC69" s="102" t="s">
        <v>1038</v>
      </c>
      <c r="AD69" s="6" t="s">
        <v>1045</v>
      </c>
      <c r="AE69" s="6" t="s">
        <v>49</v>
      </c>
      <c r="AF69" s="79"/>
    </row>
    <row r="70" spans="1:32" ht="75" hidden="1" customHeight="1">
      <c r="A70" s="6" t="s">
        <v>232</v>
      </c>
      <c r="B70" s="6" t="s">
        <v>170</v>
      </c>
      <c r="C70" s="6" t="s">
        <v>171</v>
      </c>
      <c r="D70" s="70">
        <v>15000</v>
      </c>
      <c r="E70" s="6" t="s">
        <v>48</v>
      </c>
      <c r="F70" s="6" t="s">
        <v>48</v>
      </c>
      <c r="G70" s="6" t="s">
        <v>48</v>
      </c>
      <c r="H70" s="6" t="s">
        <v>48</v>
      </c>
      <c r="I70" s="6" t="s">
        <v>48</v>
      </c>
      <c r="J70" s="6" t="s">
        <v>48</v>
      </c>
      <c r="K70" s="6" t="s">
        <v>48</v>
      </c>
      <c r="L70" s="6" t="s">
        <v>48</v>
      </c>
      <c r="M70" s="6" t="s">
        <v>48</v>
      </c>
      <c r="N70" s="6" t="s">
        <v>48</v>
      </c>
      <c r="O70" s="6" t="s">
        <v>48</v>
      </c>
      <c r="P70" s="6" t="s">
        <v>48</v>
      </c>
      <c r="Q70" s="6" t="s">
        <v>48</v>
      </c>
      <c r="R70" s="6" t="s">
        <v>48</v>
      </c>
      <c r="S70" s="6" t="s">
        <v>48</v>
      </c>
      <c r="T70" s="6" t="s">
        <v>48</v>
      </c>
      <c r="U70" s="6" t="s">
        <v>48</v>
      </c>
      <c r="V70" s="102" t="s">
        <v>1011</v>
      </c>
      <c r="W70" s="102" t="s">
        <v>162</v>
      </c>
      <c r="X70" s="102" t="s">
        <v>1064</v>
      </c>
      <c r="Y70" s="102" t="s">
        <v>1034</v>
      </c>
      <c r="Z70" s="102" t="s">
        <v>630</v>
      </c>
      <c r="AA70" s="102" t="s">
        <v>1035</v>
      </c>
      <c r="AB70" s="102" t="s">
        <v>473</v>
      </c>
      <c r="AC70" s="102" t="s">
        <v>1038</v>
      </c>
      <c r="AD70" s="6" t="s">
        <v>1045</v>
      </c>
      <c r="AE70" s="6" t="s">
        <v>49</v>
      </c>
      <c r="AF70" s="79"/>
    </row>
    <row r="71" spans="1:32" ht="75" hidden="1" customHeight="1">
      <c r="A71" s="6" t="s">
        <v>232</v>
      </c>
      <c r="B71" s="6" t="s">
        <v>172</v>
      </c>
      <c r="C71" s="6" t="s">
        <v>162</v>
      </c>
      <c r="D71" s="70">
        <v>15000</v>
      </c>
      <c r="E71" s="6" t="s">
        <v>48</v>
      </c>
      <c r="F71" s="6" t="s">
        <v>48</v>
      </c>
      <c r="G71" s="6" t="s">
        <v>48</v>
      </c>
      <c r="H71" s="6" t="s">
        <v>48</v>
      </c>
      <c r="I71" s="6" t="s">
        <v>48</v>
      </c>
      <c r="J71" s="6" t="s">
        <v>48</v>
      </c>
      <c r="K71" s="6" t="s">
        <v>48</v>
      </c>
      <c r="L71" s="6" t="s">
        <v>48</v>
      </c>
      <c r="M71" s="6" t="s">
        <v>48</v>
      </c>
      <c r="N71" s="6" t="s">
        <v>48</v>
      </c>
      <c r="O71" s="6" t="s">
        <v>48</v>
      </c>
      <c r="P71" s="6" t="s">
        <v>48</v>
      </c>
      <c r="Q71" s="6" t="s">
        <v>48</v>
      </c>
      <c r="R71" s="6" t="s">
        <v>48</v>
      </c>
      <c r="S71" s="6" t="s">
        <v>48</v>
      </c>
      <c r="T71" s="6" t="s">
        <v>48</v>
      </c>
      <c r="U71" s="6" t="s">
        <v>48</v>
      </c>
      <c r="V71" s="102" t="s">
        <v>1011</v>
      </c>
      <c r="W71" s="102" t="s">
        <v>162</v>
      </c>
      <c r="X71" s="102" t="s">
        <v>1064</v>
      </c>
      <c r="Y71" s="102" t="s">
        <v>1034</v>
      </c>
      <c r="Z71" s="102" t="s">
        <v>630</v>
      </c>
      <c r="AA71" s="102" t="s">
        <v>1037</v>
      </c>
      <c r="AB71" s="102" t="s">
        <v>473</v>
      </c>
      <c r="AC71" s="102" t="s">
        <v>1038</v>
      </c>
      <c r="AD71" s="6" t="s">
        <v>1045</v>
      </c>
      <c r="AE71" s="6" t="s">
        <v>49</v>
      </c>
      <c r="AF71" s="79"/>
    </row>
    <row r="72" spans="1:32" ht="75" hidden="1" customHeight="1">
      <c r="A72" s="6" t="s">
        <v>232</v>
      </c>
      <c r="B72" s="6" t="s">
        <v>172</v>
      </c>
      <c r="C72" s="6" t="s">
        <v>173</v>
      </c>
      <c r="D72" s="70">
        <v>15000</v>
      </c>
      <c r="E72" s="6" t="s">
        <v>48</v>
      </c>
      <c r="F72" s="6" t="s">
        <v>48</v>
      </c>
      <c r="G72" s="6" t="s">
        <v>48</v>
      </c>
      <c r="H72" s="6" t="s">
        <v>48</v>
      </c>
      <c r="I72" s="6" t="s">
        <v>48</v>
      </c>
      <c r="J72" s="6" t="s">
        <v>48</v>
      </c>
      <c r="K72" s="6" t="s">
        <v>48</v>
      </c>
      <c r="L72" s="6" t="s">
        <v>48</v>
      </c>
      <c r="M72" s="6" t="s">
        <v>48</v>
      </c>
      <c r="N72" s="6" t="s">
        <v>48</v>
      </c>
      <c r="O72" s="6" t="s">
        <v>48</v>
      </c>
      <c r="P72" s="6" t="s">
        <v>48</v>
      </c>
      <c r="Q72" s="6" t="s">
        <v>48</v>
      </c>
      <c r="R72" s="6" t="s">
        <v>48</v>
      </c>
      <c r="S72" s="6" t="s">
        <v>48</v>
      </c>
      <c r="T72" s="6" t="s">
        <v>48</v>
      </c>
      <c r="U72" s="6" t="s">
        <v>48</v>
      </c>
      <c r="V72" s="102" t="s">
        <v>1011</v>
      </c>
      <c r="W72" s="102" t="s">
        <v>173</v>
      </c>
      <c r="X72" s="102" t="s">
        <v>1065</v>
      </c>
      <c r="Y72" s="102" t="s">
        <v>1034</v>
      </c>
      <c r="Z72" s="102" t="s">
        <v>616</v>
      </c>
      <c r="AA72" s="102" t="s">
        <v>1036</v>
      </c>
      <c r="AB72" s="102" t="s">
        <v>473</v>
      </c>
      <c r="AC72" s="102" t="s">
        <v>1040</v>
      </c>
      <c r="AD72" s="6" t="s">
        <v>1046</v>
      </c>
      <c r="AE72" s="6" t="s">
        <v>49</v>
      </c>
      <c r="AF72" s="79"/>
    </row>
    <row r="73" spans="1:32" ht="75" hidden="1" customHeight="1">
      <c r="A73" s="6" t="s">
        <v>232</v>
      </c>
      <c r="B73" s="6" t="s">
        <v>175</v>
      </c>
      <c r="C73" s="6" t="s">
        <v>176</v>
      </c>
      <c r="D73" s="70">
        <v>15000</v>
      </c>
      <c r="E73" s="6" t="s">
        <v>48</v>
      </c>
      <c r="F73" s="6" t="s">
        <v>48</v>
      </c>
      <c r="G73" s="6" t="s">
        <v>48</v>
      </c>
      <c r="H73" s="6" t="s">
        <v>48</v>
      </c>
      <c r="I73" s="6" t="s">
        <v>48</v>
      </c>
      <c r="J73" s="6" t="s">
        <v>48</v>
      </c>
      <c r="K73" s="6" t="s">
        <v>48</v>
      </c>
      <c r="L73" s="6" t="s">
        <v>48</v>
      </c>
      <c r="M73" s="6" t="s">
        <v>48</v>
      </c>
      <c r="N73" s="6" t="s">
        <v>48</v>
      </c>
      <c r="O73" s="6" t="s">
        <v>48</v>
      </c>
      <c r="P73" s="6" t="s">
        <v>48</v>
      </c>
      <c r="Q73" s="6" t="s">
        <v>48</v>
      </c>
      <c r="R73" s="6" t="s">
        <v>48</v>
      </c>
      <c r="S73" s="6" t="s">
        <v>48</v>
      </c>
      <c r="T73" s="6" t="s">
        <v>48</v>
      </c>
      <c r="U73" s="6" t="s">
        <v>48</v>
      </c>
      <c r="V73" s="102" t="s">
        <v>1011</v>
      </c>
      <c r="W73" s="102" t="s">
        <v>176</v>
      </c>
      <c r="X73" s="102" t="s">
        <v>1065</v>
      </c>
      <c r="Y73" s="102" t="s">
        <v>1034</v>
      </c>
      <c r="Z73" s="102" t="s">
        <v>616</v>
      </c>
      <c r="AA73" s="102" t="s">
        <v>1036</v>
      </c>
      <c r="AB73" s="102" t="s">
        <v>473</v>
      </c>
      <c r="AC73" s="102" t="s">
        <v>1040</v>
      </c>
      <c r="AD73" s="6" t="s">
        <v>1046</v>
      </c>
      <c r="AE73" s="6" t="s">
        <v>49</v>
      </c>
      <c r="AF73" s="79"/>
    </row>
    <row r="74" spans="1:32" ht="75" hidden="1" customHeight="1">
      <c r="A74" s="6" t="s">
        <v>232</v>
      </c>
      <c r="B74" s="6" t="s">
        <v>175</v>
      </c>
      <c r="C74" s="6" t="s">
        <v>569</v>
      </c>
      <c r="D74" s="70">
        <v>15000</v>
      </c>
      <c r="E74" s="6" t="s">
        <v>48</v>
      </c>
      <c r="F74" s="6" t="s">
        <v>48</v>
      </c>
      <c r="G74" s="6" t="s">
        <v>48</v>
      </c>
      <c r="H74" s="6" t="s">
        <v>48</v>
      </c>
      <c r="I74" s="6" t="s">
        <v>48</v>
      </c>
      <c r="J74" s="6" t="s">
        <v>48</v>
      </c>
      <c r="K74" s="6" t="s">
        <v>48</v>
      </c>
      <c r="L74" s="6" t="s">
        <v>48</v>
      </c>
      <c r="M74" s="6" t="s">
        <v>48</v>
      </c>
      <c r="N74" s="6" t="s">
        <v>48</v>
      </c>
      <c r="O74" s="6" t="s">
        <v>48</v>
      </c>
      <c r="P74" s="6" t="s">
        <v>48</v>
      </c>
      <c r="Q74" s="6" t="s">
        <v>48</v>
      </c>
      <c r="R74" s="6" t="s">
        <v>48</v>
      </c>
      <c r="S74" s="6" t="s">
        <v>48</v>
      </c>
      <c r="T74" s="6" t="s">
        <v>48</v>
      </c>
      <c r="U74" s="6" t="s">
        <v>48</v>
      </c>
      <c r="V74" s="102" t="s">
        <v>1011</v>
      </c>
      <c r="W74" s="102" t="s">
        <v>569</v>
      </c>
      <c r="X74" s="102" t="s">
        <v>1065</v>
      </c>
      <c r="Y74" s="102" t="s">
        <v>1034</v>
      </c>
      <c r="Z74" s="102" t="s">
        <v>616</v>
      </c>
      <c r="AA74" s="102" t="s">
        <v>1036</v>
      </c>
      <c r="AB74" s="102" t="s">
        <v>473</v>
      </c>
      <c r="AC74" s="102" t="s">
        <v>1040</v>
      </c>
      <c r="AD74" s="6" t="s">
        <v>1046</v>
      </c>
      <c r="AE74" s="6" t="s">
        <v>49</v>
      </c>
      <c r="AF74" s="79"/>
    </row>
    <row r="75" spans="1:32" ht="75" hidden="1" customHeight="1">
      <c r="A75" s="6" t="s">
        <v>232</v>
      </c>
      <c r="B75" s="6" t="s">
        <v>175</v>
      </c>
      <c r="C75" s="6" t="s">
        <v>177</v>
      </c>
      <c r="D75" s="70">
        <v>15000</v>
      </c>
      <c r="E75" s="6" t="s">
        <v>48</v>
      </c>
      <c r="F75" s="6" t="s">
        <v>48</v>
      </c>
      <c r="G75" s="6" t="s">
        <v>48</v>
      </c>
      <c r="H75" s="6" t="s">
        <v>48</v>
      </c>
      <c r="I75" s="6" t="s">
        <v>48</v>
      </c>
      <c r="J75" s="6" t="s">
        <v>48</v>
      </c>
      <c r="K75" s="6" t="s">
        <v>68</v>
      </c>
      <c r="L75" s="6" t="s">
        <v>178</v>
      </c>
      <c r="M75" s="6" t="s">
        <v>480</v>
      </c>
      <c r="N75" s="6" t="s">
        <v>619</v>
      </c>
      <c r="O75" s="6" t="s">
        <v>481</v>
      </c>
      <c r="P75" s="6" t="s">
        <v>482</v>
      </c>
      <c r="Q75" s="6" t="s">
        <v>48</v>
      </c>
      <c r="R75" s="6" t="s">
        <v>48</v>
      </c>
      <c r="S75" s="6" t="s">
        <v>48</v>
      </c>
      <c r="T75" s="6" t="s">
        <v>48</v>
      </c>
      <c r="U75" s="6" t="s">
        <v>48</v>
      </c>
      <c r="V75" s="102" t="s">
        <v>1011</v>
      </c>
      <c r="W75" s="102" t="s">
        <v>177</v>
      </c>
      <c r="X75" s="102" t="s">
        <v>1065</v>
      </c>
      <c r="Y75" s="102" t="s">
        <v>1034</v>
      </c>
      <c r="Z75" s="102" t="s">
        <v>616</v>
      </c>
      <c r="AA75" s="102" t="s">
        <v>1036</v>
      </c>
      <c r="AB75" s="102" t="s">
        <v>473</v>
      </c>
      <c r="AC75" s="102" t="s">
        <v>1040</v>
      </c>
      <c r="AD75" s="102" t="s">
        <v>1046</v>
      </c>
      <c r="AE75" s="6" t="s">
        <v>49</v>
      </c>
      <c r="AF75" s="79"/>
    </row>
    <row r="76" spans="1:32" ht="75" hidden="1" customHeight="1">
      <c r="A76" s="6" t="s">
        <v>232</v>
      </c>
      <c r="B76" s="6" t="s">
        <v>179</v>
      </c>
      <c r="C76" s="6" t="s">
        <v>180</v>
      </c>
      <c r="D76" s="70">
        <v>15000</v>
      </c>
      <c r="E76" s="6" t="s">
        <v>48</v>
      </c>
      <c r="F76" s="6" t="s">
        <v>48</v>
      </c>
      <c r="G76" s="6" t="s">
        <v>48</v>
      </c>
      <c r="H76" s="6" t="s">
        <v>48</v>
      </c>
      <c r="I76" s="6" t="s">
        <v>48</v>
      </c>
      <c r="J76" s="6" t="s">
        <v>48</v>
      </c>
      <c r="K76" s="6" t="s">
        <v>80</v>
      </c>
      <c r="L76" s="6" t="s">
        <v>181</v>
      </c>
      <c r="M76" s="6">
        <v>60905</v>
      </c>
      <c r="N76" s="6" t="s">
        <v>613</v>
      </c>
      <c r="O76" s="6">
        <v>5765452</v>
      </c>
      <c r="P76" s="6" t="s">
        <v>182</v>
      </c>
      <c r="Q76" s="6" t="s">
        <v>48</v>
      </c>
      <c r="R76" s="6" t="s">
        <v>48</v>
      </c>
      <c r="S76" s="6" t="s">
        <v>48</v>
      </c>
      <c r="T76" s="6" t="s">
        <v>48</v>
      </c>
      <c r="U76" s="6" t="s">
        <v>48</v>
      </c>
      <c r="V76" s="102" t="s">
        <v>1011</v>
      </c>
      <c r="W76" s="102" t="s">
        <v>180</v>
      </c>
      <c r="X76" s="102" t="s">
        <v>1065</v>
      </c>
      <c r="Y76" s="102" t="s">
        <v>1034</v>
      </c>
      <c r="Z76" s="102" t="s">
        <v>616</v>
      </c>
      <c r="AA76" s="102" t="s">
        <v>1036</v>
      </c>
      <c r="AB76" s="102" t="s">
        <v>475</v>
      </c>
      <c r="AC76" s="102" t="s">
        <v>1040</v>
      </c>
      <c r="AD76" s="6" t="s">
        <v>1046</v>
      </c>
      <c r="AE76" s="6" t="s">
        <v>49</v>
      </c>
      <c r="AF76" s="79"/>
    </row>
    <row r="77" spans="1:32" ht="75" hidden="1" customHeight="1">
      <c r="A77" s="6" t="s">
        <v>232</v>
      </c>
      <c r="B77" s="6" t="s">
        <v>179</v>
      </c>
      <c r="C77" s="6" t="s">
        <v>183</v>
      </c>
      <c r="D77" s="70">
        <v>15000</v>
      </c>
      <c r="E77" s="6" t="s">
        <v>48</v>
      </c>
      <c r="F77" s="6" t="s">
        <v>48</v>
      </c>
      <c r="G77" s="6" t="s">
        <v>48</v>
      </c>
      <c r="H77" s="6" t="s">
        <v>48</v>
      </c>
      <c r="I77" s="6" t="s">
        <v>48</v>
      </c>
      <c r="J77" s="6" t="s">
        <v>48</v>
      </c>
      <c r="K77" s="6" t="s">
        <v>80</v>
      </c>
      <c r="L77" s="6" t="s">
        <v>185</v>
      </c>
      <c r="M77" s="6">
        <v>60901</v>
      </c>
      <c r="N77" s="6" t="s">
        <v>614</v>
      </c>
      <c r="O77" s="6">
        <v>5766594</v>
      </c>
      <c r="P77" s="6" t="s">
        <v>184</v>
      </c>
      <c r="Q77" s="6" t="s">
        <v>48</v>
      </c>
      <c r="R77" s="6" t="s">
        <v>48</v>
      </c>
      <c r="S77" s="6" t="s">
        <v>48</v>
      </c>
      <c r="T77" s="6" t="s">
        <v>48</v>
      </c>
      <c r="U77" s="6" t="s">
        <v>48</v>
      </c>
      <c r="V77" s="102" t="s">
        <v>1706</v>
      </c>
      <c r="W77" s="102" t="s">
        <v>1706</v>
      </c>
      <c r="X77" s="102" t="s">
        <v>1742</v>
      </c>
      <c r="Y77" s="102" t="s">
        <v>1708</v>
      </c>
      <c r="Z77" s="102" t="s">
        <v>1708</v>
      </c>
      <c r="AA77" s="102" t="s">
        <v>1745</v>
      </c>
      <c r="AB77" s="102" t="s">
        <v>595</v>
      </c>
      <c r="AC77" s="102" t="s">
        <v>1746</v>
      </c>
      <c r="AD77" s="102" t="s">
        <v>1747</v>
      </c>
      <c r="AE77" s="6" t="s">
        <v>49</v>
      </c>
      <c r="AF77" s="120" t="s">
        <v>1743</v>
      </c>
    </row>
    <row r="78" spans="1:32" ht="75" hidden="1" customHeight="1">
      <c r="A78" s="6" t="s">
        <v>232</v>
      </c>
      <c r="B78" s="103" t="s">
        <v>218</v>
      </c>
      <c r="C78" s="6" t="s">
        <v>234</v>
      </c>
      <c r="D78" s="70">
        <v>15000</v>
      </c>
      <c r="E78" s="6" t="s">
        <v>48</v>
      </c>
      <c r="F78" s="6" t="s">
        <v>48</v>
      </c>
      <c r="G78" s="6" t="s">
        <v>48</v>
      </c>
      <c r="H78" s="6" t="s">
        <v>48</v>
      </c>
      <c r="I78" s="6" t="s">
        <v>48</v>
      </c>
      <c r="J78" s="6" t="s">
        <v>48</v>
      </c>
      <c r="K78" s="103" t="s">
        <v>48</v>
      </c>
      <c r="L78" s="6" t="s">
        <v>48</v>
      </c>
      <c r="M78" s="103" t="s">
        <v>48</v>
      </c>
      <c r="N78" s="6" t="s">
        <v>48</v>
      </c>
      <c r="O78" s="6" t="s">
        <v>48</v>
      </c>
      <c r="P78" s="6" t="s">
        <v>48</v>
      </c>
      <c r="Q78" s="6" t="s">
        <v>48</v>
      </c>
      <c r="R78" s="6" t="s">
        <v>48</v>
      </c>
      <c r="S78" s="6" t="s">
        <v>48</v>
      </c>
      <c r="T78" s="6" t="s">
        <v>48</v>
      </c>
      <c r="U78" s="6" t="s">
        <v>48</v>
      </c>
      <c r="V78" s="102" t="s">
        <v>1691</v>
      </c>
      <c r="W78" s="102" t="s">
        <v>1691</v>
      </c>
      <c r="X78" s="102" t="s">
        <v>1751</v>
      </c>
      <c r="Y78" s="102" t="s">
        <v>1708</v>
      </c>
      <c r="Z78" s="102" t="s">
        <v>1708</v>
      </c>
      <c r="AA78" s="102" t="s">
        <v>1752</v>
      </c>
      <c r="AB78" s="102" t="s">
        <v>595</v>
      </c>
      <c r="AC78" s="102" t="s">
        <v>1687</v>
      </c>
      <c r="AD78" s="102" t="s">
        <v>1767</v>
      </c>
      <c r="AE78" s="103" t="s">
        <v>49</v>
      </c>
      <c r="AF78" s="120" t="s">
        <v>1692</v>
      </c>
    </row>
    <row r="79" spans="1:32" ht="75" hidden="1" customHeight="1">
      <c r="A79" s="6" t="s">
        <v>232</v>
      </c>
      <c r="B79" s="103" t="s">
        <v>218</v>
      </c>
      <c r="C79" s="6" t="s">
        <v>235</v>
      </c>
      <c r="D79" s="70">
        <v>15000</v>
      </c>
      <c r="E79" s="6" t="s">
        <v>48</v>
      </c>
      <c r="F79" s="6" t="s">
        <v>48</v>
      </c>
      <c r="G79" s="6" t="s">
        <v>48</v>
      </c>
      <c r="H79" s="6" t="s">
        <v>48</v>
      </c>
      <c r="I79" s="6" t="s">
        <v>48</v>
      </c>
      <c r="J79" s="6" t="s">
        <v>48</v>
      </c>
      <c r="K79" s="103" t="s">
        <v>80</v>
      </c>
      <c r="L79" s="103" t="s">
        <v>219</v>
      </c>
      <c r="M79" s="103" t="s">
        <v>245</v>
      </c>
      <c r="N79" s="103" t="s">
        <v>615</v>
      </c>
      <c r="O79" s="6" t="s">
        <v>788</v>
      </c>
      <c r="P79" s="6" t="s">
        <v>48</v>
      </c>
      <c r="Q79" s="6" t="s">
        <v>48</v>
      </c>
      <c r="R79" s="6" t="s">
        <v>48</v>
      </c>
      <c r="S79" s="6" t="s">
        <v>48</v>
      </c>
      <c r="T79" s="6" t="s">
        <v>48</v>
      </c>
      <c r="U79" s="6" t="s">
        <v>48</v>
      </c>
      <c r="V79" s="102" t="s">
        <v>1691</v>
      </c>
      <c r="W79" s="102" t="s">
        <v>1691</v>
      </c>
      <c r="X79" s="102" t="s">
        <v>1751</v>
      </c>
      <c r="Y79" s="102" t="s">
        <v>1708</v>
      </c>
      <c r="Z79" s="102" t="s">
        <v>1708</v>
      </c>
      <c r="AA79" s="102" t="s">
        <v>1752</v>
      </c>
      <c r="AB79" s="102" t="s">
        <v>595</v>
      </c>
      <c r="AC79" s="102" t="s">
        <v>1687</v>
      </c>
      <c r="AD79" s="102" t="s">
        <v>1767</v>
      </c>
      <c r="AE79" s="103" t="s">
        <v>49</v>
      </c>
      <c r="AF79" s="120" t="s">
        <v>1692</v>
      </c>
    </row>
    <row r="80" spans="1:32" ht="75" hidden="1" customHeight="1">
      <c r="A80" s="6" t="s">
        <v>232</v>
      </c>
      <c r="B80" s="103" t="s">
        <v>220</v>
      </c>
      <c r="C80" s="6" t="s">
        <v>418</v>
      </c>
      <c r="D80" s="70">
        <v>15000</v>
      </c>
      <c r="E80" s="6" t="s">
        <v>48</v>
      </c>
      <c r="F80" s="6" t="s">
        <v>48</v>
      </c>
      <c r="G80" s="6" t="s">
        <v>48</v>
      </c>
      <c r="H80" s="6" t="s">
        <v>48</v>
      </c>
      <c r="I80" s="6" t="s">
        <v>48</v>
      </c>
      <c r="J80" s="6" t="s">
        <v>48</v>
      </c>
      <c r="K80" s="103" t="s">
        <v>48</v>
      </c>
      <c r="L80" s="103" t="s">
        <v>48</v>
      </c>
      <c r="M80" s="103" t="s">
        <v>48</v>
      </c>
      <c r="N80" s="6" t="s">
        <v>48</v>
      </c>
      <c r="O80" s="103" t="s">
        <v>48</v>
      </c>
      <c r="P80" s="103" t="s">
        <v>48</v>
      </c>
      <c r="Q80" s="103" t="s">
        <v>80</v>
      </c>
      <c r="R80" s="103" t="s">
        <v>221</v>
      </c>
      <c r="S80" s="103" t="s">
        <v>491</v>
      </c>
      <c r="T80" s="103" t="s">
        <v>48</v>
      </c>
      <c r="U80" s="103" t="s">
        <v>491</v>
      </c>
      <c r="V80" s="102" t="s">
        <v>1691</v>
      </c>
      <c r="W80" s="102" t="s">
        <v>1691</v>
      </c>
      <c r="X80" s="102" t="s">
        <v>1751</v>
      </c>
      <c r="Y80" s="102" t="s">
        <v>1708</v>
      </c>
      <c r="Z80" s="102" t="s">
        <v>1708</v>
      </c>
      <c r="AA80" s="102" t="s">
        <v>1752</v>
      </c>
      <c r="AB80" s="102" t="s">
        <v>595</v>
      </c>
      <c r="AC80" s="102" t="s">
        <v>1687</v>
      </c>
      <c r="AD80" s="102" t="s">
        <v>1767</v>
      </c>
      <c r="AE80" s="103" t="s">
        <v>49</v>
      </c>
      <c r="AF80" s="120" t="s">
        <v>1692</v>
      </c>
    </row>
    <row r="81" spans="1:32" ht="75" hidden="1" customHeight="1">
      <c r="A81" s="6" t="s">
        <v>232</v>
      </c>
      <c r="B81" s="103" t="s">
        <v>223</v>
      </c>
      <c r="C81" s="6" t="s">
        <v>236</v>
      </c>
      <c r="D81" s="70">
        <v>15000</v>
      </c>
      <c r="E81" s="6" t="s">
        <v>48</v>
      </c>
      <c r="F81" s="6" t="s">
        <v>48</v>
      </c>
      <c r="G81" s="6" t="s">
        <v>48</v>
      </c>
      <c r="H81" s="6" t="s">
        <v>48</v>
      </c>
      <c r="I81" s="6" t="s">
        <v>48</v>
      </c>
      <c r="J81" s="6" t="s">
        <v>48</v>
      </c>
      <c r="K81" s="103" t="s">
        <v>442</v>
      </c>
      <c r="L81" s="103" t="s">
        <v>224</v>
      </c>
      <c r="M81" s="103" t="s">
        <v>490</v>
      </c>
      <c r="N81" s="103" t="s">
        <v>616</v>
      </c>
      <c r="O81" s="6" t="s">
        <v>492</v>
      </c>
      <c r="P81" s="6" t="s">
        <v>493</v>
      </c>
      <c r="Q81" s="6" t="s">
        <v>443</v>
      </c>
      <c r="R81" s="6" t="s">
        <v>48</v>
      </c>
      <c r="S81" s="6" t="s">
        <v>453</v>
      </c>
      <c r="T81" s="6" t="s">
        <v>48</v>
      </c>
      <c r="U81" s="6" t="s">
        <v>48</v>
      </c>
      <c r="V81" s="102" t="s">
        <v>1691</v>
      </c>
      <c r="W81" s="102" t="s">
        <v>1691</v>
      </c>
      <c r="X81" s="102" t="s">
        <v>1751</v>
      </c>
      <c r="Y81" s="102" t="s">
        <v>1708</v>
      </c>
      <c r="Z81" s="102" t="s">
        <v>1708</v>
      </c>
      <c r="AA81" s="102" t="s">
        <v>1752</v>
      </c>
      <c r="AB81" s="102" t="s">
        <v>595</v>
      </c>
      <c r="AC81" s="102" t="s">
        <v>1687</v>
      </c>
      <c r="AD81" s="102" t="s">
        <v>1767</v>
      </c>
      <c r="AE81" s="103" t="s">
        <v>49</v>
      </c>
      <c r="AF81" s="120" t="s">
        <v>1692</v>
      </c>
    </row>
    <row r="82" spans="1:32" ht="75" hidden="1" customHeight="1">
      <c r="A82" s="6" t="s">
        <v>232</v>
      </c>
      <c r="B82" s="103" t="s">
        <v>225</v>
      </c>
      <c r="C82" s="6" t="s">
        <v>467</v>
      </c>
      <c r="D82" s="70">
        <v>15000</v>
      </c>
      <c r="E82" s="6" t="s">
        <v>48</v>
      </c>
      <c r="F82" s="6" t="s">
        <v>48</v>
      </c>
      <c r="G82" s="6" t="s">
        <v>48</v>
      </c>
      <c r="H82" s="6" t="s">
        <v>48</v>
      </c>
      <c r="I82" s="6" t="s">
        <v>48</v>
      </c>
      <c r="J82" s="6" t="s">
        <v>48</v>
      </c>
      <c r="K82" s="103" t="s">
        <v>789</v>
      </c>
      <c r="L82" s="115" t="s">
        <v>790</v>
      </c>
      <c r="M82" s="6" t="s">
        <v>791</v>
      </c>
      <c r="N82" s="6" t="s">
        <v>792</v>
      </c>
      <c r="O82" s="6" t="s">
        <v>793</v>
      </c>
      <c r="P82" s="6" t="s">
        <v>794</v>
      </c>
      <c r="Q82" s="6" t="s">
        <v>48</v>
      </c>
      <c r="R82" s="6" t="s">
        <v>48</v>
      </c>
      <c r="S82" s="6" t="s">
        <v>48</v>
      </c>
      <c r="T82" s="6" t="s">
        <v>48</v>
      </c>
      <c r="U82" s="6" t="s">
        <v>48</v>
      </c>
      <c r="V82" s="102" t="s">
        <v>1748</v>
      </c>
      <c r="W82" s="102" t="s">
        <v>1748</v>
      </c>
      <c r="X82" s="102" t="s">
        <v>1749</v>
      </c>
      <c r="Y82" s="102" t="s">
        <v>1708</v>
      </c>
      <c r="Z82" s="102" t="s">
        <v>1708</v>
      </c>
      <c r="AA82" s="103" t="s">
        <v>1750</v>
      </c>
      <c r="AB82" s="102" t="s">
        <v>595</v>
      </c>
      <c r="AC82" s="103" t="s">
        <v>1746</v>
      </c>
      <c r="AD82" s="102" t="s">
        <v>1766</v>
      </c>
      <c r="AE82" s="6" t="s">
        <v>49</v>
      </c>
      <c r="AF82" s="120" t="s">
        <v>1744</v>
      </c>
    </row>
    <row r="83" spans="1:32" ht="75" hidden="1" customHeight="1">
      <c r="A83" s="6" t="s">
        <v>232</v>
      </c>
      <c r="B83" s="103" t="s">
        <v>249</v>
      </c>
      <c r="C83" s="6" t="s">
        <v>237</v>
      </c>
      <c r="D83" s="70">
        <v>15000</v>
      </c>
      <c r="E83" s="6" t="s">
        <v>48</v>
      </c>
      <c r="F83" s="6" t="s">
        <v>48</v>
      </c>
      <c r="G83" s="6" t="s">
        <v>48</v>
      </c>
      <c r="H83" s="6" t="s">
        <v>48</v>
      </c>
      <c r="I83" s="6" t="s">
        <v>48</v>
      </c>
      <c r="J83" s="6" t="s">
        <v>48</v>
      </c>
      <c r="K83" s="103" t="s">
        <v>48</v>
      </c>
      <c r="L83" s="6" t="s">
        <v>48</v>
      </c>
      <c r="M83" s="103" t="s">
        <v>48</v>
      </c>
      <c r="N83" s="6" t="s">
        <v>48</v>
      </c>
      <c r="O83" s="6" t="s">
        <v>48</v>
      </c>
      <c r="P83" s="6" t="s">
        <v>48</v>
      </c>
      <c r="Q83" s="6" t="s">
        <v>48</v>
      </c>
      <c r="R83" s="6" t="s">
        <v>48</v>
      </c>
      <c r="S83" s="6" t="s">
        <v>48</v>
      </c>
      <c r="T83" s="6" t="s">
        <v>48</v>
      </c>
      <c r="U83" s="6" t="s">
        <v>48</v>
      </c>
      <c r="V83" s="102" t="s">
        <v>1691</v>
      </c>
      <c r="W83" s="102" t="s">
        <v>1691</v>
      </c>
      <c r="X83" s="102" t="s">
        <v>1751</v>
      </c>
      <c r="Y83" s="102" t="s">
        <v>1708</v>
      </c>
      <c r="Z83" s="102" t="s">
        <v>1708</v>
      </c>
      <c r="AA83" s="102" t="s">
        <v>1752</v>
      </c>
      <c r="AB83" s="102" t="s">
        <v>595</v>
      </c>
      <c r="AC83" s="102" t="s">
        <v>1687</v>
      </c>
      <c r="AD83" s="102" t="s">
        <v>1767</v>
      </c>
      <c r="AE83" s="103" t="s">
        <v>49</v>
      </c>
      <c r="AF83" s="120" t="s">
        <v>1692</v>
      </c>
    </row>
    <row r="84" spans="1:32" ht="75" hidden="1" customHeight="1">
      <c r="A84" s="6" t="s">
        <v>233</v>
      </c>
      <c r="B84" s="6" t="s">
        <v>164</v>
      </c>
      <c r="C84" s="6" t="s">
        <v>165</v>
      </c>
      <c r="D84" s="70">
        <v>15000</v>
      </c>
      <c r="E84" s="6" t="s">
        <v>76</v>
      </c>
      <c r="F84" s="6" t="s">
        <v>166</v>
      </c>
      <c r="G84" s="6" t="s">
        <v>476</v>
      </c>
      <c r="H84" s="6" t="s">
        <v>580</v>
      </c>
      <c r="I84" s="6" t="s">
        <v>477</v>
      </c>
      <c r="J84" s="6" t="s">
        <v>478</v>
      </c>
      <c r="K84" s="6" t="s">
        <v>48</v>
      </c>
      <c r="L84" s="6" t="s">
        <v>48</v>
      </c>
      <c r="M84" s="6" t="s">
        <v>48</v>
      </c>
      <c r="N84" s="6" t="s">
        <v>48</v>
      </c>
      <c r="O84" s="6" t="s">
        <v>48</v>
      </c>
      <c r="P84" s="6" t="s">
        <v>48</v>
      </c>
      <c r="Q84" s="6" t="s">
        <v>48</v>
      </c>
      <c r="R84" s="6" t="s">
        <v>48</v>
      </c>
      <c r="S84" s="6" t="s">
        <v>48</v>
      </c>
      <c r="T84" s="6" t="s">
        <v>48</v>
      </c>
      <c r="U84" s="6" t="s">
        <v>48</v>
      </c>
      <c r="V84" s="102" t="s">
        <v>1011</v>
      </c>
      <c r="W84" s="102" t="s">
        <v>162</v>
      </c>
      <c r="X84" s="102" t="s">
        <v>1064</v>
      </c>
      <c r="Y84" s="102" t="s">
        <v>1034</v>
      </c>
      <c r="Z84" s="102" t="s">
        <v>630</v>
      </c>
      <c r="AA84" s="103" t="s">
        <v>1036</v>
      </c>
      <c r="AB84" s="102" t="s">
        <v>473</v>
      </c>
      <c r="AC84" s="102" t="s">
        <v>1038</v>
      </c>
      <c r="AD84" s="6" t="s">
        <v>1045</v>
      </c>
      <c r="AE84" s="6" t="s">
        <v>49</v>
      </c>
      <c r="AF84" s="79"/>
    </row>
    <row r="85" spans="1:32" s="11" customFormat="1" ht="75" hidden="1" customHeight="1">
      <c r="A85" s="6" t="s">
        <v>233</v>
      </c>
      <c r="B85" s="6" t="s">
        <v>167</v>
      </c>
      <c r="C85" s="6" t="s">
        <v>168</v>
      </c>
      <c r="D85" s="70">
        <v>15000</v>
      </c>
      <c r="E85" s="6" t="s">
        <v>48</v>
      </c>
      <c r="F85" s="6" t="s">
        <v>48</v>
      </c>
      <c r="G85" s="6" t="s">
        <v>48</v>
      </c>
      <c r="H85" s="6" t="s">
        <v>48</v>
      </c>
      <c r="I85" s="6" t="s">
        <v>48</v>
      </c>
      <c r="J85" s="6" t="s">
        <v>48</v>
      </c>
      <c r="K85" s="6" t="s">
        <v>169</v>
      </c>
      <c r="L85" s="6" t="s">
        <v>771</v>
      </c>
      <c r="M85" s="6" t="s">
        <v>246</v>
      </c>
      <c r="N85" s="6" t="s">
        <v>617</v>
      </c>
      <c r="O85" s="6" t="s">
        <v>263</v>
      </c>
      <c r="P85" s="6" t="s">
        <v>494</v>
      </c>
      <c r="Q85" s="6" t="s">
        <v>48</v>
      </c>
      <c r="R85" s="6" t="s">
        <v>48</v>
      </c>
      <c r="S85" s="6" t="s">
        <v>48</v>
      </c>
      <c r="T85" s="6" t="s">
        <v>48</v>
      </c>
      <c r="U85" s="6" t="s">
        <v>48</v>
      </c>
      <c r="V85" s="102" t="s">
        <v>1011</v>
      </c>
      <c r="W85" s="102" t="s">
        <v>162</v>
      </c>
      <c r="X85" s="102" t="s">
        <v>1064</v>
      </c>
      <c r="Y85" s="102" t="s">
        <v>1034</v>
      </c>
      <c r="Z85" s="102" t="s">
        <v>630</v>
      </c>
      <c r="AA85" s="103" t="s">
        <v>1036</v>
      </c>
      <c r="AB85" s="102" t="s">
        <v>473</v>
      </c>
      <c r="AC85" s="102" t="s">
        <v>1038</v>
      </c>
      <c r="AD85" s="6" t="s">
        <v>1045</v>
      </c>
      <c r="AE85" s="6" t="s">
        <v>49</v>
      </c>
      <c r="AF85" s="79"/>
    </row>
    <row r="86" spans="1:32" s="11" customFormat="1" ht="75" hidden="1" customHeight="1">
      <c r="A86" s="6" t="s">
        <v>233</v>
      </c>
      <c r="B86" s="6" t="s">
        <v>170</v>
      </c>
      <c r="C86" s="6" t="s">
        <v>171</v>
      </c>
      <c r="D86" s="70">
        <v>15000</v>
      </c>
      <c r="E86" s="6" t="s">
        <v>48</v>
      </c>
      <c r="F86" s="6" t="s">
        <v>48</v>
      </c>
      <c r="G86" s="6" t="s">
        <v>48</v>
      </c>
      <c r="H86" s="6" t="s">
        <v>48</v>
      </c>
      <c r="I86" s="6" t="s">
        <v>48</v>
      </c>
      <c r="J86" s="6" t="s">
        <v>48</v>
      </c>
      <c r="K86" s="6" t="s">
        <v>48</v>
      </c>
      <c r="L86" s="6" t="s">
        <v>48</v>
      </c>
      <c r="M86" s="6" t="s">
        <v>48</v>
      </c>
      <c r="N86" s="6" t="s">
        <v>48</v>
      </c>
      <c r="O86" s="6" t="s">
        <v>48</v>
      </c>
      <c r="P86" s="6" t="s">
        <v>48</v>
      </c>
      <c r="Q86" s="6" t="s">
        <v>48</v>
      </c>
      <c r="R86" s="6" t="s">
        <v>48</v>
      </c>
      <c r="S86" s="6" t="s">
        <v>48</v>
      </c>
      <c r="T86" s="6" t="s">
        <v>48</v>
      </c>
      <c r="U86" s="6" t="s">
        <v>48</v>
      </c>
      <c r="V86" s="102" t="s">
        <v>1011</v>
      </c>
      <c r="W86" s="102" t="s">
        <v>162</v>
      </c>
      <c r="X86" s="102" t="s">
        <v>1064</v>
      </c>
      <c r="Y86" s="102" t="s">
        <v>1034</v>
      </c>
      <c r="Z86" s="102" t="s">
        <v>630</v>
      </c>
      <c r="AA86" s="103" t="s">
        <v>1036</v>
      </c>
      <c r="AB86" s="102" t="s">
        <v>473</v>
      </c>
      <c r="AC86" s="102" t="s">
        <v>1038</v>
      </c>
      <c r="AD86" s="6" t="s">
        <v>1045</v>
      </c>
      <c r="AE86" s="6" t="s">
        <v>49</v>
      </c>
      <c r="AF86" s="79"/>
    </row>
    <row r="87" spans="1:32" s="11" customFormat="1" ht="75" hidden="1" customHeight="1">
      <c r="A87" s="6" t="s">
        <v>233</v>
      </c>
      <c r="B87" s="6" t="s">
        <v>172</v>
      </c>
      <c r="C87" s="6" t="s">
        <v>162</v>
      </c>
      <c r="D87" s="70">
        <v>15000</v>
      </c>
      <c r="E87" s="6" t="s">
        <v>48</v>
      </c>
      <c r="F87" s="6" t="s">
        <v>48</v>
      </c>
      <c r="G87" s="6" t="s">
        <v>48</v>
      </c>
      <c r="H87" s="6" t="s">
        <v>48</v>
      </c>
      <c r="I87" s="6" t="s">
        <v>48</v>
      </c>
      <c r="J87" s="6" t="s">
        <v>48</v>
      </c>
      <c r="K87" s="6" t="s">
        <v>48</v>
      </c>
      <c r="L87" s="6" t="s">
        <v>48</v>
      </c>
      <c r="M87" s="6" t="s">
        <v>48</v>
      </c>
      <c r="N87" s="6" t="s">
        <v>48</v>
      </c>
      <c r="O87" s="6" t="s">
        <v>48</v>
      </c>
      <c r="P87" s="6" t="s">
        <v>48</v>
      </c>
      <c r="Q87" s="6" t="s">
        <v>48</v>
      </c>
      <c r="R87" s="6" t="s">
        <v>48</v>
      </c>
      <c r="S87" s="6" t="s">
        <v>48</v>
      </c>
      <c r="T87" s="6" t="s">
        <v>48</v>
      </c>
      <c r="U87" s="6" t="s">
        <v>48</v>
      </c>
      <c r="V87" s="102" t="s">
        <v>1011</v>
      </c>
      <c r="W87" s="102" t="s">
        <v>162</v>
      </c>
      <c r="X87" s="102" t="s">
        <v>1064</v>
      </c>
      <c r="Y87" s="102" t="s">
        <v>1034</v>
      </c>
      <c r="Z87" s="102" t="s">
        <v>630</v>
      </c>
      <c r="AA87" s="103" t="s">
        <v>1036</v>
      </c>
      <c r="AB87" s="102" t="s">
        <v>473</v>
      </c>
      <c r="AC87" s="102" t="s">
        <v>1038</v>
      </c>
      <c r="AD87" s="6" t="s">
        <v>1045</v>
      </c>
      <c r="AE87" s="6" t="s">
        <v>49</v>
      </c>
      <c r="AF87" s="79"/>
    </row>
    <row r="88" spans="1:32" s="11" customFormat="1" ht="75" hidden="1" customHeight="1">
      <c r="A88" s="6" t="s">
        <v>233</v>
      </c>
      <c r="B88" s="6" t="s">
        <v>172</v>
      </c>
      <c r="C88" s="6" t="s">
        <v>173</v>
      </c>
      <c r="D88" s="70">
        <v>15000</v>
      </c>
      <c r="E88" s="6" t="s">
        <v>48</v>
      </c>
      <c r="F88" s="6" t="s">
        <v>48</v>
      </c>
      <c r="G88" s="6" t="s">
        <v>48</v>
      </c>
      <c r="H88" s="6" t="s">
        <v>48</v>
      </c>
      <c r="I88" s="6" t="s">
        <v>48</v>
      </c>
      <c r="J88" s="6" t="s">
        <v>48</v>
      </c>
      <c r="K88" s="6" t="s">
        <v>48</v>
      </c>
      <c r="L88" s="6" t="s">
        <v>48</v>
      </c>
      <c r="M88" s="6" t="s">
        <v>48</v>
      </c>
      <c r="N88" s="6" t="s">
        <v>48</v>
      </c>
      <c r="O88" s="6" t="s">
        <v>48</v>
      </c>
      <c r="P88" s="6" t="s">
        <v>48</v>
      </c>
      <c r="Q88" s="6" t="s">
        <v>48</v>
      </c>
      <c r="R88" s="6" t="s">
        <v>48</v>
      </c>
      <c r="S88" s="6" t="s">
        <v>48</v>
      </c>
      <c r="T88" s="6" t="s">
        <v>48</v>
      </c>
      <c r="U88" s="6" t="s">
        <v>48</v>
      </c>
      <c r="V88" s="102" t="s">
        <v>1011</v>
      </c>
      <c r="W88" s="102" t="s">
        <v>173</v>
      </c>
      <c r="X88" s="102" t="s">
        <v>1065</v>
      </c>
      <c r="Y88" s="102" t="s">
        <v>1034</v>
      </c>
      <c r="Z88" s="102" t="s">
        <v>616</v>
      </c>
      <c r="AA88" s="102" t="s">
        <v>1036</v>
      </c>
      <c r="AB88" s="102" t="s">
        <v>473</v>
      </c>
      <c r="AC88" s="102" t="s">
        <v>1040</v>
      </c>
      <c r="AD88" s="6" t="s">
        <v>1046</v>
      </c>
      <c r="AE88" s="6" t="s">
        <v>49</v>
      </c>
      <c r="AF88" s="79"/>
    </row>
    <row r="89" spans="1:32" s="11" customFormat="1" ht="75" hidden="1" customHeight="1">
      <c r="A89" s="6" t="s">
        <v>233</v>
      </c>
      <c r="B89" s="6" t="s">
        <v>175</v>
      </c>
      <c r="C89" s="6" t="s">
        <v>176</v>
      </c>
      <c r="D89" s="70">
        <v>15000</v>
      </c>
      <c r="E89" s="6" t="s">
        <v>48</v>
      </c>
      <c r="F89" s="6" t="s">
        <v>48</v>
      </c>
      <c r="G89" s="6" t="s">
        <v>48</v>
      </c>
      <c r="H89" s="6" t="s">
        <v>48</v>
      </c>
      <c r="I89" s="6" t="s">
        <v>48</v>
      </c>
      <c r="J89" s="6" t="s">
        <v>48</v>
      </c>
      <c r="K89" s="6" t="s">
        <v>48</v>
      </c>
      <c r="L89" s="6" t="s">
        <v>48</v>
      </c>
      <c r="M89" s="6" t="s">
        <v>48</v>
      </c>
      <c r="N89" s="6" t="s">
        <v>48</v>
      </c>
      <c r="O89" s="6" t="s">
        <v>48</v>
      </c>
      <c r="P89" s="6" t="s">
        <v>48</v>
      </c>
      <c r="Q89" s="6" t="s">
        <v>48</v>
      </c>
      <c r="R89" s="6" t="s">
        <v>48</v>
      </c>
      <c r="S89" s="6" t="s">
        <v>48</v>
      </c>
      <c r="T89" s="6" t="s">
        <v>48</v>
      </c>
      <c r="U89" s="6" t="s">
        <v>48</v>
      </c>
      <c r="V89" s="102" t="s">
        <v>1011</v>
      </c>
      <c r="W89" s="102" t="s">
        <v>176</v>
      </c>
      <c r="X89" s="102" t="s">
        <v>1065</v>
      </c>
      <c r="Y89" s="102" t="s">
        <v>1034</v>
      </c>
      <c r="Z89" s="102" t="s">
        <v>616</v>
      </c>
      <c r="AA89" s="102" t="s">
        <v>1036</v>
      </c>
      <c r="AB89" s="102" t="s">
        <v>473</v>
      </c>
      <c r="AC89" s="102" t="s">
        <v>1039</v>
      </c>
      <c r="AD89" s="6" t="s">
        <v>1046</v>
      </c>
      <c r="AE89" s="6" t="s">
        <v>49</v>
      </c>
      <c r="AF89" s="79"/>
    </row>
    <row r="90" spans="1:32" s="11" customFormat="1" ht="75" hidden="1" customHeight="1">
      <c r="A90" s="6" t="s">
        <v>233</v>
      </c>
      <c r="B90" s="6" t="s">
        <v>175</v>
      </c>
      <c r="C90" s="6" t="s">
        <v>177</v>
      </c>
      <c r="D90" s="70">
        <v>15000</v>
      </c>
      <c r="E90" s="6" t="s">
        <v>48</v>
      </c>
      <c r="F90" s="6" t="s">
        <v>48</v>
      </c>
      <c r="G90" s="6" t="s">
        <v>48</v>
      </c>
      <c r="H90" s="6" t="s">
        <v>48</v>
      </c>
      <c r="I90" s="6" t="s">
        <v>48</v>
      </c>
      <c r="J90" s="6" t="s">
        <v>48</v>
      </c>
      <c r="K90" s="6" t="s">
        <v>68</v>
      </c>
      <c r="L90" s="6" t="s">
        <v>178</v>
      </c>
      <c r="M90" s="6" t="s">
        <v>480</v>
      </c>
      <c r="N90" s="6" t="s">
        <v>619</v>
      </c>
      <c r="O90" s="6" t="s">
        <v>481</v>
      </c>
      <c r="P90" s="6" t="s">
        <v>482</v>
      </c>
      <c r="Q90" s="6" t="s">
        <v>48</v>
      </c>
      <c r="R90" s="6" t="s">
        <v>48</v>
      </c>
      <c r="S90" s="6" t="s">
        <v>48</v>
      </c>
      <c r="T90" s="6" t="s">
        <v>48</v>
      </c>
      <c r="U90" s="6" t="s">
        <v>48</v>
      </c>
      <c r="V90" s="102" t="s">
        <v>1011</v>
      </c>
      <c r="W90" s="102" t="s">
        <v>177</v>
      </c>
      <c r="X90" s="102" t="s">
        <v>1065</v>
      </c>
      <c r="Y90" s="102" t="s">
        <v>1034</v>
      </c>
      <c r="Z90" s="102" t="s">
        <v>616</v>
      </c>
      <c r="AA90" s="102" t="s">
        <v>1036</v>
      </c>
      <c r="AB90" s="102" t="s">
        <v>473</v>
      </c>
      <c r="AC90" s="102" t="s">
        <v>1039</v>
      </c>
      <c r="AD90" s="6" t="s">
        <v>1046</v>
      </c>
      <c r="AE90" s="6" t="s">
        <v>49</v>
      </c>
      <c r="AF90" s="79"/>
    </row>
    <row r="91" spans="1:32" s="11" customFormat="1" ht="75" hidden="1" customHeight="1">
      <c r="A91" s="6" t="s">
        <v>233</v>
      </c>
      <c r="B91" s="6" t="s">
        <v>179</v>
      </c>
      <c r="C91" s="6" t="s">
        <v>180</v>
      </c>
      <c r="D91" s="70">
        <v>15000</v>
      </c>
      <c r="E91" s="6" t="s">
        <v>48</v>
      </c>
      <c r="F91" s="6" t="s">
        <v>48</v>
      </c>
      <c r="G91" s="6" t="s">
        <v>48</v>
      </c>
      <c r="H91" s="6" t="s">
        <v>48</v>
      </c>
      <c r="I91" s="6" t="s">
        <v>48</v>
      </c>
      <c r="J91" s="6" t="s">
        <v>48</v>
      </c>
      <c r="K91" s="6" t="s">
        <v>80</v>
      </c>
      <c r="L91" s="6" t="s">
        <v>181</v>
      </c>
      <c r="M91" s="6">
        <v>60905</v>
      </c>
      <c r="N91" s="6" t="s">
        <v>613</v>
      </c>
      <c r="O91" s="6">
        <v>5765452</v>
      </c>
      <c r="P91" s="6" t="s">
        <v>182</v>
      </c>
      <c r="Q91" s="6" t="s">
        <v>48</v>
      </c>
      <c r="R91" s="6" t="s">
        <v>48</v>
      </c>
      <c r="S91" s="6" t="s">
        <v>48</v>
      </c>
      <c r="T91" s="6" t="s">
        <v>48</v>
      </c>
      <c r="U91" s="6" t="s">
        <v>48</v>
      </c>
      <c r="V91" s="102" t="s">
        <v>1011</v>
      </c>
      <c r="W91" s="102" t="s">
        <v>180</v>
      </c>
      <c r="X91" s="102" t="s">
        <v>1065</v>
      </c>
      <c r="Y91" s="102" t="s">
        <v>1034</v>
      </c>
      <c r="Z91" s="102" t="s">
        <v>616</v>
      </c>
      <c r="AA91" s="102" t="s">
        <v>1036</v>
      </c>
      <c r="AB91" s="102" t="s">
        <v>475</v>
      </c>
      <c r="AC91" s="102" t="s">
        <v>1039</v>
      </c>
      <c r="AD91" s="6" t="s">
        <v>1046</v>
      </c>
      <c r="AE91" s="6" t="s">
        <v>49</v>
      </c>
      <c r="AF91" s="79"/>
    </row>
    <row r="92" spans="1:32" s="11" customFormat="1" ht="75" hidden="1" customHeight="1">
      <c r="A92" s="6" t="s">
        <v>233</v>
      </c>
      <c r="B92" s="6" t="s">
        <v>179</v>
      </c>
      <c r="C92" s="6" t="s">
        <v>183</v>
      </c>
      <c r="D92" s="70">
        <v>15000</v>
      </c>
      <c r="E92" s="6" t="s">
        <v>48</v>
      </c>
      <c r="F92" s="6" t="s">
        <v>48</v>
      </c>
      <c r="G92" s="6" t="s">
        <v>48</v>
      </c>
      <c r="H92" s="6" t="s">
        <v>48</v>
      </c>
      <c r="I92" s="6" t="s">
        <v>48</v>
      </c>
      <c r="J92" s="6" t="s">
        <v>48</v>
      </c>
      <c r="K92" s="6" t="s">
        <v>80</v>
      </c>
      <c r="L92" s="6" t="s">
        <v>185</v>
      </c>
      <c r="M92" s="6">
        <v>60901</v>
      </c>
      <c r="N92" s="6" t="s">
        <v>614</v>
      </c>
      <c r="O92" s="6">
        <v>5766594</v>
      </c>
      <c r="P92" s="6" t="s">
        <v>184</v>
      </c>
      <c r="Q92" s="6" t="s">
        <v>48</v>
      </c>
      <c r="R92" s="6" t="s">
        <v>48</v>
      </c>
      <c r="S92" s="6" t="s">
        <v>48</v>
      </c>
      <c r="T92" s="6" t="s">
        <v>48</v>
      </c>
      <c r="U92" s="6" t="s">
        <v>48</v>
      </c>
      <c r="V92" s="102" t="s">
        <v>1011</v>
      </c>
      <c r="W92" s="102" t="s">
        <v>183</v>
      </c>
      <c r="X92" s="102" t="s">
        <v>1065</v>
      </c>
      <c r="Y92" s="102" t="s">
        <v>1034</v>
      </c>
      <c r="Z92" s="102" t="s">
        <v>616</v>
      </c>
      <c r="AA92" s="102" t="s">
        <v>1036</v>
      </c>
      <c r="AB92" s="102" t="s">
        <v>475</v>
      </c>
      <c r="AC92" s="102" t="s">
        <v>1039</v>
      </c>
      <c r="AD92" s="6" t="s">
        <v>1046</v>
      </c>
      <c r="AE92" s="6" t="s">
        <v>49</v>
      </c>
      <c r="AF92" s="79"/>
    </row>
    <row r="93" spans="1:32" s="11" customFormat="1" ht="75" hidden="1" customHeight="1">
      <c r="A93" s="6" t="s">
        <v>233</v>
      </c>
      <c r="B93" s="103" t="s">
        <v>218</v>
      </c>
      <c r="C93" s="6" t="s">
        <v>234</v>
      </c>
      <c r="D93" s="70">
        <v>15000</v>
      </c>
      <c r="E93" s="6" t="s">
        <v>48</v>
      </c>
      <c r="F93" s="6" t="s">
        <v>48</v>
      </c>
      <c r="G93" s="6" t="s">
        <v>48</v>
      </c>
      <c r="H93" s="6" t="s">
        <v>48</v>
      </c>
      <c r="I93" s="6" t="s">
        <v>48</v>
      </c>
      <c r="J93" s="6" t="s">
        <v>48</v>
      </c>
      <c r="K93" s="103" t="s">
        <v>48</v>
      </c>
      <c r="L93" s="6" t="s">
        <v>48</v>
      </c>
      <c r="M93" s="103" t="s">
        <v>48</v>
      </c>
      <c r="N93" s="6" t="s">
        <v>48</v>
      </c>
      <c r="O93" s="6" t="s">
        <v>48</v>
      </c>
      <c r="P93" s="6" t="s">
        <v>48</v>
      </c>
      <c r="Q93" s="6" t="s">
        <v>48</v>
      </c>
      <c r="R93" s="6" t="s">
        <v>48</v>
      </c>
      <c r="S93" s="6" t="s">
        <v>48</v>
      </c>
      <c r="T93" s="6" t="s">
        <v>48</v>
      </c>
      <c r="U93" s="6" t="s">
        <v>48</v>
      </c>
      <c r="V93" s="102" t="s">
        <v>1011</v>
      </c>
      <c r="W93" s="102" t="s">
        <v>646</v>
      </c>
      <c r="X93" s="102" t="s">
        <v>1070</v>
      </c>
      <c r="Y93" s="102" t="s">
        <v>1034</v>
      </c>
      <c r="Z93" s="102" t="s">
        <v>629</v>
      </c>
      <c r="AA93" s="102" t="s">
        <v>1072</v>
      </c>
      <c r="AB93" s="102" t="s">
        <v>473</v>
      </c>
      <c r="AC93" s="102" t="s">
        <v>1075</v>
      </c>
      <c r="AD93" s="102" t="s">
        <v>1079</v>
      </c>
      <c r="AE93" s="103" t="s">
        <v>49</v>
      </c>
      <c r="AF93" s="79"/>
    </row>
    <row r="94" spans="1:32" s="11" customFormat="1" ht="75" hidden="1" customHeight="1">
      <c r="A94" s="6" t="s">
        <v>233</v>
      </c>
      <c r="B94" s="103" t="s">
        <v>218</v>
      </c>
      <c r="C94" s="6" t="s">
        <v>235</v>
      </c>
      <c r="D94" s="70">
        <v>15000</v>
      </c>
      <c r="E94" s="6" t="s">
        <v>48</v>
      </c>
      <c r="F94" s="6" t="s">
        <v>48</v>
      </c>
      <c r="G94" s="6" t="s">
        <v>48</v>
      </c>
      <c r="H94" s="6" t="s">
        <v>48</v>
      </c>
      <c r="I94" s="6" t="s">
        <v>48</v>
      </c>
      <c r="J94" s="6" t="s">
        <v>48</v>
      </c>
      <c r="K94" s="103" t="s">
        <v>80</v>
      </c>
      <c r="L94" s="103" t="s">
        <v>219</v>
      </c>
      <c r="M94" s="103" t="s">
        <v>245</v>
      </c>
      <c r="N94" s="103" t="s">
        <v>615</v>
      </c>
      <c r="O94" s="6" t="s">
        <v>788</v>
      </c>
      <c r="P94" s="6" t="s">
        <v>48</v>
      </c>
      <c r="Q94" s="6" t="s">
        <v>48</v>
      </c>
      <c r="R94" s="6" t="s">
        <v>48</v>
      </c>
      <c r="S94" s="6" t="s">
        <v>48</v>
      </c>
      <c r="T94" s="6" t="s">
        <v>48</v>
      </c>
      <c r="U94" s="6" t="s">
        <v>48</v>
      </c>
      <c r="V94" s="102" t="s">
        <v>1011</v>
      </c>
      <c r="W94" s="102" t="s">
        <v>646</v>
      </c>
      <c r="X94" s="102" t="s">
        <v>1070</v>
      </c>
      <c r="Y94" s="102" t="s">
        <v>1034</v>
      </c>
      <c r="Z94" s="102" t="s">
        <v>629</v>
      </c>
      <c r="AA94" s="102" t="s">
        <v>1072</v>
      </c>
      <c r="AB94" s="102" t="s">
        <v>473</v>
      </c>
      <c r="AC94" s="102" t="s">
        <v>1075</v>
      </c>
      <c r="AD94" s="102" t="s">
        <v>1079</v>
      </c>
      <c r="AE94" s="103" t="s">
        <v>49</v>
      </c>
      <c r="AF94" s="79"/>
    </row>
    <row r="95" spans="1:32" s="11" customFormat="1" ht="75" hidden="1" customHeight="1">
      <c r="A95" s="6" t="s">
        <v>233</v>
      </c>
      <c r="B95" s="9" t="s">
        <v>220</v>
      </c>
      <c r="C95" s="6" t="s">
        <v>418</v>
      </c>
      <c r="D95" s="70">
        <v>15000</v>
      </c>
      <c r="E95" s="6" t="s">
        <v>48</v>
      </c>
      <c r="F95" s="6" t="s">
        <v>48</v>
      </c>
      <c r="G95" s="6" t="s">
        <v>48</v>
      </c>
      <c r="H95" s="6" t="s">
        <v>48</v>
      </c>
      <c r="I95" s="6" t="s">
        <v>48</v>
      </c>
      <c r="J95" s="6" t="s">
        <v>48</v>
      </c>
      <c r="K95" s="9" t="s">
        <v>48</v>
      </c>
      <c r="L95" s="103" t="s">
        <v>48</v>
      </c>
      <c r="M95" s="103" t="s">
        <v>48</v>
      </c>
      <c r="N95" s="6" t="s">
        <v>48</v>
      </c>
      <c r="O95" s="103" t="s">
        <v>48</v>
      </c>
      <c r="P95" s="103" t="s">
        <v>48</v>
      </c>
      <c r="Q95" s="103" t="s">
        <v>80</v>
      </c>
      <c r="R95" s="103" t="s">
        <v>221</v>
      </c>
      <c r="S95" s="103" t="s">
        <v>491</v>
      </c>
      <c r="T95" s="103" t="s">
        <v>48</v>
      </c>
      <c r="U95" s="103" t="s">
        <v>491</v>
      </c>
      <c r="V95" s="102" t="s">
        <v>1011</v>
      </c>
      <c r="W95" s="102" t="s">
        <v>646</v>
      </c>
      <c r="X95" s="102" t="s">
        <v>1070</v>
      </c>
      <c r="Y95" s="102" t="s">
        <v>1034</v>
      </c>
      <c r="Z95" s="102" t="s">
        <v>629</v>
      </c>
      <c r="AA95" s="102" t="s">
        <v>1072</v>
      </c>
      <c r="AB95" s="102" t="s">
        <v>473</v>
      </c>
      <c r="AC95" s="102" t="s">
        <v>1075</v>
      </c>
      <c r="AD95" s="102" t="s">
        <v>1079</v>
      </c>
      <c r="AE95" s="103" t="s">
        <v>49</v>
      </c>
      <c r="AF95" s="79"/>
    </row>
    <row r="96" spans="1:32" s="11" customFormat="1" ht="75" hidden="1" customHeight="1">
      <c r="A96" s="6" t="s">
        <v>233</v>
      </c>
      <c r="B96" s="9" t="s">
        <v>223</v>
      </c>
      <c r="C96" s="6" t="s">
        <v>236</v>
      </c>
      <c r="D96" s="70">
        <v>15000</v>
      </c>
      <c r="E96" s="6" t="s">
        <v>48</v>
      </c>
      <c r="F96" s="6" t="s">
        <v>48</v>
      </c>
      <c r="G96" s="6" t="s">
        <v>48</v>
      </c>
      <c r="H96" s="6" t="s">
        <v>48</v>
      </c>
      <c r="I96" s="6" t="s">
        <v>48</v>
      </c>
      <c r="J96" s="6" t="s">
        <v>48</v>
      </c>
      <c r="K96" s="9" t="s">
        <v>442</v>
      </c>
      <c r="L96" s="103" t="s">
        <v>224</v>
      </c>
      <c r="M96" s="103" t="s">
        <v>490</v>
      </c>
      <c r="N96" s="103" t="s">
        <v>616</v>
      </c>
      <c r="O96" s="6" t="s">
        <v>492</v>
      </c>
      <c r="P96" s="6" t="s">
        <v>493</v>
      </c>
      <c r="Q96" s="6" t="s">
        <v>443</v>
      </c>
      <c r="R96" s="6" t="s">
        <v>48</v>
      </c>
      <c r="S96" s="6" t="s">
        <v>453</v>
      </c>
      <c r="T96" s="6"/>
      <c r="U96" s="6" t="s">
        <v>48</v>
      </c>
      <c r="V96" s="102" t="s">
        <v>1011</v>
      </c>
      <c r="W96" s="102" t="s">
        <v>646</v>
      </c>
      <c r="X96" s="102" t="s">
        <v>1069</v>
      </c>
      <c r="Y96" s="102" t="s">
        <v>1034</v>
      </c>
      <c r="Z96" s="102" t="s">
        <v>629</v>
      </c>
      <c r="AA96" s="103" t="s">
        <v>1073</v>
      </c>
      <c r="AB96" s="102" t="s">
        <v>473</v>
      </c>
      <c r="AC96" s="102" t="s">
        <v>1075</v>
      </c>
      <c r="AD96" s="102" t="s">
        <v>1079</v>
      </c>
      <c r="AE96" s="103" t="s">
        <v>49</v>
      </c>
      <c r="AF96" s="79"/>
    </row>
    <row r="97" spans="1:32" s="11" customFormat="1" ht="75" hidden="1" customHeight="1">
      <c r="A97" s="6" t="s">
        <v>233</v>
      </c>
      <c r="B97" s="9" t="s">
        <v>225</v>
      </c>
      <c r="C97" s="6" t="s">
        <v>467</v>
      </c>
      <c r="D97" s="70">
        <v>15000</v>
      </c>
      <c r="E97" s="6" t="s">
        <v>48</v>
      </c>
      <c r="F97" s="6" t="s">
        <v>48</v>
      </c>
      <c r="G97" s="6" t="s">
        <v>48</v>
      </c>
      <c r="H97" s="6" t="s">
        <v>48</v>
      </c>
      <c r="I97" s="6" t="s">
        <v>48</v>
      </c>
      <c r="J97" s="6" t="s">
        <v>48</v>
      </c>
      <c r="K97" s="9" t="s">
        <v>789</v>
      </c>
      <c r="L97" s="115" t="s">
        <v>790</v>
      </c>
      <c r="M97" s="6" t="s">
        <v>791</v>
      </c>
      <c r="N97" s="6" t="s">
        <v>792</v>
      </c>
      <c r="O97" s="6" t="s">
        <v>793</v>
      </c>
      <c r="P97" s="6" t="s">
        <v>794</v>
      </c>
      <c r="Q97" s="6" t="s">
        <v>48</v>
      </c>
      <c r="R97" s="6" t="s">
        <v>48</v>
      </c>
      <c r="S97" s="6" t="s">
        <v>48</v>
      </c>
      <c r="T97" s="6" t="s">
        <v>48</v>
      </c>
      <c r="U97" s="6" t="s">
        <v>48</v>
      </c>
      <c r="V97" s="102" t="s">
        <v>1011</v>
      </c>
      <c r="W97" s="102" t="s">
        <v>467</v>
      </c>
      <c r="X97" s="102" t="s">
        <v>1065</v>
      </c>
      <c r="Y97" s="102" t="s">
        <v>1034</v>
      </c>
      <c r="Z97" s="102" t="s">
        <v>48</v>
      </c>
      <c r="AA97" s="102" t="s">
        <v>1036</v>
      </c>
      <c r="AB97" s="102" t="s">
        <v>473</v>
      </c>
      <c r="AC97" s="103" t="s">
        <v>1040</v>
      </c>
      <c r="AD97" s="6" t="s">
        <v>1046</v>
      </c>
      <c r="AE97" s="6" t="s">
        <v>49</v>
      </c>
      <c r="AF97" s="79" t="s">
        <v>226</v>
      </c>
    </row>
    <row r="98" spans="1:32" s="11" customFormat="1" ht="75" hidden="1" customHeight="1">
      <c r="A98" s="6" t="s">
        <v>233</v>
      </c>
      <c r="B98" s="9" t="s">
        <v>249</v>
      </c>
      <c r="C98" s="6" t="s">
        <v>237</v>
      </c>
      <c r="D98" s="70">
        <v>15000</v>
      </c>
      <c r="E98" s="6" t="s">
        <v>48</v>
      </c>
      <c r="F98" s="6" t="s">
        <v>48</v>
      </c>
      <c r="G98" s="6" t="s">
        <v>48</v>
      </c>
      <c r="H98" s="6" t="s">
        <v>48</v>
      </c>
      <c r="I98" s="6" t="s">
        <v>48</v>
      </c>
      <c r="J98" s="6" t="s">
        <v>48</v>
      </c>
      <c r="K98" s="9" t="s">
        <v>48</v>
      </c>
      <c r="L98" s="102" t="s">
        <v>48</v>
      </c>
      <c r="M98" s="103" t="s">
        <v>48</v>
      </c>
      <c r="N98" s="6" t="s">
        <v>48</v>
      </c>
      <c r="O98" s="6" t="s">
        <v>48</v>
      </c>
      <c r="P98" s="6" t="s">
        <v>48</v>
      </c>
      <c r="Q98" s="6" t="s">
        <v>48</v>
      </c>
      <c r="R98" s="6" t="s">
        <v>48</v>
      </c>
      <c r="S98" s="6" t="s">
        <v>48</v>
      </c>
      <c r="T98" s="6" t="s">
        <v>48</v>
      </c>
      <c r="U98" s="6" t="s">
        <v>48</v>
      </c>
      <c r="V98" s="102" t="s">
        <v>1011</v>
      </c>
      <c r="W98" s="102" t="s">
        <v>646</v>
      </c>
      <c r="X98" s="102" t="s">
        <v>1069</v>
      </c>
      <c r="Y98" s="102" t="s">
        <v>1034</v>
      </c>
      <c r="Z98" s="102" t="s">
        <v>629</v>
      </c>
      <c r="AA98" s="103" t="s">
        <v>1073</v>
      </c>
      <c r="AB98" s="102" t="s">
        <v>473</v>
      </c>
      <c r="AC98" s="102" t="s">
        <v>1075</v>
      </c>
      <c r="AD98" s="102" t="s">
        <v>1079</v>
      </c>
      <c r="AE98" s="103" t="s">
        <v>49</v>
      </c>
      <c r="AF98" s="79" t="s">
        <v>226</v>
      </c>
    </row>
    <row r="99" spans="1:32" ht="75" hidden="1" customHeight="1">
      <c r="A99" s="6" t="s">
        <v>15</v>
      </c>
      <c r="B99" s="102" t="s">
        <v>97</v>
      </c>
      <c r="C99" s="6" t="s">
        <v>98</v>
      </c>
      <c r="D99" s="70"/>
      <c r="E99" s="103" t="s">
        <v>80</v>
      </c>
      <c r="F99" s="103"/>
      <c r="G99" s="6" t="s">
        <v>502</v>
      </c>
      <c r="H99" s="6" t="s">
        <v>582</v>
      </c>
      <c r="I99" s="6">
        <v>5315509</v>
      </c>
      <c r="J99" s="6"/>
      <c r="K99" s="102" t="s">
        <v>48</v>
      </c>
      <c r="L99" s="102" t="s">
        <v>48</v>
      </c>
      <c r="M99" s="6" t="s">
        <v>48</v>
      </c>
      <c r="N99" s="6" t="s">
        <v>48</v>
      </c>
      <c r="O99" s="6" t="s">
        <v>48</v>
      </c>
      <c r="P99" s="6" t="s">
        <v>48</v>
      </c>
      <c r="Q99" s="6" t="s">
        <v>48</v>
      </c>
      <c r="R99" s="6" t="s">
        <v>48</v>
      </c>
      <c r="S99" s="6" t="s">
        <v>48</v>
      </c>
      <c r="T99" s="6" t="s">
        <v>48</v>
      </c>
      <c r="U99" s="6" t="s">
        <v>48</v>
      </c>
      <c r="V99" s="102" t="s">
        <v>98</v>
      </c>
      <c r="W99" s="102" t="str">
        <f t="shared" ref="W99:W110" si="1">V99</f>
        <v>MFO2.29F_M4_0828.a</v>
      </c>
      <c r="X99" s="102" t="s">
        <v>48</v>
      </c>
      <c r="Y99" s="102" t="s">
        <v>48</v>
      </c>
      <c r="Z99" s="102" t="s">
        <v>48</v>
      </c>
      <c r="AA99" s="102" t="s">
        <v>48</v>
      </c>
      <c r="AB99" s="102" t="s">
        <v>48</v>
      </c>
      <c r="AC99" s="102" t="s">
        <v>48</v>
      </c>
      <c r="AD99" s="6" t="s">
        <v>48</v>
      </c>
      <c r="AE99" s="6" t="s">
        <v>62</v>
      </c>
      <c r="AF99" s="79"/>
    </row>
    <row r="100" spans="1:32" ht="75" hidden="1" customHeight="1">
      <c r="A100" s="6" t="s">
        <v>16</v>
      </c>
      <c r="B100" s="6" t="s">
        <v>99</v>
      </c>
      <c r="C100" s="6" t="s">
        <v>100</v>
      </c>
      <c r="D100" s="70"/>
      <c r="E100" s="103" t="s">
        <v>68</v>
      </c>
      <c r="F100" s="103"/>
      <c r="G100" s="6" t="s">
        <v>503</v>
      </c>
      <c r="H100" s="6" t="s">
        <v>582</v>
      </c>
      <c r="I100" s="6">
        <v>5315510</v>
      </c>
      <c r="J100" s="6"/>
      <c r="K100" s="6" t="s">
        <v>48</v>
      </c>
      <c r="L100" s="6" t="s">
        <v>48</v>
      </c>
      <c r="M100" s="6" t="s">
        <v>48</v>
      </c>
      <c r="N100" s="6" t="s">
        <v>48</v>
      </c>
      <c r="O100" s="6" t="s">
        <v>48</v>
      </c>
      <c r="P100" s="6" t="s">
        <v>48</v>
      </c>
      <c r="Q100" s="6" t="s">
        <v>48</v>
      </c>
      <c r="R100" s="6" t="s">
        <v>48</v>
      </c>
      <c r="S100" s="6" t="s">
        <v>48</v>
      </c>
      <c r="T100" s="6" t="s">
        <v>48</v>
      </c>
      <c r="U100" s="6" t="s">
        <v>48</v>
      </c>
      <c r="V100" s="102" t="s">
        <v>100</v>
      </c>
      <c r="W100" s="102" t="str">
        <f t="shared" si="1"/>
        <v>MFO3.291a_M4_0837.a</v>
      </c>
      <c r="X100" s="102" t="s">
        <v>48</v>
      </c>
      <c r="Y100" s="102" t="s">
        <v>48</v>
      </c>
      <c r="Z100" s="102" t="s">
        <v>48</v>
      </c>
      <c r="AA100" s="102" t="s">
        <v>48</v>
      </c>
      <c r="AB100" s="102" t="s">
        <v>48</v>
      </c>
      <c r="AC100" s="102" t="s">
        <v>48</v>
      </c>
      <c r="AD100" s="6" t="s">
        <v>48</v>
      </c>
      <c r="AE100" s="6" t="s">
        <v>101</v>
      </c>
      <c r="AF100" s="79"/>
    </row>
    <row r="101" spans="1:32" ht="75" hidden="1" customHeight="1">
      <c r="A101" s="6" t="s">
        <v>13</v>
      </c>
      <c r="B101" s="6" t="s">
        <v>13</v>
      </c>
      <c r="C101" s="6" t="s">
        <v>89</v>
      </c>
      <c r="D101" s="70">
        <v>500</v>
      </c>
      <c r="E101" s="6" t="s">
        <v>76</v>
      </c>
      <c r="F101" s="6" t="s">
        <v>523</v>
      </c>
      <c r="G101" s="6" t="s">
        <v>837</v>
      </c>
      <c r="H101" s="6" t="s">
        <v>840</v>
      </c>
      <c r="I101" s="6" t="s">
        <v>843</v>
      </c>
      <c r="J101" s="6" t="s">
        <v>798</v>
      </c>
      <c r="K101" s="6" t="s">
        <v>48</v>
      </c>
      <c r="L101" s="6" t="s">
        <v>48</v>
      </c>
      <c r="M101" s="6" t="s">
        <v>48</v>
      </c>
      <c r="N101" s="6" t="s">
        <v>48</v>
      </c>
      <c r="O101" s="6" t="s">
        <v>48</v>
      </c>
      <c r="P101" s="6" t="s">
        <v>48</v>
      </c>
      <c r="Q101" s="6" t="s">
        <v>48</v>
      </c>
      <c r="R101" s="6" t="s">
        <v>48</v>
      </c>
      <c r="S101" s="6" t="s">
        <v>48</v>
      </c>
      <c r="T101" s="6" t="s">
        <v>48</v>
      </c>
      <c r="U101" s="6" t="s">
        <v>48</v>
      </c>
      <c r="V101" s="102" t="s">
        <v>89</v>
      </c>
      <c r="W101" s="102" t="str">
        <f t="shared" si="1"/>
        <v>OVATION5.293a_M4_0737.a</v>
      </c>
      <c r="X101" s="102" t="s">
        <v>48</v>
      </c>
      <c r="Y101" s="102" t="s">
        <v>48</v>
      </c>
      <c r="Z101" s="102" t="s">
        <v>48</v>
      </c>
      <c r="AA101" s="102" t="s">
        <v>48</v>
      </c>
      <c r="AB101" s="102" t="s">
        <v>48</v>
      </c>
      <c r="AC101" s="102" t="s">
        <v>48</v>
      </c>
      <c r="AD101" s="6" t="s">
        <v>848</v>
      </c>
      <c r="AE101" s="6" t="s">
        <v>82</v>
      </c>
      <c r="AF101" s="79"/>
    </row>
    <row r="102" spans="1:32" ht="75" hidden="1" customHeight="1">
      <c r="A102" s="6" t="s">
        <v>21</v>
      </c>
      <c r="B102" s="6" t="s">
        <v>21</v>
      </c>
      <c r="C102" s="6" t="s">
        <v>116</v>
      </c>
      <c r="D102" s="70">
        <v>500</v>
      </c>
      <c r="E102" s="6" t="s">
        <v>525</v>
      </c>
      <c r="F102" s="6" t="s">
        <v>524</v>
      </c>
      <c r="G102" s="6" t="s">
        <v>838</v>
      </c>
      <c r="H102" s="6" t="s">
        <v>579</v>
      </c>
      <c r="I102" s="6" t="s">
        <v>844</v>
      </c>
      <c r="J102" s="6" t="s">
        <v>800</v>
      </c>
      <c r="K102" s="6" t="s">
        <v>48</v>
      </c>
      <c r="L102" s="6" t="s">
        <v>48</v>
      </c>
      <c r="M102" s="6" t="s">
        <v>48</v>
      </c>
      <c r="N102" s="6" t="s">
        <v>48</v>
      </c>
      <c r="O102" s="6" t="s">
        <v>48</v>
      </c>
      <c r="P102" s="6" t="s">
        <v>48</v>
      </c>
      <c r="Q102" s="6" t="s">
        <v>48</v>
      </c>
      <c r="R102" s="6" t="s">
        <v>48</v>
      </c>
      <c r="S102" s="6" t="s">
        <v>48</v>
      </c>
      <c r="T102" s="6" t="s">
        <v>48</v>
      </c>
      <c r="U102" s="6" t="s">
        <v>48</v>
      </c>
      <c r="V102" s="102" t="s">
        <v>116</v>
      </c>
      <c r="W102" s="102" t="str">
        <f t="shared" si="1"/>
        <v>OVATIONHD.0_M4_0909.a</v>
      </c>
      <c r="X102" s="102" t="s">
        <v>48</v>
      </c>
      <c r="Y102" s="102" t="s">
        <v>48</v>
      </c>
      <c r="Z102" s="102" t="s">
        <v>48</v>
      </c>
      <c r="AA102" s="102" t="s">
        <v>48</v>
      </c>
      <c r="AB102" s="102" t="s">
        <v>48</v>
      </c>
      <c r="AC102" s="102" t="s">
        <v>48</v>
      </c>
      <c r="AD102" s="6" t="s">
        <v>849</v>
      </c>
      <c r="AE102" s="6" t="s">
        <v>82</v>
      </c>
      <c r="AF102" s="79"/>
    </row>
    <row r="103" spans="1:32" ht="75" hidden="1" customHeight="1">
      <c r="A103" s="6" t="s">
        <v>11</v>
      </c>
      <c r="B103" s="6" t="s">
        <v>11</v>
      </c>
      <c r="C103" s="6" t="s">
        <v>79</v>
      </c>
      <c r="D103" s="70">
        <v>200</v>
      </c>
      <c r="E103" s="6" t="s">
        <v>48</v>
      </c>
      <c r="F103" s="6" t="s">
        <v>48</v>
      </c>
      <c r="G103" s="6" t="s">
        <v>48</v>
      </c>
      <c r="H103" s="6" t="s">
        <v>48</v>
      </c>
      <c r="I103" s="6" t="s">
        <v>48</v>
      </c>
      <c r="J103" s="6" t="s">
        <v>48</v>
      </c>
      <c r="K103" s="6" t="s">
        <v>80</v>
      </c>
      <c r="L103" s="6"/>
      <c r="M103" s="6"/>
      <c r="N103" s="6"/>
      <c r="O103" s="6"/>
      <c r="P103" s="6"/>
      <c r="Q103" s="6" t="s">
        <v>48</v>
      </c>
      <c r="R103" s="6" t="s">
        <v>48</v>
      </c>
      <c r="S103" s="6" t="s">
        <v>48</v>
      </c>
      <c r="T103" s="6" t="s">
        <v>48</v>
      </c>
      <c r="U103" s="6" t="s">
        <v>48</v>
      </c>
      <c r="V103" s="102" t="s">
        <v>79</v>
      </c>
      <c r="W103" s="102" t="str">
        <f t="shared" si="1"/>
        <v>PROFILE5.293a_M4_0542.a</v>
      </c>
      <c r="X103" s="102" t="s">
        <v>48</v>
      </c>
      <c r="Y103" s="102" t="s">
        <v>48</v>
      </c>
      <c r="Z103" s="102" t="s">
        <v>48</v>
      </c>
      <c r="AA103" s="102" t="s">
        <v>48</v>
      </c>
      <c r="AB103" s="102" t="s">
        <v>48</v>
      </c>
      <c r="AC103" s="102" t="s">
        <v>48</v>
      </c>
      <c r="AD103" s="6" t="s">
        <v>307</v>
      </c>
      <c r="AE103" s="6" t="s">
        <v>82</v>
      </c>
      <c r="AF103" s="79"/>
    </row>
    <row r="104" spans="1:32" ht="75" hidden="1" customHeight="1">
      <c r="A104" s="6" t="s">
        <v>12</v>
      </c>
      <c r="B104" s="6" t="s">
        <v>87</v>
      </c>
      <c r="C104" s="6" t="s">
        <v>88</v>
      </c>
      <c r="D104" s="70">
        <v>200</v>
      </c>
      <c r="E104" s="6" t="s">
        <v>95</v>
      </c>
      <c r="F104" s="6" t="s">
        <v>772</v>
      </c>
      <c r="G104" s="6" t="s">
        <v>839</v>
      </c>
      <c r="H104" s="6" t="s">
        <v>579</v>
      </c>
      <c r="I104" s="6" t="s">
        <v>845</v>
      </c>
      <c r="J104" s="6" t="s">
        <v>797</v>
      </c>
      <c r="K104" s="6" t="s">
        <v>48</v>
      </c>
      <c r="L104" s="6" t="s">
        <v>48</v>
      </c>
      <c r="M104" s="6" t="s">
        <v>48</v>
      </c>
      <c r="N104" s="6" t="s">
        <v>48</v>
      </c>
      <c r="O104" s="6" t="s">
        <v>48</v>
      </c>
      <c r="P104" s="6" t="s">
        <v>48</v>
      </c>
      <c r="Q104" s="6" t="s">
        <v>48</v>
      </c>
      <c r="R104" s="6" t="s">
        <v>48</v>
      </c>
      <c r="S104" s="6" t="s">
        <v>48</v>
      </c>
      <c r="T104" s="6" t="s">
        <v>48</v>
      </c>
      <c r="U104" s="6" t="s">
        <v>48</v>
      </c>
      <c r="V104" s="102" t="s">
        <v>88</v>
      </c>
      <c r="W104" s="102" t="str">
        <f t="shared" si="1"/>
        <v>PROFILEHD.0_M4_0736.a</v>
      </c>
      <c r="X104" s="102" t="s">
        <v>48</v>
      </c>
      <c r="Y104" s="102" t="s">
        <v>48</v>
      </c>
      <c r="Z104" s="102" t="s">
        <v>48</v>
      </c>
      <c r="AA104" s="102" t="s">
        <v>48</v>
      </c>
      <c r="AB104" s="102" t="s">
        <v>48</v>
      </c>
      <c r="AC104" s="102" t="s">
        <v>48</v>
      </c>
      <c r="AD104" s="6" t="s">
        <v>847</v>
      </c>
      <c r="AE104" s="6" t="s">
        <v>82</v>
      </c>
      <c r="AF104" s="79"/>
    </row>
    <row r="105" spans="1:32" ht="75" hidden="1" customHeight="1">
      <c r="A105" s="103" t="s">
        <v>458</v>
      </c>
      <c r="B105" s="103" t="s">
        <v>61</v>
      </c>
      <c r="C105" s="6" t="s">
        <v>61</v>
      </c>
      <c r="D105" s="70"/>
      <c r="E105" s="6" t="s">
        <v>48</v>
      </c>
      <c r="F105" s="6" t="s">
        <v>48</v>
      </c>
      <c r="G105" s="6" t="s">
        <v>48</v>
      </c>
      <c r="H105" s="6" t="s">
        <v>48</v>
      </c>
      <c r="I105" s="6" t="s">
        <v>48</v>
      </c>
      <c r="J105" s="6" t="s">
        <v>48</v>
      </c>
      <c r="K105" s="103" t="s">
        <v>48</v>
      </c>
      <c r="L105" s="6" t="s">
        <v>48</v>
      </c>
      <c r="M105" s="6" t="s">
        <v>48</v>
      </c>
      <c r="N105" s="6" t="s">
        <v>48</v>
      </c>
      <c r="O105" s="6" t="s">
        <v>48</v>
      </c>
      <c r="P105" s="6" t="s">
        <v>48</v>
      </c>
      <c r="Q105" s="6" t="s">
        <v>48</v>
      </c>
      <c r="R105" s="6" t="s">
        <v>48</v>
      </c>
      <c r="S105" s="6" t="s">
        <v>48</v>
      </c>
      <c r="T105" s="6" t="s">
        <v>48</v>
      </c>
      <c r="U105" s="6" t="s">
        <v>48</v>
      </c>
      <c r="V105" s="102" t="s">
        <v>592</v>
      </c>
      <c r="W105" s="102" t="str">
        <f t="shared" si="1"/>
        <v>V/R 5.71</v>
      </c>
      <c r="X105" s="102" t="s">
        <v>48</v>
      </c>
      <c r="Y105" s="102" t="s">
        <v>48</v>
      </c>
      <c r="Z105" s="102" t="s">
        <v>48</v>
      </c>
      <c r="AA105" s="102" t="s">
        <v>48</v>
      </c>
      <c r="AB105" s="102" t="s">
        <v>48</v>
      </c>
      <c r="AC105" s="102" t="s">
        <v>48</v>
      </c>
      <c r="AD105" s="6" t="s">
        <v>48</v>
      </c>
      <c r="AE105" s="6" t="s">
        <v>62</v>
      </c>
      <c r="AF105" s="79"/>
    </row>
    <row r="106" spans="1:32" ht="75" hidden="1" customHeight="1">
      <c r="A106" s="103" t="s">
        <v>4</v>
      </c>
      <c r="B106" s="103" t="s">
        <v>63</v>
      </c>
      <c r="C106" s="6" t="s">
        <v>63</v>
      </c>
      <c r="D106" s="70">
        <v>15000</v>
      </c>
      <c r="E106" s="6" t="s">
        <v>48</v>
      </c>
      <c r="F106" s="6" t="s">
        <v>48</v>
      </c>
      <c r="G106" s="6" t="s">
        <v>48</v>
      </c>
      <c r="H106" s="6" t="s">
        <v>48</v>
      </c>
      <c r="I106" s="6" t="s">
        <v>48</v>
      </c>
      <c r="J106" s="6" t="s">
        <v>48</v>
      </c>
      <c r="K106" s="103" t="s">
        <v>65</v>
      </c>
      <c r="L106" s="6" t="s">
        <v>48</v>
      </c>
      <c r="M106" s="6" t="s">
        <v>48</v>
      </c>
      <c r="N106" s="6" t="s">
        <v>48</v>
      </c>
      <c r="O106" s="6" t="s">
        <v>48</v>
      </c>
      <c r="P106" s="6" t="s">
        <v>48</v>
      </c>
      <c r="Q106" s="6" t="s">
        <v>48</v>
      </c>
      <c r="R106" s="6" t="s">
        <v>48</v>
      </c>
      <c r="S106" s="6" t="s">
        <v>48</v>
      </c>
      <c r="T106" s="6" t="s">
        <v>48</v>
      </c>
      <c r="U106" s="6" t="s">
        <v>48</v>
      </c>
      <c r="V106" s="102" t="s">
        <v>593</v>
      </c>
      <c r="W106" s="102" t="str">
        <f t="shared" si="1"/>
        <v>V/R 4.13</v>
      </c>
      <c r="X106" s="102" t="s">
        <v>48</v>
      </c>
      <c r="Y106" s="102" t="s">
        <v>48</v>
      </c>
      <c r="Z106" s="102" t="s">
        <v>48</v>
      </c>
      <c r="AA106" s="102" t="s">
        <v>48</v>
      </c>
      <c r="AB106" s="102" t="s">
        <v>48</v>
      </c>
      <c r="AC106" s="102" t="s">
        <v>48</v>
      </c>
      <c r="AD106" s="6" t="s">
        <v>48</v>
      </c>
      <c r="AE106" s="6" t="s">
        <v>62</v>
      </c>
      <c r="AF106" s="79"/>
    </row>
    <row r="107" spans="1:32" ht="75" hidden="1" customHeight="1">
      <c r="A107" s="6" t="s">
        <v>459</v>
      </c>
      <c r="B107" s="6" t="s">
        <v>46</v>
      </c>
      <c r="C107" s="6" t="s">
        <v>47</v>
      </c>
      <c r="D107" s="70"/>
      <c r="E107" s="6" t="s">
        <v>48</v>
      </c>
      <c r="F107" s="6" t="s">
        <v>48</v>
      </c>
      <c r="G107" s="6" t="s">
        <v>48</v>
      </c>
      <c r="H107" s="6" t="s">
        <v>48</v>
      </c>
      <c r="I107" s="6" t="s">
        <v>48</v>
      </c>
      <c r="J107" s="6" t="s">
        <v>48</v>
      </c>
      <c r="K107" s="6" t="s">
        <v>48</v>
      </c>
      <c r="L107" s="6" t="s">
        <v>48</v>
      </c>
      <c r="M107" s="6" t="s">
        <v>48</v>
      </c>
      <c r="N107" s="6" t="s">
        <v>48</v>
      </c>
      <c r="O107" s="6" t="s">
        <v>48</v>
      </c>
      <c r="P107" s="6" t="s">
        <v>48</v>
      </c>
      <c r="Q107" s="6" t="s">
        <v>48</v>
      </c>
      <c r="R107" s="6" t="s">
        <v>48</v>
      </c>
      <c r="S107" s="6" t="s">
        <v>48</v>
      </c>
      <c r="T107" s="6" t="s">
        <v>48</v>
      </c>
      <c r="U107" s="6" t="s">
        <v>48</v>
      </c>
      <c r="V107" s="102" t="s">
        <v>47</v>
      </c>
      <c r="W107" s="102" t="str">
        <f t="shared" si="1"/>
        <v>1.8.13,   2.5.19,     3.3.9</v>
      </c>
      <c r="X107" s="102" t="s">
        <v>48</v>
      </c>
      <c r="Y107" s="102" t="s">
        <v>48</v>
      </c>
      <c r="Z107" s="102" t="s">
        <v>48</v>
      </c>
      <c r="AA107" s="102" t="s">
        <v>48</v>
      </c>
      <c r="AB107" s="102" t="s">
        <v>48</v>
      </c>
      <c r="AC107" s="102" t="s">
        <v>48</v>
      </c>
      <c r="AD107" s="6" t="s">
        <v>48</v>
      </c>
      <c r="AE107" s="6" t="s">
        <v>49</v>
      </c>
      <c r="AF107" s="79"/>
    </row>
    <row r="108" spans="1:32" ht="75" hidden="1" customHeight="1">
      <c r="A108" s="6" t="s">
        <v>0</v>
      </c>
      <c r="B108" s="102" t="s">
        <v>50</v>
      </c>
      <c r="C108" s="6" t="s">
        <v>51</v>
      </c>
      <c r="D108" s="70">
        <v>15000</v>
      </c>
      <c r="E108" s="6" t="s">
        <v>48</v>
      </c>
      <c r="F108" s="6" t="s">
        <v>48</v>
      </c>
      <c r="G108" s="6" t="s">
        <v>48</v>
      </c>
      <c r="H108" s="6" t="s">
        <v>48</v>
      </c>
      <c r="I108" s="6" t="s">
        <v>48</v>
      </c>
      <c r="J108" s="6" t="s">
        <v>48</v>
      </c>
      <c r="K108" s="102" t="s">
        <v>48</v>
      </c>
      <c r="L108" s="6" t="s">
        <v>48</v>
      </c>
      <c r="M108" s="102" t="s">
        <v>48</v>
      </c>
      <c r="N108" s="6" t="s">
        <v>48</v>
      </c>
      <c r="O108" s="6" t="s">
        <v>48</v>
      </c>
      <c r="P108" s="6" t="s">
        <v>48</v>
      </c>
      <c r="Q108" s="6" t="s">
        <v>48</v>
      </c>
      <c r="R108" s="6" t="s">
        <v>48</v>
      </c>
      <c r="S108" s="6" t="s">
        <v>48</v>
      </c>
      <c r="T108" s="6" t="s">
        <v>48</v>
      </c>
      <c r="U108" s="6" t="s">
        <v>48</v>
      </c>
      <c r="V108" s="102" t="s">
        <v>51</v>
      </c>
      <c r="W108" s="102" t="str">
        <f t="shared" si="1"/>
        <v>4.8.10</v>
      </c>
      <c r="X108" s="102" t="s">
        <v>48</v>
      </c>
      <c r="Y108" s="102" t="s">
        <v>48</v>
      </c>
      <c r="Z108" s="102" t="s">
        <v>48</v>
      </c>
      <c r="AA108" s="102" t="s">
        <v>48</v>
      </c>
      <c r="AB108" s="102" t="s">
        <v>48</v>
      </c>
      <c r="AC108" s="102" t="s">
        <v>48</v>
      </c>
      <c r="AD108" s="6" t="s">
        <v>48</v>
      </c>
      <c r="AE108" s="102" t="s">
        <v>49</v>
      </c>
      <c r="AF108" s="79"/>
    </row>
    <row r="109" spans="1:32" ht="75" hidden="1" customHeight="1">
      <c r="A109" s="6" t="s">
        <v>0</v>
      </c>
      <c r="B109" s="102" t="s">
        <v>54</v>
      </c>
      <c r="C109" s="6">
        <v>5.4</v>
      </c>
      <c r="D109" s="70">
        <v>15000</v>
      </c>
      <c r="E109" s="6" t="s">
        <v>48</v>
      </c>
      <c r="F109" s="6" t="s">
        <v>48</v>
      </c>
      <c r="G109" s="6" t="s">
        <v>48</v>
      </c>
      <c r="H109" s="6" t="s">
        <v>48</v>
      </c>
      <c r="I109" s="6" t="s">
        <v>48</v>
      </c>
      <c r="J109" s="6" t="s">
        <v>48</v>
      </c>
      <c r="K109" s="102" t="s">
        <v>48</v>
      </c>
      <c r="L109" s="6" t="s">
        <v>48</v>
      </c>
      <c r="M109" s="102" t="s">
        <v>48</v>
      </c>
      <c r="N109" s="6" t="s">
        <v>48</v>
      </c>
      <c r="O109" s="6" t="s">
        <v>48</v>
      </c>
      <c r="P109" s="6" t="s">
        <v>48</v>
      </c>
      <c r="Q109" s="6" t="s">
        <v>48</v>
      </c>
      <c r="R109" s="6" t="s">
        <v>48</v>
      </c>
      <c r="S109" s="6" t="s">
        <v>48</v>
      </c>
      <c r="T109" s="6" t="s">
        <v>48</v>
      </c>
      <c r="U109" s="6" t="s">
        <v>48</v>
      </c>
      <c r="V109" s="102">
        <v>5.4</v>
      </c>
      <c r="W109" s="102">
        <f t="shared" si="1"/>
        <v>5.4</v>
      </c>
      <c r="X109" s="102" t="s">
        <v>48</v>
      </c>
      <c r="Y109" s="102" t="s">
        <v>48</v>
      </c>
      <c r="Z109" s="102" t="s">
        <v>48</v>
      </c>
      <c r="AA109" s="102" t="s">
        <v>48</v>
      </c>
      <c r="AB109" s="102" t="s">
        <v>48</v>
      </c>
      <c r="AC109" s="102" t="s">
        <v>48</v>
      </c>
      <c r="AD109" s="6" t="s">
        <v>48</v>
      </c>
      <c r="AE109" s="102" t="s">
        <v>49</v>
      </c>
      <c r="AF109" s="79"/>
    </row>
    <row r="110" spans="1:32" s="11" customFormat="1" ht="75" hidden="1" customHeight="1">
      <c r="A110" s="6" t="s">
        <v>0</v>
      </c>
      <c r="B110" s="102" t="s">
        <v>57</v>
      </c>
      <c r="C110" s="6">
        <v>5.5</v>
      </c>
      <c r="D110" s="70">
        <v>15000</v>
      </c>
      <c r="E110" s="6" t="s">
        <v>48</v>
      </c>
      <c r="F110" s="6" t="s">
        <v>48</v>
      </c>
      <c r="G110" s="6" t="s">
        <v>48</v>
      </c>
      <c r="H110" s="6" t="s">
        <v>48</v>
      </c>
      <c r="I110" s="6" t="s">
        <v>48</v>
      </c>
      <c r="J110" s="6" t="s">
        <v>48</v>
      </c>
      <c r="K110" s="102" t="s">
        <v>48</v>
      </c>
      <c r="L110" s="6" t="s">
        <v>48</v>
      </c>
      <c r="M110" s="102" t="s">
        <v>48</v>
      </c>
      <c r="N110" s="6" t="s">
        <v>48</v>
      </c>
      <c r="O110" s="6" t="s">
        <v>48</v>
      </c>
      <c r="P110" s="6" t="s">
        <v>48</v>
      </c>
      <c r="Q110" s="6" t="s">
        <v>48</v>
      </c>
      <c r="R110" s="6" t="s">
        <v>48</v>
      </c>
      <c r="S110" s="6" t="s">
        <v>48</v>
      </c>
      <c r="T110" s="6" t="s">
        <v>48</v>
      </c>
      <c r="U110" s="6" t="s">
        <v>48</v>
      </c>
      <c r="V110" s="102">
        <v>5.5</v>
      </c>
      <c r="W110" s="102">
        <f t="shared" si="1"/>
        <v>5.5</v>
      </c>
      <c r="X110" s="102" t="s">
        <v>48</v>
      </c>
      <c r="Y110" s="102" t="s">
        <v>48</v>
      </c>
      <c r="Z110" s="102" t="s">
        <v>48</v>
      </c>
      <c r="AA110" s="102" t="s">
        <v>48</v>
      </c>
      <c r="AB110" s="102" t="s">
        <v>48</v>
      </c>
      <c r="AC110" s="102" t="s">
        <v>48</v>
      </c>
      <c r="AD110" s="6" t="s">
        <v>48</v>
      </c>
      <c r="AE110" s="102" t="s">
        <v>49</v>
      </c>
      <c r="AF110" s="79"/>
    </row>
    <row r="111" spans="1:32" s="11" customFormat="1" ht="75" hidden="1" customHeight="1">
      <c r="A111" s="103" t="s">
        <v>40</v>
      </c>
      <c r="B111" s="9" t="s">
        <v>220</v>
      </c>
      <c r="C111" s="6" t="s">
        <v>418</v>
      </c>
      <c r="D111" s="70">
        <v>30000</v>
      </c>
      <c r="E111" s="6" t="s">
        <v>48</v>
      </c>
      <c r="F111" s="6" t="s">
        <v>48</v>
      </c>
      <c r="G111" s="6" t="s">
        <v>48</v>
      </c>
      <c r="H111" s="6" t="s">
        <v>48</v>
      </c>
      <c r="I111" s="6" t="s">
        <v>48</v>
      </c>
      <c r="J111" s="6" t="s">
        <v>48</v>
      </c>
      <c r="K111" s="9" t="s">
        <v>48</v>
      </c>
      <c r="L111" s="103" t="s">
        <v>48</v>
      </c>
      <c r="M111" s="9" t="s">
        <v>48</v>
      </c>
      <c r="N111" s="6" t="s">
        <v>48</v>
      </c>
      <c r="O111" s="103" t="s">
        <v>48</v>
      </c>
      <c r="P111" s="6" t="s">
        <v>48</v>
      </c>
      <c r="Q111" s="103" t="s">
        <v>80</v>
      </c>
      <c r="R111" s="103" t="s">
        <v>221</v>
      </c>
      <c r="S111" s="103" t="s">
        <v>491</v>
      </c>
      <c r="T111" s="103" t="s">
        <v>48</v>
      </c>
      <c r="U111" s="103" t="s">
        <v>491</v>
      </c>
      <c r="V111" s="102" t="s">
        <v>1691</v>
      </c>
      <c r="W111" s="102" t="s">
        <v>1691</v>
      </c>
      <c r="X111" s="102" t="s">
        <v>1751</v>
      </c>
      <c r="Y111" s="102" t="s">
        <v>1708</v>
      </c>
      <c r="Z111" s="102" t="s">
        <v>1708</v>
      </c>
      <c r="AA111" s="102" t="s">
        <v>1752</v>
      </c>
      <c r="AB111" s="102" t="s">
        <v>595</v>
      </c>
      <c r="AC111" s="102" t="s">
        <v>1687</v>
      </c>
      <c r="AD111" s="102" t="s">
        <v>1767</v>
      </c>
      <c r="AE111" s="9" t="s">
        <v>49</v>
      </c>
      <c r="AF111" s="120" t="s">
        <v>1692</v>
      </c>
    </row>
    <row r="112" spans="1:32" s="11" customFormat="1" ht="75" hidden="1" customHeight="1">
      <c r="A112" s="103" t="s">
        <v>40</v>
      </c>
      <c r="B112" s="9" t="s">
        <v>223</v>
      </c>
      <c r="C112" s="6" t="s">
        <v>236</v>
      </c>
      <c r="D112" s="70">
        <v>30000</v>
      </c>
      <c r="E112" s="6" t="s">
        <v>48</v>
      </c>
      <c r="F112" s="6" t="s">
        <v>48</v>
      </c>
      <c r="G112" s="6" t="s">
        <v>48</v>
      </c>
      <c r="H112" s="6" t="s">
        <v>48</v>
      </c>
      <c r="I112" s="6" t="s">
        <v>48</v>
      </c>
      <c r="J112" s="6" t="s">
        <v>48</v>
      </c>
      <c r="K112" s="9" t="s">
        <v>442</v>
      </c>
      <c r="L112" s="103" t="s">
        <v>224</v>
      </c>
      <c r="M112" s="9" t="s">
        <v>490</v>
      </c>
      <c r="N112" s="103" t="s">
        <v>616</v>
      </c>
      <c r="O112" s="6" t="s">
        <v>492</v>
      </c>
      <c r="P112" s="6" t="s">
        <v>493</v>
      </c>
      <c r="Q112" s="6" t="s">
        <v>443</v>
      </c>
      <c r="R112" s="6" t="s">
        <v>48</v>
      </c>
      <c r="S112" s="6" t="s">
        <v>453</v>
      </c>
      <c r="T112" s="6" t="s">
        <v>48</v>
      </c>
      <c r="U112" s="6" t="s">
        <v>48</v>
      </c>
      <c r="V112" s="102" t="s">
        <v>1691</v>
      </c>
      <c r="W112" s="102" t="s">
        <v>1691</v>
      </c>
      <c r="X112" s="102" t="s">
        <v>1751</v>
      </c>
      <c r="Y112" s="102" t="s">
        <v>1708</v>
      </c>
      <c r="Z112" s="102" t="s">
        <v>1708</v>
      </c>
      <c r="AA112" s="102" t="s">
        <v>1752</v>
      </c>
      <c r="AB112" s="102" t="s">
        <v>595</v>
      </c>
      <c r="AC112" s="102" t="s">
        <v>1687</v>
      </c>
      <c r="AD112" s="102" t="s">
        <v>1767</v>
      </c>
      <c r="AE112" s="9" t="s">
        <v>49</v>
      </c>
      <c r="AF112" s="120" t="s">
        <v>1692</v>
      </c>
    </row>
    <row r="113" spans="1:32" s="11" customFormat="1" ht="75" hidden="1" customHeight="1">
      <c r="A113" s="103" t="s">
        <v>40</v>
      </c>
      <c r="B113" s="9" t="s">
        <v>249</v>
      </c>
      <c r="C113" s="6" t="s">
        <v>237</v>
      </c>
      <c r="D113" s="70">
        <v>30000</v>
      </c>
      <c r="E113" s="6" t="s">
        <v>48</v>
      </c>
      <c r="F113" s="6" t="s">
        <v>48</v>
      </c>
      <c r="G113" s="6" t="s">
        <v>48</v>
      </c>
      <c r="H113" s="6" t="s">
        <v>48</v>
      </c>
      <c r="I113" s="6" t="s">
        <v>48</v>
      </c>
      <c r="J113" s="6" t="s">
        <v>48</v>
      </c>
      <c r="K113" s="9" t="s">
        <v>48</v>
      </c>
      <c r="L113" s="102" t="s">
        <v>48</v>
      </c>
      <c r="M113" s="9" t="s">
        <v>48</v>
      </c>
      <c r="N113" s="102" t="s">
        <v>48</v>
      </c>
      <c r="O113" s="6" t="s">
        <v>48</v>
      </c>
      <c r="P113" s="6" t="s">
        <v>48</v>
      </c>
      <c r="Q113" s="6" t="s">
        <v>48</v>
      </c>
      <c r="R113" s="6" t="s">
        <v>48</v>
      </c>
      <c r="S113" s="6" t="s">
        <v>48</v>
      </c>
      <c r="T113" s="6" t="s">
        <v>48</v>
      </c>
      <c r="U113" s="6" t="s">
        <v>48</v>
      </c>
      <c r="V113" s="102" t="s">
        <v>1691</v>
      </c>
      <c r="W113" s="102" t="s">
        <v>1691</v>
      </c>
      <c r="X113" s="102" t="s">
        <v>1751</v>
      </c>
      <c r="Y113" s="102" t="s">
        <v>1708</v>
      </c>
      <c r="Z113" s="102" t="s">
        <v>1708</v>
      </c>
      <c r="AA113" s="102" t="s">
        <v>1752</v>
      </c>
      <c r="AB113" s="102" t="s">
        <v>595</v>
      </c>
      <c r="AC113" s="102" t="s">
        <v>1687</v>
      </c>
      <c r="AD113" s="102" t="s">
        <v>1767</v>
      </c>
      <c r="AE113" s="9" t="s">
        <v>49</v>
      </c>
      <c r="AF113" s="120" t="s">
        <v>1692</v>
      </c>
    </row>
    <row r="114" spans="1:32" ht="75" hidden="1" customHeight="1">
      <c r="A114" s="103" t="s">
        <v>41</v>
      </c>
      <c r="B114" s="9" t="s">
        <v>222</v>
      </c>
      <c r="C114" s="6" t="s">
        <v>238</v>
      </c>
      <c r="D114" s="70">
        <v>15000</v>
      </c>
      <c r="E114" s="6" t="s">
        <v>48</v>
      </c>
      <c r="F114" s="6" t="s">
        <v>48</v>
      </c>
      <c r="G114" s="6" t="s">
        <v>48</v>
      </c>
      <c r="H114" s="6" t="s">
        <v>48</v>
      </c>
      <c r="I114" s="6" t="s">
        <v>48</v>
      </c>
      <c r="J114" s="6" t="s">
        <v>48</v>
      </c>
      <c r="K114" s="9" t="s">
        <v>48</v>
      </c>
      <c r="L114" s="102" t="s">
        <v>48</v>
      </c>
      <c r="M114" s="9" t="s">
        <v>48</v>
      </c>
      <c r="N114" s="102" t="s">
        <v>48</v>
      </c>
      <c r="O114" s="6" t="s">
        <v>48</v>
      </c>
      <c r="P114" s="6" t="s">
        <v>48</v>
      </c>
      <c r="Q114" s="6" t="s">
        <v>48</v>
      </c>
      <c r="R114" s="6" t="s">
        <v>48</v>
      </c>
      <c r="S114" s="6" t="s">
        <v>48</v>
      </c>
      <c r="T114" s="6" t="s">
        <v>48</v>
      </c>
      <c r="U114" s="6" t="s">
        <v>48</v>
      </c>
      <c r="V114" s="102" t="s">
        <v>1691</v>
      </c>
      <c r="W114" s="102" t="s">
        <v>1691</v>
      </c>
      <c r="X114" s="102" t="s">
        <v>1751</v>
      </c>
      <c r="Y114" s="102" t="s">
        <v>1708</v>
      </c>
      <c r="Z114" s="102" t="s">
        <v>1708</v>
      </c>
      <c r="AA114" s="102" t="s">
        <v>1752</v>
      </c>
      <c r="AB114" s="102" t="s">
        <v>595</v>
      </c>
      <c r="AC114" s="102" t="s">
        <v>1687</v>
      </c>
      <c r="AD114" s="102" t="s">
        <v>1767</v>
      </c>
      <c r="AE114" s="9" t="s">
        <v>49</v>
      </c>
      <c r="AF114" s="120" t="s">
        <v>1692</v>
      </c>
    </row>
    <row r="115" spans="1:32" ht="75" hidden="1" customHeight="1">
      <c r="A115" s="103" t="s">
        <v>41</v>
      </c>
      <c r="B115" s="9" t="s">
        <v>223</v>
      </c>
      <c r="C115" s="6" t="s">
        <v>236</v>
      </c>
      <c r="D115" s="70">
        <v>15000</v>
      </c>
      <c r="E115" s="6" t="s">
        <v>48</v>
      </c>
      <c r="F115" s="6" t="s">
        <v>48</v>
      </c>
      <c r="G115" s="6" t="s">
        <v>48</v>
      </c>
      <c r="H115" s="6" t="s">
        <v>48</v>
      </c>
      <c r="I115" s="6" t="s">
        <v>48</v>
      </c>
      <c r="J115" s="6" t="s">
        <v>48</v>
      </c>
      <c r="K115" s="9" t="s">
        <v>442</v>
      </c>
      <c r="L115" s="9" t="s">
        <v>224</v>
      </c>
      <c r="M115" s="9" t="s">
        <v>490</v>
      </c>
      <c r="N115" s="9" t="s">
        <v>616</v>
      </c>
      <c r="O115" s="6" t="s">
        <v>492</v>
      </c>
      <c r="P115" s="6" t="s">
        <v>493</v>
      </c>
      <c r="Q115" s="6" t="s">
        <v>443</v>
      </c>
      <c r="R115" s="6" t="s">
        <v>48</v>
      </c>
      <c r="S115" s="6" t="s">
        <v>453</v>
      </c>
      <c r="T115" s="6" t="s">
        <v>48</v>
      </c>
      <c r="U115" s="6" t="s">
        <v>48</v>
      </c>
      <c r="V115" s="102" t="s">
        <v>1691</v>
      </c>
      <c r="W115" s="102" t="s">
        <v>1691</v>
      </c>
      <c r="X115" s="102" t="s">
        <v>1751</v>
      </c>
      <c r="Y115" s="102" t="s">
        <v>1708</v>
      </c>
      <c r="Z115" s="102" t="s">
        <v>1708</v>
      </c>
      <c r="AA115" s="102" t="s">
        <v>1752</v>
      </c>
      <c r="AB115" s="102" t="s">
        <v>595</v>
      </c>
      <c r="AC115" s="102" t="s">
        <v>1687</v>
      </c>
      <c r="AD115" s="102" t="s">
        <v>1767</v>
      </c>
      <c r="AE115" s="9" t="s">
        <v>49</v>
      </c>
      <c r="AF115" s="120" t="s">
        <v>1692</v>
      </c>
    </row>
    <row r="116" spans="1:32" ht="75" hidden="1" customHeight="1">
      <c r="A116" s="103" t="s">
        <v>41</v>
      </c>
      <c r="B116" s="9" t="s">
        <v>249</v>
      </c>
      <c r="C116" s="6" t="s">
        <v>237</v>
      </c>
      <c r="D116" s="70">
        <v>15000</v>
      </c>
      <c r="E116" s="6" t="s">
        <v>48</v>
      </c>
      <c r="F116" s="6" t="s">
        <v>48</v>
      </c>
      <c r="G116" s="6" t="s">
        <v>48</v>
      </c>
      <c r="H116" s="6" t="s">
        <v>48</v>
      </c>
      <c r="I116" s="6" t="s">
        <v>48</v>
      </c>
      <c r="J116" s="6" t="s">
        <v>48</v>
      </c>
      <c r="K116" s="9" t="s">
        <v>48</v>
      </c>
      <c r="L116" s="102" t="s">
        <v>48</v>
      </c>
      <c r="M116" s="9" t="s">
        <v>48</v>
      </c>
      <c r="N116" s="102" t="s">
        <v>48</v>
      </c>
      <c r="O116" s="6" t="s">
        <v>48</v>
      </c>
      <c r="P116" s="6" t="s">
        <v>48</v>
      </c>
      <c r="Q116" s="6" t="s">
        <v>48</v>
      </c>
      <c r="R116" s="6" t="s">
        <v>48</v>
      </c>
      <c r="S116" s="6" t="s">
        <v>48</v>
      </c>
      <c r="T116" s="6" t="s">
        <v>48</v>
      </c>
      <c r="U116" s="6" t="s">
        <v>48</v>
      </c>
      <c r="V116" s="102" t="s">
        <v>1691</v>
      </c>
      <c r="W116" s="102" t="s">
        <v>1691</v>
      </c>
      <c r="X116" s="102" t="s">
        <v>1751</v>
      </c>
      <c r="Y116" s="102" t="s">
        <v>1708</v>
      </c>
      <c r="Z116" s="102" t="s">
        <v>1708</v>
      </c>
      <c r="AA116" s="102" t="s">
        <v>1752</v>
      </c>
      <c r="AB116" s="102" t="s">
        <v>595</v>
      </c>
      <c r="AC116" s="102" t="s">
        <v>1687</v>
      </c>
      <c r="AD116" s="102" t="s">
        <v>1767</v>
      </c>
      <c r="AE116" s="9" t="s">
        <v>49</v>
      </c>
      <c r="AF116" s="120" t="s">
        <v>1692</v>
      </c>
    </row>
    <row r="117" spans="1:32" ht="75" hidden="1" customHeight="1">
      <c r="A117" s="6" t="s">
        <v>20</v>
      </c>
      <c r="B117" s="102" t="s">
        <v>107</v>
      </c>
      <c r="C117" s="6" t="s">
        <v>108</v>
      </c>
      <c r="D117" s="70">
        <v>15000</v>
      </c>
      <c r="E117" s="6" t="s">
        <v>48</v>
      </c>
      <c r="F117" s="6" t="s">
        <v>48</v>
      </c>
      <c r="G117" s="6" t="s">
        <v>48</v>
      </c>
      <c r="H117" s="6" t="s">
        <v>48</v>
      </c>
      <c r="I117" s="6" t="s">
        <v>48</v>
      </c>
      <c r="J117" s="6" t="s">
        <v>48</v>
      </c>
      <c r="K117" s="102" t="s">
        <v>48</v>
      </c>
      <c r="L117" s="102" t="s">
        <v>48</v>
      </c>
      <c r="M117" s="102" t="s">
        <v>48</v>
      </c>
      <c r="N117" s="102" t="s">
        <v>48</v>
      </c>
      <c r="O117" s="6" t="s">
        <v>48</v>
      </c>
      <c r="P117" s="6" t="s">
        <v>48</v>
      </c>
      <c r="Q117" s="6" t="s">
        <v>48</v>
      </c>
      <c r="R117" s="6" t="s">
        <v>48</v>
      </c>
      <c r="S117" s="6" t="s">
        <v>48</v>
      </c>
      <c r="T117" s="6" t="s">
        <v>48</v>
      </c>
      <c r="U117" s="6" t="s">
        <v>48</v>
      </c>
      <c r="V117" s="102" t="s">
        <v>109</v>
      </c>
      <c r="W117" s="102" t="str">
        <f t="shared" ref="W117:W128" si="2">V117</f>
        <v>12.0_M5B_0846.d</v>
      </c>
      <c r="X117" s="102" t="s">
        <v>697</v>
      </c>
      <c r="Y117" s="102" t="s">
        <v>626</v>
      </c>
      <c r="Z117" s="102" t="s">
        <v>626</v>
      </c>
      <c r="AA117" s="102" t="s">
        <v>699</v>
      </c>
      <c r="AB117" s="102" t="s">
        <v>595</v>
      </c>
      <c r="AC117" s="102" t="s">
        <v>696</v>
      </c>
      <c r="AD117" s="6" t="s">
        <v>110</v>
      </c>
      <c r="AE117" s="102" t="s">
        <v>49</v>
      </c>
      <c r="AF117" s="79"/>
    </row>
    <row r="118" spans="1:32" ht="75" hidden="1" customHeight="1">
      <c r="A118" s="6" t="s">
        <v>20</v>
      </c>
      <c r="B118" s="102" t="s">
        <v>107</v>
      </c>
      <c r="C118" s="6" t="s">
        <v>111</v>
      </c>
      <c r="D118" s="70">
        <v>15000</v>
      </c>
      <c r="E118" s="6" t="s">
        <v>48</v>
      </c>
      <c r="F118" s="6" t="s">
        <v>48</v>
      </c>
      <c r="G118" s="6" t="s">
        <v>48</v>
      </c>
      <c r="H118" s="6" t="s">
        <v>48</v>
      </c>
      <c r="I118" s="6" t="s">
        <v>48</v>
      </c>
      <c r="J118" s="6" t="s">
        <v>48</v>
      </c>
      <c r="K118" s="102" t="s">
        <v>48</v>
      </c>
      <c r="L118" s="102" t="s">
        <v>48</v>
      </c>
      <c r="M118" s="102" t="s">
        <v>48</v>
      </c>
      <c r="N118" s="6" t="s">
        <v>48</v>
      </c>
      <c r="O118" s="102" t="s">
        <v>48</v>
      </c>
      <c r="P118" s="102" t="s">
        <v>48</v>
      </c>
      <c r="Q118" s="102" t="s">
        <v>48</v>
      </c>
      <c r="R118" s="102" t="s">
        <v>48</v>
      </c>
      <c r="S118" s="102" t="s">
        <v>48</v>
      </c>
      <c r="T118" s="102" t="s">
        <v>48</v>
      </c>
      <c r="U118" s="102" t="s">
        <v>48</v>
      </c>
      <c r="V118" s="102" t="s">
        <v>109</v>
      </c>
      <c r="W118" s="102" t="str">
        <f t="shared" si="2"/>
        <v>12.0_M5B_0846.d</v>
      </c>
      <c r="X118" s="102" t="s">
        <v>697</v>
      </c>
      <c r="Y118" s="102" t="s">
        <v>626</v>
      </c>
      <c r="Z118" s="102" t="s">
        <v>626</v>
      </c>
      <c r="AA118" s="102" t="s">
        <v>699</v>
      </c>
      <c r="AB118" s="102" t="s">
        <v>595</v>
      </c>
      <c r="AC118" s="102" t="s">
        <v>696</v>
      </c>
      <c r="AD118" s="6" t="s">
        <v>110</v>
      </c>
      <c r="AE118" s="102" t="s">
        <v>49</v>
      </c>
      <c r="AF118" s="79"/>
    </row>
    <row r="119" spans="1:32" ht="75" hidden="1" customHeight="1">
      <c r="A119" s="6" t="s">
        <v>20</v>
      </c>
      <c r="B119" s="102" t="s">
        <v>107</v>
      </c>
      <c r="C119" s="6" t="s">
        <v>112</v>
      </c>
      <c r="D119" s="70">
        <v>15000</v>
      </c>
      <c r="E119" s="6" t="s">
        <v>48</v>
      </c>
      <c r="F119" s="6" t="s">
        <v>48</v>
      </c>
      <c r="G119" s="6" t="s">
        <v>48</v>
      </c>
      <c r="H119" s="6" t="s">
        <v>48</v>
      </c>
      <c r="I119" s="6" t="s">
        <v>48</v>
      </c>
      <c r="J119" s="6" t="s">
        <v>48</v>
      </c>
      <c r="K119" s="102" t="s">
        <v>48</v>
      </c>
      <c r="L119" s="102" t="s">
        <v>48</v>
      </c>
      <c r="M119" s="102" t="s">
        <v>48</v>
      </c>
      <c r="N119" s="6" t="s">
        <v>48</v>
      </c>
      <c r="O119" s="102" t="s">
        <v>48</v>
      </c>
      <c r="P119" s="102" t="s">
        <v>48</v>
      </c>
      <c r="Q119" s="102" t="s">
        <v>48</v>
      </c>
      <c r="R119" s="102" t="s">
        <v>48</v>
      </c>
      <c r="S119" s="102" t="s">
        <v>48</v>
      </c>
      <c r="T119" s="102" t="s">
        <v>48</v>
      </c>
      <c r="U119" s="102" t="s">
        <v>48</v>
      </c>
      <c r="V119" s="102" t="s">
        <v>109</v>
      </c>
      <c r="W119" s="102" t="str">
        <f t="shared" si="2"/>
        <v>12.0_M5B_0846.d</v>
      </c>
      <c r="X119" s="102" t="s">
        <v>697</v>
      </c>
      <c r="Y119" s="102" t="s">
        <v>626</v>
      </c>
      <c r="Z119" s="102" t="s">
        <v>626</v>
      </c>
      <c r="AA119" s="102" t="s">
        <v>699</v>
      </c>
      <c r="AB119" s="102" t="s">
        <v>595</v>
      </c>
      <c r="AC119" s="102" t="s">
        <v>696</v>
      </c>
      <c r="AD119" s="6" t="s">
        <v>110</v>
      </c>
      <c r="AE119" s="102" t="s">
        <v>49</v>
      </c>
      <c r="AF119" s="79"/>
    </row>
    <row r="120" spans="1:32" ht="75" hidden="1" customHeight="1">
      <c r="A120" s="6" t="s">
        <v>20</v>
      </c>
      <c r="B120" s="102" t="s">
        <v>107</v>
      </c>
      <c r="C120" s="6" t="s">
        <v>113</v>
      </c>
      <c r="D120" s="70">
        <v>15000</v>
      </c>
      <c r="E120" s="6" t="s">
        <v>48</v>
      </c>
      <c r="F120" s="6" t="s">
        <v>48</v>
      </c>
      <c r="G120" s="6" t="s">
        <v>48</v>
      </c>
      <c r="H120" s="6" t="s">
        <v>48</v>
      </c>
      <c r="I120" s="6" t="s">
        <v>48</v>
      </c>
      <c r="J120" s="6" t="s">
        <v>48</v>
      </c>
      <c r="K120" s="102" t="s">
        <v>48</v>
      </c>
      <c r="L120" s="102" t="s">
        <v>48</v>
      </c>
      <c r="M120" s="102" t="s">
        <v>48</v>
      </c>
      <c r="N120" s="6" t="s">
        <v>48</v>
      </c>
      <c r="O120" s="102" t="s">
        <v>48</v>
      </c>
      <c r="P120" s="102" t="s">
        <v>48</v>
      </c>
      <c r="Q120" s="102" t="s">
        <v>48</v>
      </c>
      <c r="R120" s="102" t="s">
        <v>48</v>
      </c>
      <c r="S120" s="102" t="s">
        <v>48</v>
      </c>
      <c r="T120" s="102" t="s">
        <v>48</v>
      </c>
      <c r="U120" s="102" t="s">
        <v>48</v>
      </c>
      <c r="V120" s="102" t="s">
        <v>109</v>
      </c>
      <c r="W120" s="102" t="str">
        <f t="shared" si="2"/>
        <v>12.0_M5B_0846.d</v>
      </c>
      <c r="X120" s="102" t="s">
        <v>697</v>
      </c>
      <c r="Y120" s="102" t="s">
        <v>626</v>
      </c>
      <c r="Z120" s="102" t="s">
        <v>626</v>
      </c>
      <c r="AA120" s="102" t="s">
        <v>699</v>
      </c>
      <c r="AB120" s="102" t="s">
        <v>595</v>
      </c>
      <c r="AC120" s="102" t="s">
        <v>696</v>
      </c>
      <c r="AD120" s="6" t="s">
        <v>110</v>
      </c>
      <c r="AE120" s="102" t="s">
        <v>49</v>
      </c>
      <c r="AF120" s="79"/>
    </row>
    <row r="121" spans="1:32" ht="75" hidden="1" customHeight="1">
      <c r="A121" s="6" t="s">
        <v>20</v>
      </c>
      <c r="B121" s="102" t="s">
        <v>107</v>
      </c>
      <c r="C121" s="6" t="s">
        <v>114</v>
      </c>
      <c r="D121" s="70">
        <v>15000</v>
      </c>
      <c r="E121" s="6" t="s">
        <v>48</v>
      </c>
      <c r="F121" s="6" t="s">
        <v>48</v>
      </c>
      <c r="G121" s="6" t="s">
        <v>48</v>
      </c>
      <c r="H121" s="6" t="s">
        <v>48</v>
      </c>
      <c r="I121" s="6" t="s">
        <v>48</v>
      </c>
      <c r="J121" s="6" t="s">
        <v>48</v>
      </c>
      <c r="K121" s="102" t="s">
        <v>48</v>
      </c>
      <c r="L121" s="102" t="s">
        <v>48</v>
      </c>
      <c r="M121" s="102" t="s">
        <v>48</v>
      </c>
      <c r="N121" s="6" t="s">
        <v>48</v>
      </c>
      <c r="O121" s="102" t="s">
        <v>48</v>
      </c>
      <c r="P121" s="102" t="s">
        <v>48</v>
      </c>
      <c r="Q121" s="102" t="s">
        <v>48</v>
      </c>
      <c r="R121" s="102" t="s">
        <v>48</v>
      </c>
      <c r="S121" s="102" t="s">
        <v>48</v>
      </c>
      <c r="T121" s="102" t="s">
        <v>48</v>
      </c>
      <c r="U121" s="102" t="s">
        <v>48</v>
      </c>
      <c r="V121" s="102" t="s">
        <v>109</v>
      </c>
      <c r="W121" s="102" t="str">
        <f t="shared" si="2"/>
        <v>12.0_M5B_0846.d</v>
      </c>
      <c r="X121" s="102" t="s">
        <v>697</v>
      </c>
      <c r="Y121" s="102" t="s">
        <v>626</v>
      </c>
      <c r="Z121" s="102" t="s">
        <v>626</v>
      </c>
      <c r="AA121" s="102" t="s">
        <v>699</v>
      </c>
      <c r="AB121" s="102" t="s">
        <v>595</v>
      </c>
      <c r="AC121" s="102" t="s">
        <v>696</v>
      </c>
      <c r="AD121" s="6" t="s">
        <v>110</v>
      </c>
      <c r="AE121" s="102" t="s">
        <v>49</v>
      </c>
      <c r="AF121" s="79"/>
    </row>
    <row r="122" spans="1:32" ht="75" hidden="1" customHeight="1">
      <c r="A122" s="6" t="s">
        <v>20</v>
      </c>
      <c r="B122" s="102" t="s">
        <v>107</v>
      </c>
      <c r="C122" s="6" t="s">
        <v>109</v>
      </c>
      <c r="D122" s="70">
        <v>15000</v>
      </c>
      <c r="E122" s="6" t="s">
        <v>68</v>
      </c>
      <c r="F122" s="6" t="s">
        <v>115</v>
      </c>
      <c r="G122" s="6" t="s">
        <v>697</v>
      </c>
      <c r="H122" s="6" t="s">
        <v>698</v>
      </c>
      <c r="I122" s="6" t="s">
        <v>699</v>
      </c>
      <c r="J122" s="6" t="s">
        <v>696</v>
      </c>
      <c r="K122" s="102" t="s">
        <v>48</v>
      </c>
      <c r="L122" s="102" t="s">
        <v>48</v>
      </c>
      <c r="M122" s="102" t="s">
        <v>48</v>
      </c>
      <c r="N122" s="6" t="s">
        <v>48</v>
      </c>
      <c r="O122" s="102" t="s">
        <v>48</v>
      </c>
      <c r="P122" s="102" t="s">
        <v>48</v>
      </c>
      <c r="Q122" s="102" t="s">
        <v>48</v>
      </c>
      <c r="R122" s="102" t="s">
        <v>48</v>
      </c>
      <c r="S122" s="102" t="s">
        <v>48</v>
      </c>
      <c r="T122" s="102" t="s">
        <v>48</v>
      </c>
      <c r="U122" s="102" t="s">
        <v>48</v>
      </c>
      <c r="V122" s="102" t="s">
        <v>109</v>
      </c>
      <c r="W122" s="102" t="str">
        <f t="shared" si="2"/>
        <v>12.0_M5B_0846.d</v>
      </c>
      <c r="X122" s="102" t="s">
        <v>48</v>
      </c>
      <c r="Y122" s="102" t="s">
        <v>48</v>
      </c>
      <c r="Z122" s="102" t="s">
        <v>48</v>
      </c>
      <c r="AA122" s="102" t="s">
        <v>48</v>
      </c>
      <c r="AB122" s="102" t="s">
        <v>48</v>
      </c>
      <c r="AC122" s="102" t="s">
        <v>48</v>
      </c>
      <c r="AD122" s="6" t="s">
        <v>48</v>
      </c>
      <c r="AE122" s="102" t="s">
        <v>49</v>
      </c>
      <c r="AF122" s="79"/>
    </row>
    <row r="123" spans="1:32" ht="75" hidden="1" customHeight="1">
      <c r="A123" s="102" t="s">
        <v>20</v>
      </c>
      <c r="B123" s="102" t="s">
        <v>107</v>
      </c>
      <c r="C123" s="6" t="s">
        <v>108</v>
      </c>
      <c r="D123" s="70">
        <v>30000</v>
      </c>
      <c r="E123" s="6" t="s">
        <v>48</v>
      </c>
      <c r="F123" s="6" t="s">
        <v>48</v>
      </c>
      <c r="G123" s="6" t="s">
        <v>48</v>
      </c>
      <c r="H123" s="6" t="s">
        <v>48</v>
      </c>
      <c r="I123" s="6" t="s">
        <v>48</v>
      </c>
      <c r="J123" s="6" t="s">
        <v>48</v>
      </c>
      <c r="K123" s="102" t="s">
        <v>48</v>
      </c>
      <c r="L123" s="102" t="s">
        <v>48</v>
      </c>
      <c r="M123" s="102" t="s">
        <v>48</v>
      </c>
      <c r="N123" s="6" t="s">
        <v>48</v>
      </c>
      <c r="O123" s="102" t="s">
        <v>48</v>
      </c>
      <c r="P123" s="6" t="s">
        <v>48</v>
      </c>
      <c r="Q123" s="102" t="s">
        <v>48</v>
      </c>
      <c r="R123" s="102" t="s">
        <v>48</v>
      </c>
      <c r="S123" s="102" t="s">
        <v>48</v>
      </c>
      <c r="T123" s="102" t="s">
        <v>48</v>
      </c>
      <c r="U123" s="102" t="s">
        <v>48</v>
      </c>
      <c r="V123" s="102" t="s">
        <v>109</v>
      </c>
      <c r="W123" s="102" t="str">
        <f t="shared" si="2"/>
        <v>12.0_M5B_0846.d</v>
      </c>
      <c r="X123" s="102" t="s">
        <v>697</v>
      </c>
      <c r="Y123" s="102" t="s">
        <v>626</v>
      </c>
      <c r="Z123" s="102" t="s">
        <v>626</v>
      </c>
      <c r="AA123" s="102" t="s">
        <v>699</v>
      </c>
      <c r="AB123" s="102" t="s">
        <v>595</v>
      </c>
      <c r="AC123" s="102" t="s">
        <v>696</v>
      </c>
      <c r="AD123" s="6" t="s">
        <v>110</v>
      </c>
      <c r="AE123" s="102" t="s">
        <v>49</v>
      </c>
      <c r="AF123" s="79"/>
    </row>
    <row r="124" spans="1:32" ht="75" hidden="1" customHeight="1">
      <c r="A124" s="102" t="s">
        <v>20</v>
      </c>
      <c r="B124" s="102" t="s">
        <v>107</v>
      </c>
      <c r="C124" s="6" t="s">
        <v>111</v>
      </c>
      <c r="D124" s="70">
        <v>30000</v>
      </c>
      <c r="E124" s="6" t="s">
        <v>48</v>
      </c>
      <c r="F124" s="6" t="s">
        <v>48</v>
      </c>
      <c r="G124" s="6" t="s">
        <v>48</v>
      </c>
      <c r="H124" s="6" t="s">
        <v>48</v>
      </c>
      <c r="I124" s="6" t="s">
        <v>48</v>
      </c>
      <c r="J124" s="6" t="s">
        <v>48</v>
      </c>
      <c r="K124" s="102" t="s">
        <v>48</v>
      </c>
      <c r="L124" s="6" t="s">
        <v>48</v>
      </c>
      <c r="M124" s="102" t="s">
        <v>48</v>
      </c>
      <c r="N124" s="6" t="s">
        <v>48</v>
      </c>
      <c r="O124" s="6" t="s">
        <v>48</v>
      </c>
      <c r="P124" s="6" t="s">
        <v>48</v>
      </c>
      <c r="Q124" s="6" t="s">
        <v>48</v>
      </c>
      <c r="R124" s="6" t="s">
        <v>48</v>
      </c>
      <c r="S124" s="6" t="s">
        <v>48</v>
      </c>
      <c r="T124" s="6" t="s">
        <v>48</v>
      </c>
      <c r="U124" s="6" t="s">
        <v>48</v>
      </c>
      <c r="V124" s="102" t="s">
        <v>109</v>
      </c>
      <c r="W124" s="102" t="str">
        <f t="shared" si="2"/>
        <v>12.0_M5B_0846.d</v>
      </c>
      <c r="X124" s="102" t="s">
        <v>697</v>
      </c>
      <c r="Y124" s="102" t="s">
        <v>626</v>
      </c>
      <c r="Z124" s="102" t="s">
        <v>626</v>
      </c>
      <c r="AA124" s="102" t="s">
        <v>699</v>
      </c>
      <c r="AB124" s="102" t="s">
        <v>595</v>
      </c>
      <c r="AC124" s="102" t="s">
        <v>696</v>
      </c>
      <c r="AD124" s="6" t="s">
        <v>110</v>
      </c>
      <c r="AE124" s="102" t="s">
        <v>49</v>
      </c>
      <c r="AF124" s="79"/>
    </row>
    <row r="125" spans="1:32" ht="75" hidden="1" customHeight="1">
      <c r="A125" s="6" t="s">
        <v>20</v>
      </c>
      <c r="B125" s="102" t="s">
        <v>107</v>
      </c>
      <c r="C125" s="6" t="s">
        <v>112</v>
      </c>
      <c r="D125" s="70">
        <v>30000</v>
      </c>
      <c r="E125" s="6" t="s">
        <v>48</v>
      </c>
      <c r="F125" s="6" t="s">
        <v>48</v>
      </c>
      <c r="G125" s="6" t="s">
        <v>48</v>
      </c>
      <c r="H125" s="6" t="s">
        <v>48</v>
      </c>
      <c r="I125" s="6" t="s">
        <v>48</v>
      </c>
      <c r="J125" s="6" t="s">
        <v>48</v>
      </c>
      <c r="K125" s="102" t="s">
        <v>48</v>
      </c>
      <c r="L125" s="102" t="s">
        <v>48</v>
      </c>
      <c r="M125" s="102" t="s">
        <v>48</v>
      </c>
      <c r="N125" s="102" t="s">
        <v>48</v>
      </c>
      <c r="O125" s="6" t="s">
        <v>48</v>
      </c>
      <c r="P125" s="6" t="s">
        <v>48</v>
      </c>
      <c r="Q125" s="6" t="s">
        <v>48</v>
      </c>
      <c r="R125" s="6" t="s">
        <v>48</v>
      </c>
      <c r="S125" s="6" t="s">
        <v>48</v>
      </c>
      <c r="T125" s="6" t="s">
        <v>48</v>
      </c>
      <c r="U125" s="6" t="s">
        <v>48</v>
      </c>
      <c r="V125" s="102" t="s">
        <v>109</v>
      </c>
      <c r="W125" s="102" t="str">
        <f t="shared" si="2"/>
        <v>12.0_M5B_0846.d</v>
      </c>
      <c r="X125" s="102" t="s">
        <v>697</v>
      </c>
      <c r="Y125" s="102" t="s">
        <v>626</v>
      </c>
      <c r="Z125" s="102" t="s">
        <v>626</v>
      </c>
      <c r="AA125" s="102" t="s">
        <v>699</v>
      </c>
      <c r="AB125" s="102" t="s">
        <v>595</v>
      </c>
      <c r="AC125" s="102" t="s">
        <v>696</v>
      </c>
      <c r="AD125" s="6" t="s">
        <v>110</v>
      </c>
      <c r="AE125" s="102" t="s">
        <v>49</v>
      </c>
      <c r="AF125" s="79"/>
    </row>
    <row r="126" spans="1:32" ht="75" hidden="1" customHeight="1">
      <c r="A126" s="6" t="s">
        <v>20</v>
      </c>
      <c r="B126" s="102" t="s">
        <v>107</v>
      </c>
      <c r="C126" s="6" t="s">
        <v>113</v>
      </c>
      <c r="D126" s="70">
        <v>30000</v>
      </c>
      <c r="E126" s="6" t="s">
        <v>48</v>
      </c>
      <c r="F126" s="6" t="s">
        <v>48</v>
      </c>
      <c r="G126" s="6" t="s">
        <v>48</v>
      </c>
      <c r="H126" s="6" t="s">
        <v>48</v>
      </c>
      <c r="I126" s="6" t="s">
        <v>48</v>
      </c>
      <c r="J126" s="6" t="s">
        <v>48</v>
      </c>
      <c r="K126" s="102" t="s">
        <v>48</v>
      </c>
      <c r="L126" s="102" t="s">
        <v>48</v>
      </c>
      <c r="M126" s="102" t="s">
        <v>48</v>
      </c>
      <c r="N126" s="102" t="s">
        <v>48</v>
      </c>
      <c r="O126" s="6" t="s">
        <v>48</v>
      </c>
      <c r="P126" s="6" t="s">
        <v>48</v>
      </c>
      <c r="Q126" s="6" t="s">
        <v>48</v>
      </c>
      <c r="R126" s="6" t="s">
        <v>48</v>
      </c>
      <c r="S126" s="6" t="s">
        <v>48</v>
      </c>
      <c r="T126" s="6" t="s">
        <v>48</v>
      </c>
      <c r="U126" s="6" t="s">
        <v>48</v>
      </c>
      <c r="V126" s="102" t="s">
        <v>109</v>
      </c>
      <c r="W126" s="102" t="str">
        <f t="shared" si="2"/>
        <v>12.0_M5B_0846.d</v>
      </c>
      <c r="X126" s="102" t="s">
        <v>697</v>
      </c>
      <c r="Y126" s="102" t="s">
        <v>626</v>
      </c>
      <c r="Z126" s="102" t="s">
        <v>626</v>
      </c>
      <c r="AA126" s="102" t="s">
        <v>699</v>
      </c>
      <c r="AB126" s="102" t="s">
        <v>595</v>
      </c>
      <c r="AC126" s="102" t="s">
        <v>696</v>
      </c>
      <c r="AD126" s="6" t="s">
        <v>110</v>
      </c>
      <c r="AE126" s="102" t="s">
        <v>49</v>
      </c>
      <c r="AF126" s="79"/>
    </row>
    <row r="127" spans="1:32" ht="75" hidden="1" customHeight="1">
      <c r="A127" s="6" t="s">
        <v>20</v>
      </c>
      <c r="B127" s="102" t="s">
        <v>107</v>
      </c>
      <c r="C127" s="6" t="s">
        <v>114</v>
      </c>
      <c r="D127" s="70">
        <v>30000</v>
      </c>
      <c r="E127" s="6" t="s">
        <v>48</v>
      </c>
      <c r="F127" s="6" t="s">
        <v>48</v>
      </c>
      <c r="G127" s="6" t="s">
        <v>48</v>
      </c>
      <c r="H127" s="6" t="s">
        <v>48</v>
      </c>
      <c r="I127" s="6" t="s">
        <v>48</v>
      </c>
      <c r="J127" s="6" t="s">
        <v>48</v>
      </c>
      <c r="K127" s="102" t="s">
        <v>48</v>
      </c>
      <c r="L127" s="102" t="s">
        <v>48</v>
      </c>
      <c r="M127" s="102" t="s">
        <v>48</v>
      </c>
      <c r="N127" s="102" t="s">
        <v>48</v>
      </c>
      <c r="O127" s="6" t="s">
        <v>48</v>
      </c>
      <c r="P127" s="6" t="s">
        <v>48</v>
      </c>
      <c r="Q127" s="6" t="s">
        <v>48</v>
      </c>
      <c r="R127" s="6" t="s">
        <v>48</v>
      </c>
      <c r="S127" s="6" t="s">
        <v>48</v>
      </c>
      <c r="T127" s="6" t="s">
        <v>48</v>
      </c>
      <c r="U127" s="6" t="s">
        <v>48</v>
      </c>
      <c r="V127" s="102" t="s">
        <v>109</v>
      </c>
      <c r="W127" s="102" t="str">
        <f t="shared" si="2"/>
        <v>12.0_M5B_0846.d</v>
      </c>
      <c r="X127" s="102" t="s">
        <v>697</v>
      </c>
      <c r="Y127" s="102" t="s">
        <v>626</v>
      </c>
      <c r="Z127" s="102" t="s">
        <v>626</v>
      </c>
      <c r="AA127" s="102" t="s">
        <v>699</v>
      </c>
      <c r="AB127" s="102" t="s">
        <v>595</v>
      </c>
      <c r="AC127" s="102" t="s">
        <v>696</v>
      </c>
      <c r="AD127" s="6" t="s">
        <v>110</v>
      </c>
      <c r="AE127" s="102" t="s">
        <v>49</v>
      </c>
      <c r="AF127" s="79"/>
    </row>
    <row r="128" spans="1:32" ht="75" hidden="1" customHeight="1">
      <c r="A128" s="6" t="s">
        <v>20</v>
      </c>
      <c r="B128" s="102" t="s">
        <v>107</v>
      </c>
      <c r="C128" s="6" t="s">
        <v>109</v>
      </c>
      <c r="D128" s="70">
        <v>30000</v>
      </c>
      <c r="E128" s="6" t="s">
        <v>68</v>
      </c>
      <c r="F128" s="6" t="s">
        <v>115</v>
      </c>
      <c r="G128" s="6" t="s">
        <v>697</v>
      </c>
      <c r="H128" s="6" t="s">
        <v>698</v>
      </c>
      <c r="I128" s="6" t="s">
        <v>699</v>
      </c>
      <c r="J128" s="6" t="s">
        <v>696</v>
      </c>
      <c r="K128" s="102" t="s">
        <v>48</v>
      </c>
      <c r="L128" s="102" t="s">
        <v>48</v>
      </c>
      <c r="M128" s="102" t="s">
        <v>48</v>
      </c>
      <c r="N128" s="102" t="s">
        <v>48</v>
      </c>
      <c r="O128" s="6" t="s">
        <v>48</v>
      </c>
      <c r="P128" s="6" t="s">
        <v>48</v>
      </c>
      <c r="Q128" s="6" t="s">
        <v>48</v>
      </c>
      <c r="R128" s="6" t="s">
        <v>48</v>
      </c>
      <c r="S128" s="6" t="s">
        <v>48</v>
      </c>
      <c r="T128" s="6" t="s">
        <v>48</v>
      </c>
      <c r="U128" s="6" t="s">
        <v>48</v>
      </c>
      <c r="V128" s="102" t="s">
        <v>109</v>
      </c>
      <c r="W128" s="102" t="str">
        <f t="shared" si="2"/>
        <v>12.0_M5B_0846.d</v>
      </c>
      <c r="X128" s="102" t="s">
        <v>48</v>
      </c>
      <c r="Y128" s="102" t="s">
        <v>48</v>
      </c>
      <c r="Z128" s="102" t="s">
        <v>48</v>
      </c>
      <c r="AA128" s="102" t="s">
        <v>48</v>
      </c>
      <c r="AB128" s="102" t="s">
        <v>48</v>
      </c>
      <c r="AC128" s="102" t="s">
        <v>48</v>
      </c>
      <c r="AD128" s="6" t="s">
        <v>48</v>
      </c>
      <c r="AE128" s="102" t="s">
        <v>49</v>
      </c>
      <c r="AF128" s="79"/>
    </row>
    <row r="129" spans="1:32" ht="75" hidden="1" customHeight="1">
      <c r="A129" s="6" t="s">
        <v>23</v>
      </c>
      <c r="B129" s="102" t="s">
        <v>119</v>
      </c>
      <c r="C129" s="6" t="s">
        <v>120</v>
      </c>
      <c r="D129" s="70">
        <v>15000</v>
      </c>
      <c r="E129" s="6" t="s">
        <v>76</v>
      </c>
      <c r="F129" s="6" t="s">
        <v>254</v>
      </c>
      <c r="G129" s="6" t="s">
        <v>256</v>
      </c>
      <c r="H129" s="6" t="s">
        <v>584</v>
      </c>
      <c r="I129" s="6" t="s">
        <v>255</v>
      </c>
      <c r="J129" s="6" t="s">
        <v>484</v>
      </c>
      <c r="K129" s="102" t="s">
        <v>48</v>
      </c>
      <c r="L129" s="102" t="s">
        <v>48</v>
      </c>
      <c r="M129" s="102" t="s">
        <v>48</v>
      </c>
      <c r="N129" s="102" t="s">
        <v>48</v>
      </c>
      <c r="O129" s="6" t="s">
        <v>48</v>
      </c>
      <c r="P129" s="6" t="s">
        <v>48</v>
      </c>
      <c r="Q129" s="6" t="s">
        <v>48</v>
      </c>
      <c r="R129" s="6" t="s">
        <v>48</v>
      </c>
      <c r="S129" s="6" t="s">
        <v>48</v>
      </c>
      <c r="T129" s="6" t="s">
        <v>48</v>
      </c>
      <c r="U129" s="6" t="s">
        <v>48</v>
      </c>
      <c r="V129" s="102" t="s">
        <v>130</v>
      </c>
      <c r="W129" s="102" t="s">
        <v>127</v>
      </c>
      <c r="X129" s="102" t="s">
        <v>709</v>
      </c>
      <c r="Y129" s="102" t="s">
        <v>629</v>
      </c>
      <c r="Z129" s="102" t="s">
        <v>627</v>
      </c>
      <c r="AA129" s="102" t="s">
        <v>710</v>
      </c>
      <c r="AB129" s="102" t="s">
        <v>595</v>
      </c>
      <c r="AC129" s="102" t="s">
        <v>711</v>
      </c>
      <c r="AD129" s="6" t="s">
        <v>309</v>
      </c>
      <c r="AE129" s="102" t="s">
        <v>49</v>
      </c>
      <c r="AF129" s="79"/>
    </row>
    <row r="130" spans="1:32" ht="75" hidden="1" customHeight="1">
      <c r="A130" s="102" t="s">
        <v>23</v>
      </c>
      <c r="B130" s="102" t="s">
        <v>119</v>
      </c>
      <c r="C130" s="6" t="s">
        <v>122</v>
      </c>
      <c r="D130" s="70">
        <v>15000</v>
      </c>
      <c r="E130" s="6" t="s">
        <v>76</v>
      </c>
      <c r="F130" s="6" t="s">
        <v>252</v>
      </c>
      <c r="G130" s="6" t="s">
        <v>445</v>
      </c>
      <c r="H130" s="6"/>
      <c r="I130" s="6" t="s">
        <v>468</v>
      </c>
      <c r="J130" s="6" t="s">
        <v>469</v>
      </c>
      <c r="K130" s="102" t="s">
        <v>48</v>
      </c>
      <c r="L130" s="102" t="s">
        <v>48</v>
      </c>
      <c r="M130" s="102" t="s">
        <v>48</v>
      </c>
      <c r="N130" s="102" t="s">
        <v>48</v>
      </c>
      <c r="O130" s="6" t="s">
        <v>48</v>
      </c>
      <c r="P130" s="6" t="s">
        <v>48</v>
      </c>
      <c r="Q130" s="6" t="s">
        <v>48</v>
      </c>
      <c r="R130" s="6" t="s">
        <v>48</v>
      </c>
      <c r="S130" s="6" t="s">
        <v>48</v>
      </c>
      <c r="T130" s="6" t="s">
        <v>48</v>
      </c>
      <c r="U130" s="6" t="s">
        <v>48</v>
      </c>
      <c r="V130" s="102" t="s">
        <v>130</v>
      </c>
      <c r="W130" s="102" t="s">
        <v>127</v>
      </c>
      <c r="X130" s="102" t="s">
        <v>709</v>
      </c>
      <c r="Y130" s="102" t="s">
        <v>629</v>
      </c>
      <c r="Z130" s="102" t="s">
        <v>627</v>
      </c>
      <c r="AA130" s="102" t="s">
        <v>710</v>
      </c>
      <c r="AB130" s="102" t="s">
        <v>595</v>
      </c>
      <c r="AC130" s="102" t="s">
        <v>711</v>
      </c>
      <c r="AD130" s="6" t="s">
        <v>309</v>
      </c>
      <c r="AE130" s="102" t="s">
        <v>49</v>
      </c>
      <c r="AF130" s="79"/>
    </row>
    <row r="131" spans="1:32" ht="75" hidden="1" customHeight="1">
      <c r="A131" s="102" t="s">
        <v>23</v>
      </c>
      <c r="B131" s="102" t="s">
        <v>123</v>
      </c>
      <c r="C131" s="6" t="s">
        <v>124</v>
      </c>
      <c r="D131" s="70">
        <v>15000</v>
      </c>
      <c r="E131" s="6" t="s">
        <v>95</v>
      </c>
      <c r="F131" s="6" t="s">
        <v>125</v>
      </c>
      <c r="G131" s="6" t="s">
        <v>126</v>
      </c>
      <c r="H131" s="6" t="s">
        <v>580</v>
      </c>
      <c r="I131" s="6">
        <v>5442528</v>
      </c>
      <c r="J131" s="6" t="s">
        <v>485</v>
      </c>
      <c r="K131" s="102" t="s">
        <v>48</v>
      </c>
      <c r="L131" s="102" t="s">
        <v>48</v>
      </c>
      <c r="M131" s="102" t="s">
        <v>48</v>
      </c>
      <c r="N131" s="102" t="s">
        <v>48</v>
      </c>
      <c r="O131" s="6" t="s">
        <v>48</v>
      </c>
      <c r="P131" s="6" t="s">
        <v>48</v>
      </c>
      <c r="Q131" s="6" t="s">
        <v>48</v>
      </c>
      <c r="R131" s="6" t="s">
        <v>48</v>
      </c>
      <c r="S131" s="6" t="s">
        <v>48</v>
      </c>
      <c r="T131" s="6" t="s">
        <v>48</v>
      </c>
      <c r="U131" s="6" t="s">
        <v>48</v>
      </c>
      <c r="V131" s="102" t="s">
        <v>130</v>
      </c>
      <c r="W131" s="102" t="s">
        <v>127</v>
      </c>
      <c r="X131" s="102" t="s">
        <v>709</v>
      </c>
      <c r="Y131" s="102" t="s">
        <v>629</v>
      </c>
      <c r="Z131" s="102" t="s">
        <v>627</v>
      </c>
      <c r="AA131" s="102" t="s">
        <v>710</v>
      </c>
      <c r="AB131" s="102" t="s">
        <v>595</v>
      </c>
      <c r="AC131" s="102" t="s">
        <v>711</v>
      </c>
      <c r="AD131" s="6" t="s">
        <v>309</v>
      </c>
      <c r="AE131" s="102" t="s">
        <v>49</v>
      </c>
      <c r="AF131" s="79"/>
    </row>
    <row r="132" spans="1:32" ht="75" hidden="1" customHeight="1">
      <c r="A132" s="6" t="s">
        <v>23</v>
      </c>
      <c r="B132" s="102" t="s">
        <v>123</v>
      </c>
      <c r="C132" s="6" t="s">
        <v>127</v>
      </c>
      <c r="D132" s="70">
        <v>15000</v>
      </c>
      <c r="E132" s="6" t="s">
        <v>105</v>
      </c>
      <c r="F132" s="6" t="s">
        <v>128</v>
      </c>
      <c r="G132" s="6" t="s">
        <v>126</v>
      </c>
      <c r="H132" s="6" t="s">
        <v>580</v>
      </c>
      <c r="I132" s="6">
        <v>5442528</v>
      </c>
      <c r="J132" s="6" t="s">
        <v>485</v>
      </c>
      <c r="K132" s="102" t="s">
        <v>48</v>
      </c>
      <c r="L132" s="6" t="s">
        <v>48</v>
      </c>
      <c r="M132" s="102" t="s">
        <v>48</v>
      </c>
      <c r="N132" s="6" t="s">
        <v>48</v>
      </c>
      <c r="O132" s="6" t="s">
        <v>48</v>
      </c>
      <c r="P132" s="6" t="s">
        <v>48</v>
      </c>
      <c r="Q132" s="6" t="s">
        <v>48</v>
      </c>
      <c r="R132" s="6" t="s">
        <v>48</v>
      </c>
      <c r="S132" s="6" t="s">
        <v>48</v>
      </c>
      <c r="T132" s="6" t="s">
        <v>48</v>
      </c>
      <c r="U132" s="6" t="s">
        <v>48</v>
      </c>
      <c r="V132" s="102" t="s">
        <v>130</v>
      </c>
      <c r="W132" s="102" t="s">
        <v>127</v>
      </c>
      <c r="X132" s="102" t="s">
        <v>709</v>
      </c>
      <c r="Y132" s="102" t="s">
        <v>629</v>
      </c>
      <c r="Z132" s="102" t="s">
        <v>627</v>
      </c>
      <c r="AA132" s="102" t="s">
        <v>710</v>
      </c>
      <c r="AB132" s="102" t="s">
        <v>595</v>
      </c>
      <c r="AC132" s="102" t="s">
        <v>711</v>
      </c>
      <c r="AD132" s="6" t="s">
        <v>310</v>
      </c>
      <c r="AE132" s="102" t="s">
        <v>49</v>
      </c>
      <c r="AF132" s="79"/>
    </row>
    <row r="133" spans="1:32" ht="75" hidden="1" customHeight="1">
      <c r="A133" s="6" t="s">
        <v>23</v>
      </c>
      <c r="B133" s="102" t="s">
        <v>123</v>
      </c>
      <c r="C133" s="6" t="s">
        <v>121</v>
      </c>
      <c r="D133" s="70">
        <v>15000</v>
      </c>
      <c r="E133" s="6" t="s">
        <v>105</v>
      </c>
      <c r="F133" s="6" t="s">
        <v>129</v>
      </c>
      <c r="G133" s="6" t="s">
        <v>126</v>
      </c>
      <c r="H133" s="6" t="s">
        <v>580</v>
      </c>
      <c r="I133" s="6">
        <v>5442528</v>
      </c>
      <c r="J133" s="6" t="s">
        <v>485</v>
      </c>
      <c r="K133" s="102" t="s">
        <v>48</v>
      </c>
      <c r="L133" s="6" t="s">
        <v>48</v>
      </c>
      <c r="M133" s="102" t="s">
        <v>48</v>
      </c>
      <c r="N133" s="6" t="s">
        <v>48</v>
      </c>
      <c r="O133" s="6" t="s">
        <v>48</v>
      </c>
      <c r="P133" s="6" t="s">
        <v>48</v>
      </c>
      <c r="Q133" s="6" t="s">
        <v>48</v>
      </c>
      <c r="R133" s="6" t="s">
        <v>48</v>
      </c>
      <c r="S133" s="6" t="s">
        <v>48</v>
      </c>
      <c r="T133" s="6" t="s">
        <v>48</v>
      </c>
      <c r="U133" s="6" t="s">
        <v>48</v>
      </c>
      <c r="V133" s="102" t="s">
        <v>130</v>
      </c>
      <c r="W133" s="102" t="s">
        <v>130</v>
      </c>
      <c r="X133" s="102" t="s">
        <v>703</v>
      </c>
      <c r="Y133" s="102" t="s">
        <v>629</v>
      </c>
      <c r="Z133" s="102" t="s">
        <v>627</v>
      </c>
      <c r="AA133" s="102" t="s">
        <v>702</v>
      </c>
      <c r="AB133" s="102" t="s">
        <v>595</v>
      </c>
      <c r="AC133" s="102" t="s">
        <v>704</v>
      </c>
      <c r="AD133" s="6" t="s">
        <v>310</v>
      </c>
      <c r="AE133" s="102" t="s">
        <v>49</v>
      </c>
      <c r="AF133" s="79"/>
    </row>
    <row r="134" spans="1:32" ht="75" hidden="1" customHeight="1">
      <c r="A134" s="6" t="s">
        <v>23</v>
      </c>
      <c r="B134" s="102" t="s">
        <v>132</v>
      </c>
      <c r="C134" s="6" t="s">
        <v>133</v>
      </c>
      <c r="D134" s="70">
        <v>15000</v>
      </c>
      <c r="E134" s="6" t="s">
        <v>80</v>
      </c>
      <c r="F134" s="6" t="s">
        <v>134</v>
      </c>
      <c r="G134" s="6" t="s">
        <v>126</v>
      </c>
      <c r="H134" s="6" t="s">
        <v>580</v>
      </c>
      <c r="I134" s="6">
        <v>5442528</v>
      </c>
      <c r="J134" s="6" t="s">
        <v>485</v>
      </c>
      <c r="K134" s="102" t="s">
        <v>48</v>
      </c>
      <c r="L134" s="6" t="s">
        <v>48</v>
      </c>
      <c r="M134" s="102" t="s">
        <v>48</v>
      </c>
      <c r="N134" s="6" t="s">
        <v>48</v>
      </c>
      <c r="O134" s="6" t="s">
        <v>48</v>
      </c>
      <c r="P134" s="6" t="s">
        <v>48</v>
      </c>
      <c r="Q134" s="6" t="s">
        <v>48</v>
      </c>
      <c r="R134" s="6" t="s">
        <v>48</v>
      </c>
      <c r="S134" s="6" t="s">
        <v>48</v>
      </c>
      <c r="T134" s="6" t="s">
        <v>48</v>
      </c>
      <c r="U134" s="6" t="s">
        <v>48</v>
      </c>
      <c r="V134" s="102" t="s">
        <v>130</v>
      </c>
      <c r="W134" s="102" t="s">
        <v>130</v>
      </c>
      <c r="X134" s="102" t="s">
        <v>703</v>
      </c>
      <c r="Y134" s="102" t="s">
        <v>629</v>
      </c>
      <c r="Z134" s="102" t="s">
        <v>627</v>
      </c>
      <c r="AA134" s="102" t="s">
        <v>702</v>
      </c>
      <c r="AB134" s="102" t="s">
        <v>595</v>
      </c>
      <c r="AC134" s="102" t="s">
        <v>704</v>
      </c>
      <c r="AD134" s="6" t="s">
        <v>310</v>
      </c>
      <c r="AE134" s="102" t="s">
        <v>49</v>
      </c>
      <c r="AF134" s="79"/>
    </row>
    <row r="135" spans="1:32" ht="75" hidden="1" customHeight="1">
      <c r="A135" s="6" t="s">
        <v>23</v>
      </c>
      <c r="B135" s="102" t="s">
        <v>132</v>
      </c>
      <c r="C135" s="6" t="s">
        <v>135</v>
      </c>
      <c r="D135" s="70">
        <v>15000</v>
      </c>
      <c r="E135" s="6" t="s">
        <v>80</v>
      </c>
      <c r="F135" s="6" t="s">
        <v>489</v>
      </c>
      <c r="G135" s="6" t="s">
        <v>126</v>
      </c>
      <c r="H135" s="6" t="s">
        <v>580</v>
      </c>
      <c r="I135" s="6" t="s">
        <v>436</v>
      </c>
      <c r="J135" s="6" t="s">
        <v>485</v>
      </c>
      <c r="K135" s="102" t="s">
        <v>68</v>
      </c>
      <c r="L135" s="6" t="s">
        <v>975</v>
      </c>
      <c r="M135" s="102" t="s">
        <v>440</v>
      </c>
      <c r="N135" s="6" t="s">
        <v>622</v>
      </c>
      <c r="O135" s="6" t="s">
        <v>487</v>
      </c>
      <c r="P135" s="6" t="s">
        <v>488</v>
      </c>
      <c r="Q135" s="6" t="s">
        <v>438</v>
      </c>
      <c r="R135" s="6" t="s">
        <v>136</v>
      </c>
      <c r="S135" s="6" t="s">
        <v>437</v>
      </c>
      <c r="T135" s="6"/>
      <c r="U135" s="6" t="s">
        <v>439</v>
      </c>
      <c r="V135" s="102" t="s">
        <v>130</v>
      </c>
      <c r="W135" s="102" t="str">
        <f>V135</f>
        <v>HD16.0_V03_1638.a</v>
      </c>
      <c r="X135" s="102" t="s">
        <v>705</v>
      </c>
      <c r="Y135" s="102" t="s">
        <v>766</v>
      </c>
      <c r="Z135" s="102" t="s">
        <v>766</v>
      </c>
      <c r="AA135" s="102" t="s">
        <v>706</v>
      </c>
      <c r="AB135" s="102" t="s">
        <v>595</v>
      </c>
      <c r="AC135" s="102" t="s">
        <v>707</v>
      </c>
      <c r="AD135" s="6" t="s">
        <v>441</v>
      </c>
      <c r="AE135" s="102" t="s">
        <v>49</v>
      </c>
      <c r="AF135" s="79"/>
    </row>
    <row r="136" spans="1:32" ht="75" hidden="1" customHeight="1">
      <c r="A136" s="6" t="s">
        <v>23</v>
      </c>
      <c r="B136" s="102" t="s">
        <v>132</v>
      </c>
      <c r="C136" s="6" t="s">
        <v>130</v>
      </c>
      <c r="D136" s="70">
        <v>15000</v>
      </c>
      <c r="E136" s="6" t="s">
        <v>48</v>
      </c>
      <c r="F136" s="6" t="s">
        <v>48</v>
      </c>
      <c r="G136" s="6" t="s">
        <v>48</v>
      </c>
      <c r="H136" s="6" t="s">
        <v>48</v>
      </c>
      <c r="I136" s="6" t="s">
        <v>48</v>
      </c>
      <c r="J136" s="6" t="s">
        <v>48</v>
      </c>
      <c r="K136" s="102" t="s">
        <v>48</v>
      </c>
      <c r="L136" s="6" t="s">
        <v>48</v>
      </c>
      <c r="M136" s="102" t="s">
        <v>48</v>
      </c>
      <c r="N136" s="6" t="s">
        <v>48</v>
      </c>
      <c r="O136" s="6" t="s">
        <v>48</v>
      </c>
      <c r="P136" s="6" t="s">
        <v>48</v>
      </c>
      <c r="Q136" s="6" t="s">
        <v>48</v>
      </c>
      <c r="R136" s="6" t="s">
        <v>48</v>
      </c>
      <c r="S136" s="6" t="s">
        <v>48</v>
      </c>
      <c r="T136" s="6" t="s">
        <v>48</v>
      </c>
      <c r="U136" s="6" t="s">
        <v>48</v>
      </c>
      <c r="V136" s="102" t="s">
        <v>130</v>
      </c>
      <c r="W136" s="102" t="str">
        <f>V136</f>
        <v>HD16.0_V03_1638.a</v>
      </c>
      <c r="X136" s="102" t="s">
        <v>48</v>
      </c>
      <c r="Y136" s="102" t="s">
        <v>48</v>
      </c>
      <c r="Z136" s="102" t="s">
        <v>48</v>
      </c>
      <c r="AA136" s="102" t="s">
        <v>48</v>
      </c>
      <c r="AB136" s="102" t="s">
        <v>48</v>
      </c>
      <c r="AC136" s="102" t="s">
        <v>48</v>
      </c>
      <c r="AD136" s="6" t="s">
        <v>48</v>
      </c>
      <c r="AE136" s="102" t="s">
        <v>49</v>
      </c>
      <c r="AF136" s="79"/>
    </row>
    <row r="137" spans="1:32" ht="75" hidden="1" customHeight="1">
      <c r="A137" s="102" t="s">
        <v>23</v>
      </c>
      <c r="B137" s="102" t="s">
        <v>137</v>
      </c>
      <c r="C137" s="6" t="s">
        <v>138</v>
      </c>
      <c r="D137" s="70">
        <v>15000</v>
      </c>
      <c r="E137" s="6" t="s">
        <v>68</v>
      </c>
      <c r="F137" s="6" t="s">
        <v>139</v>
      </c>
      <c r="G137" s="6">
        <v>60850</v>
      </c>
      <c r="H137" s="6" t="s">
        <v>585</v>
      </c>
      <c r="I137" s="6">
        <v>5482710</v>
      </c>
      <c r="J137" s="6" t="s">
        <v>486</v>
      </c>
      <c r="K137" s="102" t="s">
        <v>48</v>
      </c>
      <c r="L137" s="6" t="s">
        <v>48</v>
      </c>
      <c r="M137" s="102" t="s">
        <v>48</v>
      </c>
      <c r="N137" s="6" t="s">
        <v>48</v>
      </c>
      <c r="O137" s="6" t="s">
        <v>48</v>
      </c>
      <c r="P137" s="6" t="s">
        <v>48</v>
      </c>
      <c r="Q137" s="6" t="s">
        <v>48</v>
      </c>
      <c r="R137" s="6" t="s">
        <v>48</v>
      </c>
      <c r="S137" s="6" t="s">
        <v>48</v>
      </c>
      <c r="T137" s="6" t="s">
        <v>48</v>
      </c>
      <c r="U137" s="6" t="s">
        <v>48</v>
      </c>
      <c r="V137" s="102" t="s">
        <v>145</v>
      </c>
      <c r="W137" s="102" t="s">
        <v>145</v>
      </c>
      <c r="X137" s="102" t="s">
        <v>762</v>
      </c>
      <c r="Y137" s="102" t="s">
        <v>751</v>
      </c>
      <c r="Z137" s="102" t="s">
        <v>751</v>
      </c>
      <c r="AA137" s="102" t="s">
        <v>763</v>
      </c>
      <c r="AB137" s="102" t="s">
        <v>595</v>
      </c>
      <c r="AC137" s="102" t="s">
        <v>764</v>
      </c>
      <c r="AD137" s="6" t="s">
        <v>140</v>
      </c>
      <c r="AE137" s="102" t="s">
        <v>49</v>
      </c>
      <c r="AF137" s="79"/>
    </row>
    <row r="138" spans="1:32" ht="75" hidden="1" customHeight="1">
      <c r="A138" s="102" t="s">
        <v>23</v>
      </c>
      <c r="B138" s="102" t="s">
        <v>141</v>
      </c>
      <c r="C138" s="6" t="s">
        <v>570</v>
      </c>
      <c r="D138" s="70">
        <v>15000</v>
      </c>
      <c r="E138" s="6" t="s">
        <v>48</v>
      </c>
      <c r="F138" s="6" t="s">
        <v>48</v>
      </c>
      <c r="G138" s="6" t="s">
        <v>48</v>
      </c>
      <c r="H138" s="6" t="s">
        <v>48</v>
      </c>
      <c r="I138" s="6" t="s">
        <v>48</v>
      </c>
      <c r="J138" s="6" t="s">
        <v>48</v>
      </c>
      <c r="K138" s="102" t="s">
        <v>48</v>
      </c>
      <c r="L138" s="102" t="s">
        <v>48</v>
      </c>
      <c r="M138" s="102" t="s">
        <v>48</v>
      </c>
      <c r="N138" s="6" t="s">
        <v>48</v>
      </c>
      <c r="O138" s="6" t="s">
        <v>48</v>
      </c>
      <c r="P138" s="6" t="s">
        <v>48</v>
      </c>
      <c r="Q138" s="6" t="s">
        <v>48</v>
      </c>
      <c r="R138" s="6" t="s">
        <v>48</v>
      </c>
      <c r="S138" s="6" t="s">
        <v>48</v>
      </c>
      <c r="T138" s="6" t="s">
        <v>48</v>
      </c>
      <c r="U138" s="6" t="s">
        <v>48</v>
      </c>
      <c r="V138" s="102" t="s">
        <v>145</v>
      </c>
      <c r="W138" s="102" t="str">
        <f t="shared" ref="W138:W146" si="3">V138</f>
        <v>HD23.0_V03_1614.b</v>
      </c>
      <c r="X138" s="102" t="s">
        <v>146</v>
      </c>
      <c r="Y138" s="102" t="s">
        <v>628</v>
      </c>
      <c r="Z138" s="102" t="s">
        <v>628</v>
      </c>
      <c r="AA138" s="102">
        <v>5746745</v>
      </c>
      <c r="AB138" s="102" t="s">
        <v>473</v>
      </c>
      <c r="AC138" s="102" t="s">
        <v>514</v>
      </c>
      <c r="AD138" s="6" t="s">
        <v>571</v>
      </c>
      <c r="AE138" s="102" t="s">
        <v>49</v>
      </c>
      <c r="AF138" s="79"/>
    </row>
    <row r="139" spans="1:32" ht="75" hidden="1" customHeight="1">
      <c r="A139" s="6" t="s">
        <v>23</v>
      </c>
      <c r="B139" s="6" t="s">
        <v>141</v>
      </c>
      <c r="C139" s="6" t="s">
        <v>142</v>
      </c>
      <c r="D139" s="70">
        <v>15000</v>
      </c>
      <c r="E139" s="6" t="s">
        <v>48</v>
      </c>
      <c r="F139" s="6" t="s">
        <v>48</v>
      </c>
      <c r="G139" s="6" t="s">
        <v>48</v>
      </c>
      <c r="H139" s="6" t="s">
        <v>48</v>
      </c>
      <c r="I139" s="6" t="s">
        <v>48</v>
      </c>
      <c r="J139" s="6" t="s">
        <v>48</v>
      </c>
      <c r="K139" s="6" t="s">
        <v>76</v>
      </c>
      <c r="L139" s="6" t="s">
        <v>143</v>
      </c>
      <c r="M139" s="6">
        <v>60889</v>
      </c>
      <c r="N139" s="6" t="s">
        <v>620</v>
      </c>
      <c r="O139" s="6" t="s">
        <v>258</v>
      </c>
      <c r="P139" s="6" t="s">
        <v>500</v>
      </c>
      <c r="Q139" s="6" t="s">
        <v>48</v>
      </c>
      <c r="R139" s="6" t="s">
        <v>48</v>
      </c>
      <c r="S139" s="6" t="s">
        <v>48</v>
      </c>
      <c r="T139" s="6" t="s">
        <v>48</v>
      </c>
      <c r="U139" s="6" t="s">
        <v>48</v>
      </c>
      <c r="V139" s="102" t="s">
        <v>142</v>
      </c>
      <c r="W139" s="102" t="str">
        <f t="shared" si="3"/>
        <v>HD23.0_V02_1406.a</v>
      </c>
      <c r="X139" s="102" t="s">
        <v>48</v>
      </c>
      <c r="Y139" s="102" t="s">
        <v>48</v>
      </c>
      <c r="Z139" s="102" t="s">
        <v>48</v>
      </c>
      <c r="AA139" s="102" t="s">
        <v>48</v>
      </c>
      <c r="AB139" s="102" t="s">
        <v>48</v>
      </c>
      <c r="AC139" s="102" t="s">
        <v>48</v>
      </c>
      <c r="AD139" s="6" t="s">
        <v>311</v>
      </c>
      <c r="AE139" s="6" t="s">
        <v>49</v>
      </c>
      <c r="AF139" s="79"/>
    </row>
    <row r="140" spans="1:32" ht="75" hidden="1" customHeight="1">
      <c r="A140" s="6" t="s">
        <v>23</v>
      </c>
      <c r="B140" s="6" t="s">
        <v>144</v>
      </c>
      <c r="C140" s="6" t="s">
        <v>145</v>
      </c>
      <c r="D140" s="70">
        <v>15000</v>
      </c>
      <c r="E140" s="6" t="s">
        <v>48</v>
      </c>
      <c r="F140" s="6" t="s">
        <v>48</v>
      </c>
      <c r="G140" s="6" t="s">
        <v>48</v>
      </c>
      <c r="H140" s="6" t="s">
        <v>48</v>
      </c>
      <c r="I140" s="6" t="s">
        <v>48</v>
      </c>
      <c r="J140" s="6" t="s">
        <v>48</v>
      </c>
      <c r="K140" s="6" t="s">
        <v>80</v>
      </c>
      <c r="L140" s="6" t="s">
        <v>147</v>
      </c>
      <c r="M140" s="6" t="s">
        <v>499</v>
      </c>
      <c r="N140" s="6" t="s">
        <v>48</v>
      </c>
      <c r="O140" s="6" t="s">
        <v>48</v>
      </c>
      <c r="P140" s="6" t="s">
        <v>498</v>
      </c>
      <c r="Q140" s="6" t="s">
        <v>48</v>
      </c>
      <c r="R140" s="6" t="s">
        <v>48</v>
      </c>
      <c r="S140" s="6" t="s">
        <v>48</v>
      </c>
      <c r="T140" s="6" t="s">
        <v>48</v>
      </c>
      <c r="U140" s="6" t="s">
        <v>48</v>
      </c>
      <c r="V140" s="102" t="s">
        <v>145</v>
      </c>
      <c r="W140" s="102" t="str">
        <f t="shared" si="3"/>
        <v>HD23.0_V03_1614.b</v>
      </c>
      <c r="X140" s="102" t="s">
        <v>48</v>
      </c>
      <c r="Y140" s="102" t="s">
        <v>48</v>
      </c>
      <c r="Z140" s="102" t="s">
        <v>48</v>
      </c>
      <c r="AA140" s="102" t="s">
        <v>48</v>
      </c>
      <c r="AB140" s="102" t="s">
        <v>48</v>
      </c>
      <c r="AC140" s="102" t="s">
        <v>48</v>
      </c>
      <c r="AD140" s="6" t="s">
        <v>48</v>
      </c>
      <c r="AE140" s="6" t="s">
        <v>49</v>
      </c>
      <c r="AF140" s="79"/>
    </row>
    <row r="141" spans="1:32" ht="75" hidden="1" customHeight="1">
      <c r="A141" s="6" t="s">
        <v>24</v>
      </c>
      <c r="B141" s="6" t="s">
        <v>119</v>
      </c>
      <c r="C141" s="6" t="s">
        <v>120</v>
      </c>
      <c r="D141" s="70">
        <v>30000</v>
      </c>
      <c r="E141" s="6" t="s">
        <v>76</v>
      </c>
      <c r="F141" s="6" t="s">
        <v>254</v>
      </c>
      <c r="G141" s="6" t="s">
        <v>256</v>
      </c>
      <c r="H141" s="6" t="s">
        <v>586</v>
      </c>
      <c r="I141" s="6" t="s">
        <v>255</v>
      </c>
      <c r="J141" s="6" t="s">
        <v>484</v>
      </c>
      <c r="K141" s="6" t="s">
        <v>48</v>
      </c>
      <c r="L141" s="6" t="s">
        <v>48</v>
      </c>
      <c r="M141" s="6" t="s">
        <v>48</v>
      </c>
      <c r="N141" s="6" t="s">
        <v>48</v>
      </c>
      <c r="O141" s="6" t="s">
        <v>48</v>
      </c>
      <c r="P141" s="6" t="s">
        <v>48</v>
      </c>
      <c r="Q141" s="6" t="s">
        <v>48</v>
      </c>
      <c r="R141" s="6" t="s">
        <v>48</v>
      </c>
      <c r="S141" s="6" t="s">
        <v>48</v>
      </c>
      <c r="T141" s="6" t="s">
        <v>48</v>
      </c>
      <c r="U141" s="6" t="s">
        <v>48</v>
      </c>
      <c r="V141" s="102" t="s">
        <v>130</v>
      </c>
      <c r="W141" s="102" t="str">
        <f t="shared" si="3"/>
        <v>HD16.0_V03_1638.a</v>
      </c>
      <c r="X141" s="102" t="s">
        <v>131</v>
      </c>
      <c r="Y141" s="102" t="s">
        <v>628</v>
      </c>
      <c r="Z141" s="102" t="s">
        <v>628</v>
      </c>
      <c r="AA141" s="102">
        <v>5761714</v>
      </c>
      <c r="AB141" s="102" t="s">
        <v>595</v>
      </c>
      <c r="AC141" s="102" t="s">
        <v>513</v>
      </c>
      <c r="AD141" s="6" t="s">
        <v>310</v>
      </c>
      <c r="AE141" s="6" t="s">
        <v>49</v>
      </c>
      <c r="AF141" s="79"/>
    </row>
    <row r="142" spans="1:32" ht="75" hidden="1" customHeight="1">
      <c r="A142" s="6" t="s">
        <v>24</v>
      </c>
      <c r="B142" s="6" t="s">
        <v>119</v>
      </c>
      <c r="C142" s="6" t="s">
        <v>122</v>
      </c>
      <c r="D142" s="70">
        <v>30000</v>
      </c>
      <c r="E142" s="6" t="s">
        <v>76</v>
      </c>
      <c r="F142" s="6" t="s">
        <v>252</v>
      </c>
      <c r="G142" s="6" t="s">
        <v>445</v>
      </c>
      <c r="H142" s="6"/>
      <c r="I142" s="6" t="s">
        <v>468</v>
      </c>
      <c r="J142" s="6" t="s">
        <v>469</v>
      </c>
      <c r="K142" s="6" t="s">
        <v>48</v>
      </c>
      <c r="L142" s="6" t="s">
        <v>48</v>
      </c>
      <c r="M142" s="6" t="s">
        <v>48</v>
      </c>
      <c r="N142" s="6" t="s">
        <v>48</v>
      </c>
      <c r="O142" s="6" t="s">
        <v>48</v>
      </c>
      <c r="P142" s="6" t="s">
        <v>48</v>
      </c>
      <c r="Q142" s="6" t="s">
        <v>48</v>
      </c>
      <c r="R142" s="6" t="s">
        <v>48</v>
      </c>
      <c r="S142" s="6" t="s">
        <v>48</v>
      </c>
      <c r="T142" s="6" t="s">
        <v>48</v>
      </c>
      <c r="U142" s="6" t="s">
        <v>48</v>
      </c>
      <c r="V142" s="102" t="s">
        <v>130</v>
      </c>
      <c r="W142" s="102" t="str">
        <f t="shared" si="3"/>
        <v>HD16.0_V03_1638.a</v>
      </c>
      <c r="X142" s="102" t="s">
        <v>131</v>
      </c>
      <c r="Y142" s="102" t="s">
        <v>628</v>
      </c>
      <c r="Z142" s="102" t="s">
        <v>628</v>
      </c>
      <c r="AA142" s="102">
        <v>5761714</v>
      </c>
      <c r="AB142" s="102" t="s">
        <v>595</v>
      </c>
      <c r="AC142" s="102" t="s">
        <v>513</v>
      </c>
      <c r="AD142" s="6" t="s">
        <v>310</v>
      </c>
      <c r="AE142" s="6" t="s">
        <v>49</v>
      </c>
      <c r="AF142" s="79"/>
    </row>
    <row r="143" spans="1:32" ht="75" hidden="1" customHeight="1">
      <c r="A143" s="103" t="s">
        <v>24</v>
      </c>
      <c r="B143" s="103" t="s">
        <v>123</v>
      </c>
      <c r="C143" s="6" t="s">
        <v>124</v>
      </c>
      <c r="D143" s="70">
        <v>30000</v>
      </c>
      <c r="E143" s="103" t="s">
        <v>95</v>
      </c>
      <c r="F143" s="103" t="s">
        <v>125</v>
      </c>
      <c r="G143" s="6" t="s">
        <v>126</v>
      </c>
      <c r="H143" s="6" t="s">
        <v>580</v>
      </c>
      <c r="I143" s="6">
        <v>5442528</v>
      </c>
      <c r="J143" s="6" t="s">
        <v>485</v>
      </c>
      <c r="K143" s="103" t="s">
        <v>48</v>
      </c>
      <c r="L143" s="103" t="s">
        <v>48</v>
      </c>
      <c r="M143" s="103" t="s">
        <v>48</v>
      </c>
      <c r="N143" s="6" t="s">
        <v>48</v>
      </c>
      <c r="O143" s="103" t="s">
        <v>48</v>
      </c>
      <c r="P143" s="103" t="s">
        <v>48</v>
      </c>
      <c r="Q143" s="103" t="s">
        <v>48</v>
      </c>
      <c r="R143" s="103" t="s">
        <v>48</v>
      </c>
      <c r="S143" s="103" t="s">
        <v>48</v>
      </c>
      <c r="T143" s="6" t="s">
        <v>48</v>
      </c>
      <c r="U143" s="103" t="s">
        <v>48</v>
      </c>
      <c r="V143" s="102" t="s">
        <v>130</v>
      </c>
      <c r="W143" s="102" t="str">
        <f t="shared" si="3"/>
        <v>HD16.0_V03_1638.a</v>
      </c>
      <c r="X143" s="102" t="s">
        <v>131</v>
      </c>
      <c r="Y143" s="102" t="s">
        <v>628</v>
      </c>
      <c r="Z143" s="102" t="s">
        <v>628</v>
      </c>
      <c r="AA143" s="102">
        <v>5761714</v>
      </c>
      <c r="AB143" s="102" t="s">
        <v>595</v>
      </c>
      <c r="AC143" s="102" t="s">
        <v>513</v>
      </c>
      <c r="AD143" s="6" t="s">
        <v>310</v>
      </c>
      <c r="AE143" s="6" t="s">
        <v>49</v>
      </c>
      <c r="AF143" s="79"/>
    </row>
    <row r="144" spans="1:32" ht="75" hidden="1" customHeight="1">
      <c r="A144" s="103" t="s">
        <v>24</v>
      </c>
      <c r="B144" s="103" t="s">
        <v>123</v>
      </c>
      <c r="C144" s="6" t="s">
        <v>127</v>
      </c>
      <c r="D144" s="70">
        <v>30000</v>
      </c>
      <c r="E144" s="103" t="s">
        <v>105</v>
      </c>
      <c r="F144" s="103" t="s">
        <v>128</v>
      </c>
      <c r="G144" s="6" t="s">
        <v>126</v>
      </c>
      <c r="H144" s="6" t="s">
        <v>580</v>
      </c>
      <c r="I144" s="6">
        <v>5442528</v>
      </c>
      <c r="J144" s="6" t="s">
        <v>485</v>
      </c>
      <c r="K144" s="103" t="s">
        <v>48</v>
      </c>
      <c r="L144" s="103" t="s">
        <v>48</v>
      </c>
      <c r="M144" s="103" t="s">
        <v>48</v>
      </c>
      <c r="N144" s="6" t="s">
        <v>48</v>
      </c>
      <c r="O144" s="103" t="s">
        <v>48</v>
      </c>
      <c r="P144" s="103" t="s">
        <v>48</v>
      </c>
      <c r="Q144" s="103" t="s">
        <v>48</v>
      </c>
      <c r="R144" s="103" t="s">
        <v>48</v>
      </c>
      <c r="S144" s="103" t="s">
        <v>48</v>
      </c>
      <c r="T144" s="6" t="s">
        <v>48</v>
      </c>
      <c r="U144" s="103" t="s">
        <v>48</v>
      </c>
      <c r="V144" s="102" t="s">
        <v>130</v>
      </c>
      <c r="W144" s="102" t="str">
        <f t="shared" si="3"/>
        <v>HD16.0_V03_1638.a</v>
      </c>
      <c r="X144" s="102" t="s">
        <v>131</v>
      </c>
      <c r="Y144" s="102" t="s">
        <v>628</v>
      </c>
      <c r="Z144" s="102" t="s">
        <v>628</v>
      </c>
      <c r="AA144" s="102">
        <v>5761714</v>
      </c>
      <c r="AB144" s="102" t="s">
        <v>595</v>
      </c>
      <c r="AC144" s="102" t="s">
        <v>513</v>
      </c>
      <c r="AD144" s="6" t="s">
        <v>310</v>
      </c>
      <c r="AE144" s="6" t="s">
        <v>49</v>
      </c>
      <c r="AF144" s="79"/>
    </row>
    <row r="145" spans="1:32" ht="75" hidden="1" customHeight="1">
      <c r="A145" s="103" t="s">
        <v>24</v>
      </c>
      <c r="B145" s="103" t="s">
        <v>123</v>
      </c>
      <c r="C145" s="6" t="s">
        <v>121</v>
      </c>
      <c r="D145" s="70">
        <v>30000</v>
      </c>
      <c r="E145" s="103" t="s">
        <v>105</v>
      </c>
      <c r="F145" s="103" t="s">
        <v>129</v>
      </c>
      <c r="G145" s="6" t="s">
        <v>126</v>
      </c>
      <c r="H145" s="6" t="s">
        <v>580</v>
      </c>
      <c r="I145" s="6">
        <v>5442528</v>
      </c>
      <c r="J145" s="6" t="s">
        <v>485</v>
      </c>
      <c r="K145" s="103" t="s">
        <v>48</v>
      </c>
      <c r="L145" s="103" t="s">
        <v>48</v>
      </c>
      <c r="M145" s="103" t="s">
        <v>48</v>
      </c>
      <c r="N145" s="6" t="s">
        <v>48</v>
      </c>
      <c r="O145" s="103" t="s">
        <v>48</v>
      </c>
      <c r="P145" s="103" t="s">
        <v>48</v>
      </c>
      <c r="Q145" s="103" t="s">
        <v>48</v>
      </c>
      <c r="R145" s="103" t="s">
        <v>48</v>
      </c>
      <c r="S145" s="103" t="s">
        <v>48</v>
      </c>
      <c r="T145" s="6" t="s">
        <v>48</v>
      </c>
      <c r="U145" s="103" t="s">
        <v>48</v>
      </c>
      <c r="V145" s="102" t="s">
        <v>130</v>
      </c>
      <c r="W145" s="102" t="str">
        <f t="shared" si="3"/>
        <v>HD16.0_V03_1638.a</v>
      </c>
      <c r="X145" s="102" t="s">
        <v>131</v>
      </c>
      <c r="Y145" s="102" t="s">
        <v>628</v>
      </c>
      <c r="Z145" s="102" t="s">
        <v>628</v>
      </c>
      <c r="AA145" s="102">
        <v>5761714</v>
      </c>
      <c r="AB145" s="102" t="s">
        <v>595</v>
      </c>
      <c r="AC145" s="102" t="s">
        <v>513</v>
      </c>
      <c r="AD145" s="6" t="s">
        <v>310</v>
      </c>
      <c r="AE145" s="6" t="s">
        <v>49</v>
      </c>
      <c r="AF145" s="79"/>
    </row>
    <row r="146" spans="1:32" ht="75" hidden="1" customHeight="1">
      <c r="A146" s="6" t="s">
        <v>24</v>
      </c>
      <c r="B146" s="6" t="s">
        <v>132</v>
      </c>
      <c r="C146" s="6" t="s">
        <v>133</v>
      </c>
      <c r="D146" s="70">
        <v>30000</v>
      </c>
      <c r="E146" s="6" t="s">
        <v>80</v>
      </c>
      <c r="F146" s="6" t="s">
        <v>134</v>
      </c>
      <c r="G146" s="6" t="s">
        <v>126</v>
      </c>
      <c r="H146" s="6" t="s">
        <v>580</v>
      </c>
      <c r="I146" s="6">
        <v>5442528</v>
      </c>
      <c r="J146" s="6" t="s">
        <v>485</v>
      </c>
      <c r="K146" s="102" t="s">
        <v>48</v>
      </c>
      <c r="L146" s="6" t="s">
        <v>48</v>
      </c>
      <c r="M146" s="102" t="s">
        <v>48</v>
      </c>
      <c r="N146" s="6" t="s">
        <v>48</v>
      </c>
      <c r="O146" s="6" t="s">
        <v>48</v>
      </c>
      <c r="P146" s="6" t="s">
        <v>48</v>
      </c>
      <c r="Q146" s="6" t="s">
        <v>48</v>
      </c>
      <c r="R146" s="6" t="s">
        <v>48</v>
      </c>
      <c r="S146" s="6" t="s">
        <v>48</v>
      </c>
      <c r="T146" s="6" t="s">
        <v>48</v>
      </c>
      <c r="U146" s="6" t="s">
        <v>48</v>
      </c>
      <c r="V146" s="102" t="s">
        <v>130</v>
      </c>
      <c r="W146" s="102" t="str">
        <f t="shared" si="3"/>
        <v>HD16.0_V03_1638.a</v>
      </c>
      <c r="X146" s="102" t="s">
        <v>131</v>
      </c>
      <c r="Y146" s="102" t="s">
        <v>628</v>
      </c>
      <c r="Z146" s="102" t="s">
        <v>628</v>
      </c>
      <c r="AA146" s="102">
        <v>5761714</v>
      </c>
      <c r="AB146" s="102" t="s">
        <v>595</v>
      </c>
      <c r="AC146" s="102" t="s">
        <v>513</v>
      </c>
      <c r="AD146" s="6" t="s">
        <v>310</v>
      </c>
      <c r="AE146" s="6" t="s">
        <v>49</v>
      </c>
      <c r="AF146" s="79"/>
    </row>
    <row r="147" spans="1:32" ht="75" hidden="1" customHeight="1">
      <c r="A147" s="6" t="s">
        <v>24</v>
      </c>
      <c r="B147" s="6" t="s">
        <v>132</v>
      </c>
      <c r="C147" s="6" t="s">
        <v>135</v>
      </c>
      <c r="D147" s="70">
        <v>30000</v>
      </c>
      <c r="E147" s="6" t="s">
        <v>80</v>
      </c>
      <c r="F147" s="6" t="s">
        <v>489</v>
      </c>
      <c r="G147" s="6" t="s">
        <v>126</v>
      </c>
      <c r="H147" s="6" t="s">
        <v>580</v>
      </c>
      <c r="I147" s="6" t="s">
        <v>436</v>
      </c>
      <c r="J147" s="6" t="s">
        <v>485</v>
      </c>
      <c r="K147" s="102" t="s">
        <v>68</v>
      </c>
      <c r="L147" s="6" t="s">
        <v>136</v>
      </c>
      <c r="M147" s="102" t="s">
        <v>440</v>
      </c>
      <c r="N147" s="6" t="s">
        <v>622</v>
      </c>
      <c r="O147" s="6" t="s">
        <v>487</v>
      </c>
      <c r="P147" s="6" t="s">
        <v>488</v>
      </c>
      <c r="Q147" s="6" t="s">
        <v>438</v>
      </c>
      <c r="R147" s="6" t="s">
        <v>136</v>
      </c>
      <c r="S147" s="6" t="s">
        <v>437</v>
      </c>
      <c r="T147" s="6"/>
      <c r="U147" s="6" t="s">
        <v>439</v>
      </c>
      <c r="V147" s="102" t="s">
        <v>130</v>
      </c>
      <c r="W147" s="102" t="s">
        <v>1693</v>
      </c>
      <c r="X147" s="102" t="s">
        <v>131</v>
      </c>
      <c r="Y147" s="102" t="s">
        <v>628</v>
      </c>
      <c r="Z147" s="102" t="s">
        <v>628</v>
      </c>
      <c r="AA147" s="102">
        <v>5761714</v>
      </c>
      <c r="AB147" s="102" t="s">
        <v>595</v>
      </c>
      <c r="AC147" s="102" t="s">
        <v>513</v>
      </c>
      <c r="AD147" s="6" t="s">
        <v>310</v>
      </c>
      <c r="AE147" s="6" t="s">
        <v>49</v>
      </c>
      <c r="AF147" s="79"/>
    </row>
    <row r="148" spans="1:32" ht="75" hidden="1" customHeight="1">
      <c r="A148" s="6" t="s">
        <v>24</v>
      </c>
      <c r="B148" s="6" t="s">
        <v>132</v>
      </c>
      <c r="C148" s="6" t="s">
        <v>130</v>
      </c>
      <c r="D148" s="70">
        <v>30000</v>
      </c>
      <c r="E148" s="6" t="s">
        <v>48</v>
      </c>
      <c r="F148" s="6" t="s">
        <v>48</v>
      </c>
      <c r="G148" s="6" t="s">
        <v>48</v>
      </c>
      <c r="H148" s="6" t="s">
        <v>48</v>
      </c>
      <c r="I148" s="6" t="s">
        <v>48</v>
      </c>
      <c r="J148" s="6" t="s">
        <v>48</v>
      </c>
      <c r="K148" s="102" t="s">
        <v>48</v>
      </c>
      <c r="L148" s="6" t="s">
        <v>48</v>
      </c>
      <c r="M148" s="102" t="s">
        <v>48</v>
      </c>
      <c r="N148" s="6" t="s">
        <v>48</v>
      </c>
      <c r="O148" s="6" t="s">
        <v>48</v>
      </c>
      <c r="P148" s="6" t="s">
        <v>48</v>
      </c>
      <c r="Q148" s="6" t="s">
        <v>48</v>
      </c>
      <c r="R148" s="6" t="s">
        <v>48</v>
      </c>
      <c r="S148" s="6" t="s">
        <v>48</v>
      </c>
      <c r="T148" s="6" t="s">
        <v>48</v>
      </c>
      <c r="U148" s="6" t="s">
        <v>48</v>
      </c>
      <c r="V148" s="102" t="s">
        <v>130</v>
      </c>
      <c r="W148" s="102" t="str">
        <f t="shared" ref="W148:W162" si="4">V148</f>
        <v>HD16.0_V03_1638.a</v>
      </c>
      <c r="X148" s="102" t="s">
        <v>48</v>
      </c>
      <c r="Y148" s="102" t="s">
        <v>48</v>
      </c>
      <c r="Z148" s="102" t="s">
        <v>48</v>
      </c>
      <c r="AA148" s="102" t="s">
        <v>48</v>
      </c>
      <c r="AB148" s="102" t="s">
        <v>48</v>
      </c>
      <c r="AC148" s="102" t="s">
        <v>48</v>
      </c>
      <c r="AD148" s="6" t="s">
        <v>310</v>
      </c>
      <c r="AE148" s="6" t="s">
        <v>49</v>
      </c>
      <c r="AF148" s="79"/>
    </row>
    <row r="149" spans="1:32" ht="75" hidden="1" customHeight="1">
      <c r="A149" s="6" t="s">
        <v>24</v>
      </c>
      <c r="B149" s="6" t="s">
        <v>137</v>
      </c>
      <c r="C149" s="6" t="s">
        <v>138</v>
      </c>
      <c r="D149" s="70">
        <v>30000</v>
      </c>
      <c r="E149" s="6" t="s">
        <v>68</v>
      </c>
      <c r="F149" s="6" t="s">
        <v>139</v>
      </c>
      <c r="G149" s="6">
        <v>60850</v>
      </c>
      <c r="H149" s="6" t="s">
        <v>585</v>
      </c>
      <c r="I149" s="6">
        <v>5482710</v>
      </c>
      <c r="J149" s="6" t="s">
        <v>486</v>
      </c>
      <c r="K149" s="102" t="s">
        <v>48</v>
      </c>
      <c r="L149" s="102" t="s">
        <v>48</v>
      </c>
      <c r="M149" s="102" t="s">
        <v>48</v>
      </c>
      <c r="N149" s="6" t="s">
        <v>48</v>
      </c>
      <c r="O149" s="6" t="s">
        <v>48</v>
      </c>
      <c r="P149" s="6" t="s">
        <v>48</v>
      </c>
      <c r="Q149" s="6" t="s">
        <v>48</v>
      </c>
      <c r="R149" s="6" t="s">
        <v>48</v>
      </c>
      <c r="S149" s="6" t="s">
        <v>48</v>
      </c>
      <c r="T149" s="6" t="s">
        <v>48</v>
      </c>
      <c r="U149" s="6" t="s">
        <v>48</v>
      </c>
      <c r="V149" s="102" t="s">
        <v>145</v>
      </c>
      <c r="W149" s="102" t="str">
        <f t="shared" si="4"/>
        <v>HD23.0_V03_1614.b</v>
      </c>
      <c r="X149" s="102" t="s">
        <v>146</v>
      </c>
      <c r="Y149" s="102" t="s">
        <v>628</v>
      </c>
      <c r="Z149" s="102" t="s">
        <v>628</v>
      </c>
      <c r="AA149" s="102">
        <v>5746745</v>
      </c>
      <c r="AB149" s="102" t="s">
        <v>595</v>
      </c>
      <c r="AC149" s="102" t="s">
        <v>514</v>
      </c>
      <c r="AD149" s="6" t="s">
        <v>312</v>
      </c>
      <c r="AE149" s="6" t="s">
        <v>49</v>
      </c>
      <c r="AF149" s="79"/>
    </row>
    <row r="150" spans="1:32" ht="75" hidden="1" customHeight="1">
      <c r="A150" s="6" t="s">
        <v>24</v>
      </c>
      <c r="B150" s="6" t="s">
        <v>141</v>
      </c>
      <c r="C150" s="6" t="s">
        <v>142</v>
      </c>
      <c r="D150" s="70">
        <v>30000</v>
      </c>
      <c r="E150" s="6" t="s">
        <v>48</v>
      </c>
      <c r="F150" s="6" t="s">
        <v>48</v>
      </c>
      <c r="G150" s="6" t="s">
        <v>48</v>
      </c>
      <c r="H150" s="6" t="s">
        <v>48</v>
      </c>
      <c r="I150" s="6" t="s">
        <v>48</v>
      </c>
      <c r="J150" s="6" t="s">
        <v>48</v>
      </c>
      <c r="K150" s="102" t="s">
        <v>76</v>
      </c>
      <c r="L150" s="6" t="s">
        <v>143</v>
      </c>
      <c r="M150" s="102">
        <v>60889</v>
      </c>
      <c r="N150" s="6" t="s">
        <v>620</v>
      </c>
      <c r="O150" s="6" t="s">
        <v>258</v>
      </c>
      <c r="P150" s="6" t="s">
        <v>500</v>
      </c>
      <c r="Q150" s="6" t="s">
        <v>48</v>
      </c>
      <c r="R150" s="6" t="s">
        <v>48</v>
      </c>
      <c r="S150" s="6" t="s">
        <v>48</v>
      </c>
      <c r="T150" s="6" t="s">
        <v>48</v>
      </c>
      <c r="U150" s="6" t="s">
        <v>48</v>
      </c>
      <c r="V150" s="102" t="s">
        <v>145</v>
      </c>
      <c r="W150" s="102" t="str">
        <f t="shared" si="4"/>
        <v>HD23.0_V03_1614.b</v>
      </c>
      <c r="X150" s="102" t="s">
        <v>146</v>
      </c>
      <c r="Y150" s="102" t="s">
        <v>628</v>
      </c>
      <c r="Z150" s="102" t="s">
        <v>628</v>
      </c>
      <c r="AA150" s="102">
        <v>5746745</v>
      </c>
      <c r="AB150" s="102" t="s">
        <v>595</v>
      </c>
      <c r="AC150" s="102" t="s">
        <v>514</v>
      </c>
      <c r="AD150" s="6" t="s">
        <v>312</v>
      </c>
      <c r="AE150" s="6" t="s">
        <v>49</v>
      </c>
      <c r="AF150" s="79"/>
    </row>
    <row r="151" spans="1:32" ht="75" hidden="1" customHeight="1">
      <c r="A151" s="6" t="s">
        <v>24</v>
      </c>
      <c r="B151" s="6" t="s">
        <v>144</v>
      </c>
      <c r="C151" s="6" t="s">
        <v>145</v>
      </c>
      <c r="D151" s="70">
        <v>30000</v>
      </c>
      <c r="E151" s="6" t="s">
        <v>48</v>
      </c>
      <c r="F151" s="6" t="s">
        <v>48</v>
      </c>
      <c r="G151" s="6" t="s">
        <v>48</v>
      </c>
      <c r="H151" s="6" t="s">
        <v>48</v>
      </c>
      <c r="I151" s="6" t="s">
        <v>48</v>
      </c>
      <c r="J151" s="6" t="s">
        <v>48</v>
      </c>
      <c r="K151" s="102" t="s">
        <v>80</v>
      </c>
      <c r="L151" s="6" t="s">
        <v>147</v>
      </c>
      <c r="M151" s="102" t="s">
        <v>499</v>
      </c>
      <c r="N151" s="6" t="s">
        <v>48</v>
      </c>
      <c r="O151" s="6" t="s">
        <v>48</v>
      </c>
      <c r="P151" s="6" t="s">
        <v>498</v>
      </c>
      <c r="Q151" s="6" t="s">
        <v>48</v>
      </c>
      <c r="R151" s="6" t="s">
        <v>48</v>
      </c>
      <c r="S151" s="6" t="s">
        <v>48</v>
      </c>
      <c r="T151" s="6" t="s">
        <v>48</v>
      </c>
      <c r="U151" s="6" t="s">
        <v>48</v>
      </c>
      <c r="V151" s="102" t="s">
        <v>145</v>
      </c>
      <c r="W151" s="102" t="str">
        <f t="shared" si="4"/>
        <v>HD23.0_V03_1614.b</v>
      </c>
      <c r="X151" s="102" t="s">
        <v>48</v>
      </c>
      <c r="Y151" s="102" t="s">
        <v>48</v>
      </c>
      <c r="Z151" s="102" t="s">
        <v>48</v>
      </c>
      <c r="AA151" s="102" t="s">
        <v>48</v>
      </c>
      <c r="AB151" s="102" t="s">
        <v>48</v>
      </c>
      <c r="AC151" s="102" t="s">
        <v>48</v>
      </c>
      <c r="AD151" s="6" t="s">
        <v>312</v>
      </c>
      <c r="AE151" s="6" t="s">
        <v>49</v>
      </c>
      <c r="AF151" s="79"/>
    </row>
    <row r="152" spans="1:32" ht="75" hidden="1" customHeight="1">
      <c r="A152" s="6" t="s">
        <v>1</v>
      </c>
      <c r="B152" s="6" t="s">
        <v>52</v>
      </c>
      <c r="C152" s="6" t="s">
        <v>53</v>
      </c>
      <c r="D152" s="70">
        <v>15000</v>
      </c>
      <c r="E152" s="6" t="s">
        <v>48</v>
      </c>
      <c r="F152" s="6" t="s">
        <v>48</v>
      </c>
      <c r="G152" s="6" t="s">
        <v>48</v>
      </c>
      <c r="H152" s="6" t="s">
        <v>48</v>
      </c>
      <c r="I152" s="6" t="s">
        <v>48</v>
      </c>
      <c r="J152" s="6" t="s">
        <v>48</v>
      </c>
      <c r="K152" s="102" t="s">
        <v>48</v>
      </c>
      <c r="L152" s="102" t="s">
        <v>48</v>
      </c>
      <c r="M152" s="102" t="s">
        <v>48</v>
      </c>
      <c r="N152" s="102" t="s">
        <v>48</v>
      </c>
      <c r="O152" s="102" t="s">
        <v>48</v>
      </c>
      <c r="P152" s="102" t="s">
        <v>48</v>
      </c>
      <c r="Q152" s="6" t="s">
        <v>48</v>
      </c>
      <c r="R152" s="6" t="s">
        <v>48</v>
      </c>
      <c r="S152" s="6" t="s">
        <v>48</v>
      </c>
      <c r="T152" s="6" t="s">
        <v>48</v>
      </c>
      <c r="U152" s="6" t="s">
        <v>48</v>
      </c>
      <c r="V152" s="102" t="s">
        <v>53</v>
      </c>
      <c r="W152" s="102" t="str">
        <f t="shared" si="4"/>
        <v>5.3.2</v>
      </c>
      <c r="X152" s="102" t="s">
        <v>48</v>
      </c>
      <c r="Y152" s="102" t="s">
        <v>48</v>
      </c>
      <c r="Z152" s="102" t="s">
        <v>48</v>
      </c>
      <c r="AA152" s="102" t="s">
        <v>48</v>
      </c>
      <c r="AB152" s="102" t="s">
        <v>48</v>
      </c>
      <c r="AC152" s="102" t="s">
        <v>48</v>
      </c>
      <c r="AD152" s="6" t="s">
        <v>48</v>
      </c>
      <c r="AE152" s="6" t="s">
        <v>49</v>
      </c>
      <c r="AF152" s="79"/>
    </row>
    <row r="153" spans="1:32" ht="75" hidden="1" customHeight="1">
      <c r="A153" s="6" t="s">
        <v>1</v>
      </c>
      <c r="B153" s="6" t="s">
        <v>54</v>
      </c>
      <c r="C153" s="6" t="s">
        <v>55</v>
      </c>
      <c r="D153" s="70">
        <v>15000</v>
      </c>
      <c r="E153" s="6" t="s">
        <v>48</v>
      </c>
      <c r="F153" s="6" t="s">
        <v>48</v>
      </c>
      <c r="G153" s="6" t="s">
        <v>48</v>
      </c>
      <c r="H153" s="6" t="s">
        <v>48</v>
      </c>
      <c r="I153" s="6" t="s">
        <v>48</v>
      </c>
      <c r="J153" s="6" t="s">
        <v>48</v>
      </c>
      <c r="K153" s="102" t="s">
        <v>48</v>
      </c>
      <c r="L153" s="102" t="s">
        <v>48</v>
      </c>
      <c r="M153" s="102" t="s">
        <v>56</v>
      </c>
      <c r="N153" s="102" t="s">
        <v>48</v>
      </c>
      <c r="O153" s="102"/>
      <c r="P153" s="102"/>
      <c r="Q153" s="6" t="s">
        <v>48</v>
      </c>
      <c r="R153" s="6" t="s">
        <v>48</v>
      </c>
      <c r="S153" s="6" t="s">
        <v>48</v>
      </c>
      <c r="T153" s="6" t="s">
        <v>48</v>
      </c>
      <c r="U153" s="6" t="s">
        <v>48</v>
      </c>
      <c r="V153" s="102" t="s">
        <v>55</v>
      </c>
      <c r="W153" s="102" t="str">
        <f t="shared" si="4"/>
        <v>5.4.3 / 5.4.3z</v>
      </c>
      <c r="X153" s="102" t="s">
        <v>48</v>
      </c>
      <c r="Y153" s="102" t="s">
        <v>48</v>
      </c>
      <c r="Z153" s="102" t="s">
        <v>48</v>
      </c>
      <c r="AA153" s="102" t="s">
        <v>48</v>
      </c>
      <c r="AB153" s="102" t="s">
        <v>48</v>
      </c>
      <c r="AC153" s="102" t="s">
        <v>48</v>
      </c>
      <c r="AD153" s="6" t="s">
        <v>641</v>
      </c>
      <c r="AE153" s="6" t="s">
        <v>49</v>
      </c>
      <c r="AF153" s="79"/>
    </row>
    <row r="154" spans="1:32" ht="75" hidden="1" customHeight="1">
      <c r="A154" s="6" t="s">
        <v>1</v>
      </c>
      <c r="B154" s="6" t="s">
        <v>57</v>
      </c>
      <c r="C154" s="6">
        <v>5.5</v>
      </c>
      <c r="D154" s="70">
        <v>15000</v>
      </c>
      <c r="E154" s="6" t="s">
        <v>48</v>
      </c>
      <c r="F154" s="6" t="s">
        <v>48</v>
      </c>
      <c r="G154" s="6" t="s">
        <v>48</v>
      </c>
      <c r="H154" s="6" t="s">
        <v>48</v>
      </c>
      <c r="I154" s="6" t="s">
        <v>48</v>
      </c>
      <c r="J154" s="6" t="s">
        <v>48</v>
      </c>
      <c r="K154" s="102" t="s">
        <v>48</v>
      </c>
      <c r="L154" s="102" t="s">
        <v>48</v>
      </c>
      <c r="M154" s="102" t="s">
        <v>48</v>
      </c>
      <c r="N154" s="102" t="s">
        <v>48</v>
      </c>
      <c r="O154" s="102" t="s">
        <v>48</v>
      </c>
      <c r="P154" s="102" t="s">
        <v>48</v>
      </c>
      <c r="Q154" s="6" t="s">
        <v>48</v>
      </c>
      <c r="R154" s="6" t="s">
        <v>48</v>
      </c>
      <c r="S154" s="6" t="s">
        <v>48</v>
      </c>
      <c r="T154" s="6" t="s">
        <v>48</v>
      </c>
      <c r="U154" s="6" t="s">
        <v>48</v>
      </c>
      <c r="V154" s="102">
        <v>5.5</v>
      </c>
      <c r="W154" s="102">
        <f t="shared" si="4"/>
        <v>5.5</v>
      </c>
      <c r="X154" s="102" t="s">
        <v>48</v>
      </c>
      <c r="Y154" s="102" t="s">
        <v>48</v>
      </c>
      <c r="Z154" s="102" t="s">
        <v>48</v>
      </c>
      <c r="AA154" s="102" t="s">
        <v>48</v>
      </c>
      <c r="AB154" s="102" t="s">
        <v>48</v>
      </c>
      <c r="AC154" s="102" t="s">
        <v>48</v>
      </c>
      <c r="AD154" s="6" t="s">
        <v>48</v>
      </c>
      <c r="AE154" s="6" t="s">
        <v>49</v>
      </c>
      <c r="AF154" s="79"/>
    </row>
    <row r="155" spans="1:32" ht="75" hidden="1" customHeight="1">
      <c r="A155" s="6" t="s">
        <v>1</v>
      </c>
      <c r="B155" s="6" t="s">
        <v>58</v>
      </c>
      <c r="C155" s="6">
        <v>5.6</v>
      </c>
      <c r="D155" s="70">
        <v>15000</v>
      </c>
      <c r="E155" s="6" t="s">
        <v>48</v>
      </c>
      <c r="F155" s="6" t="s">
        <v>48</v>
      </c>
      <c r="G155" s="6" t="s">
        <v>48</v>
      </c>
      <c r="H155" s="6" t="s">
        <v>48</v>
      </c>
      <c r="I155" s="6" t="s">
        <v>48</v>
      </c>
      <c r="J155" s="6" t="s">
        <v>48</v>
      </c>
      <c r="K155" s="102" t="s">
        <v>48</v>
      </c>
      <c r="L155" s="102" t="s">
        <v>48</v>
      </c>
      <c r="M155" s="102" t="s">
        <v>48</v>
      </c>
      <c r="N155" s="102" t="s">
        <v>48</v>
      </c>
      <c r="O155" s="102" t="s">
        <v>48</v>
      </c>
      <c r="P155" s="102" t="s">
        <v>48</v>
      </c>
      <c r="Q155" s="6" t="s">
        <v>48</v>
      </c>
      <c r="R155" s="6" t="s">
        <v>48</v>
      </c>
      <c r="S155" s="6" t="s">
        <v>48</v>
      </c>
      <c r="T155" s="6" t="s">
        <v>48</v>
      </c>
      <c r="U155" s="6" t="s">
        <v>48</v>
      </c>
      <c r="V155" s="102">
        <v>5.6</v>
      </c>
      <c r="W155" s="102">
        <f t="shared" si="4"/>
        <v>5.6</v>
      </c>
      <c r="X155" s="102" t="s">
        <v>48</v>
      </c>
      <c r="Y155" s="102" t="s">
        <v>48</v>
      </c>
      <c r="Z155" s="102" t="s">
        <v>48</v>
      </c>
      <c r="AA155" s="102" t="s">
        <v>48</v>
      </c>
      <c r="AB155" s="102" t="s">
        <v>48</v>
      </c>
      <c r="AC155" s="102" t="s">
        <v>48</v>
      </c>
      <c r="AD155" s="6" t="s">
        <v>48</v>
      </c>
      <c r="AE155" s="6" t="s">
        <v>49</v>
      </c>
      <c r="AF155" s="79"/>
    </row>
    <row r="156" spans="1:32" ht="75" hidden="1" customHeight="1">
      <c r="A156" s="6" t="s">
        <v>1</v>
      </c>
      <c r="B156" s="6" t="s">
        <v>59</v>
      </c>
      <c r="C156" s="6">
        <v>5.7</v>
      </c>
      <c r="D156" s="70">
        <v>15000</v>
      </c>
      <c r="E156" s="6" t="s">
        <v>48</v>
      </c>
      <c r="F156" s="6" t="s">
        <v>48</v>
      </c>
      <c r="G156" s="6" t="s">
        <v>48</v>
      </c>
      <c r="H156" s="6" t="s">
        <v>48</v>
      </c>
      <c r="I156" s="6" t="s">
        <v>48</v>
      </c>
      <c r="J156" s="6" t="s">
        <v>48</v>
      </c>
      <c r="K156" s="102" t="s">
        <v>48</v>
      </c>
      <c r="L156" s="102" t="s">
        <v>48</v>
      </c>
      <c r="M156" s="102" t="s">
        <v>48</v>
      </c>
      <c r="N156" s="102" t="s">
        <v>48</v>
      </c>
      <c r="O156" s="102" t="s">
        <v>48</v>
      </c>
      <c r="P156" s="102" t="s">
        <v>48</v>
      </c>
      <c r="Q156" s="6" t="s">
        <v>48</v>
      </c>
      <c r="R156" s="6" t="s">
        <v>48</v>
      </c>
      <c r="S156" s="6" t="s">
        <v>48</v>
      </c>
      <c r="T156" s="6" t="s">
        <v>48</v>
      </c>
      <c r="U156" s="6" t="s">
        <v>48</v>
      </c>
      <c r="V156" s="102">
        <v>5.7</v>
      </c>
      <c r="W156" s="102">
        <f t="shared" si="4"/>
        <v>5.7</v>
      </c>
      <c r="X156" s="102" t="s">
        <v>48</v>
      </c>
      <c r="Y156" s="102" t="s">
        <v>48</v>
      </c>
      <c r="Z156" s="102" t="s">
        <v>48</v>
      </c>
      <c r="AA156" s="102" t="s">
        <v>48</v>
      </c>
      <c r="AB156" s="102" t="s">
        <v>48</v>
      </c>
      <c r="AC156" s="102" t="s">
        <v>48</v>
      </c>
      <c r="AD156" s="6" t="s">
        <v>48</v>
      </c>
      <c r="AE156" s="6" t="s">
        <v>49</v>
      </c>
      <c r="AF156" s="79"/>
    </row>
    <row r="157" spans="1:32" ht="75" hidden="1" customHeight="1">
      <c r="A157" s="6" t="s">
        <v>1</v>
      </c>
      <c r="B157" s="6" t="s">
        <v>60</v>
      </c>
      <c r="C157" s="6">
        <v>5.8</v>
      </c>
      <c r="D157" s="70">
        <v>15000</v>
      </c>
      <c r="E157" s="6" t="s">
        <v>48</v>
      </c>
      <c r="F157" s="6" t="s">
        <v>48</v>
      </c>
      <c r="G157" s="6" t="s">
        <v>48</v>
      </c>
      <c r="H157" s="6" t="s">
        <v>48</v>
      </c>
      <c r="I157" s="6" t="s">
        <v>48</v>
      </c>
      <c r="J157" s="6" t="s">
        <v>48</v>
      </c>
      <c r="K157" s="102" t="s">
        <v>48</v>
      </c>
      <c r="L157" s="102" t="s">
        <v>48</v>
      </c>
      <c r="M157" s="102" t="s">
        <v>48</v>
      </c>
      <c r="N157" s="102" t="s">
        <v>48</v>
      </c>
      <c r="O157" s="102" t="s">
        <v>48</v>
      </c>
      <c r="P157" s="102" t="s">
        <v>48</v>
      </c>
      <c r="Q157" s="6" t="s">
        <v>48</v>
      </c>
      <c r="R157" s="6" t="s">
        <v>48</v>
      </c>
      <c r="S157" s="6" t="s">
        <v>48</v>
      </c>
      <c r="T157" s="6" t="s">
        <v>48</v>
      </c>
      <c r="U157" s="6" t="s">
        <v>48</v>
      </c>
      <c r="V157" s="102">
        <v>5.8</v>
      </c>
      <c r="W157" s="102">
        <f t="shared" si="4"/>
        <v>5.8</v>
      </c>
      <c r="X157" s="102" t="s">
        <v>48</v>
      </c>
      <c r="Y157" s="102" t="s">
        <v>48</v>
      </c>
      <c r="Z157" s="102" t="s">
        <v>48</v>
      </c>
      <c r="AA157" s="102" t="s">
        <v>48</v>
      </c>
      <c r="AB157" s="102" t="s">
        <v>48</v>
      </c>
      <c r="AC157" s="102" t="s">
        <v>48</v>
      </c>
      <c r="AD157" s="6" t="s">
        <v>48</v>
      </c>
      <c r="AE157" s="6" t="s">
        <v>49</v>
      </c>
      <c r="AF157" s="79"/>
    </row>
    <row r="158" spans="1:32" ht="75" hidden="1" customHeight="1">
      <c r="A158" s="6" t="s">
        <v>6</v>
      </c>
      <c r="B158" s="6">
        <v>8.3000000000000007</v>
      </c>
      <c r="C158" s="6" t="s">
        <v>69</v>
      </c>
      <c r="D158" s="70">
        <v>15000</v>
      </c>
      <c r="E158" s="6" t="s">
        <v>48</v>
      </c>
      <c r="F158" s="6" t="s">
        <v>48</v>
      </c>
      <c r="G158" s="6" t="s">
        <v>48</v>
      </c>
      <c r="H158" s="6" t="s">
        <v>48</v>
      </c>
      <c r="I158" s="6" t="s">
        <v>48</v>
      </c>
      <c r="J158" s="6" t="s">
        <v>48</v>
      </c>
      <c r="K158" s="102" t="s">
        <v>48</v>
      </c>
      <c r="L158" s="102" t="s">
        <v>48</v>
      </c>
      <c r="M158" s="102" t="s">
        <v>48</v>
      </c>
      <c r="N158" s="102" t="s">
        <v>48</v>
      </c>
      <c r="O158" s="102" t="s">
        <v>48</v>
      </c>
      <c r="P158" s="102" t="s">
        <v>48</v>
      </c>
      <c r="Q158" s="6" t="s">
        <v>48</v>
      </c>
      <c r="R158" s="6" t="s">
        <v>48</v>
      </c>
      <c r="S158" s="6" t="s">
        <v>48</v>
      </c>
      <c r="T158" s="6" t="s">
        <v>48</v>
      </c>
      <c r="U158" s="6" t="s">
        <v>48</v>
      </c>
      <c r="V158" s="102" t="s">
        <v>69</v>
      </c>
      <c r="W158" s="102" t="str">
        <f t="shared" si="4"/>
        <v>83.273Q_M5_0012.a</v>
      </c>
      <c r="X158" s="102" t="s">
        <v>48</v>
      </c>
      <c r="Y158" s="102" t="s">
        <v>48</v>
      </c>
      <c r="Z158" s="102" t="s">
        <v>48</v>
      </c>
      <c r="AA158" s="102" t="s">
        <v>48</v>
      </c>
      <c r="AB158" s="102" t="s">
        <v>48</v>
      </c>
      <c r="AC158" s="102" t="s">
        <v>48</v>
      </c>
      <c r="AD158" s="6" t="s">
        <v>48</v>
      </c>
      <c r="AE158" s="6" t="s">
        <v>49</v>
      </c>
      <c r="AF158" s="79"/>
    </row>
    <row r="159" spans="1:32" ht="75" hidden="1" customHeight="1">
      <c r="A159" s="6" t="s">
        <v>6</v>
      </c>
      <c r="B159" s="6" t="s">
        <v>83</v>
      </c>
      <c r="C159" s="6" t="s">
        <v>84</v>
      </c>
      <c r="D159" s="70">
        <v>15000</v>
      </c>
      <c r="E159" s="6" t="s">
        <v>48</v>
      </c>
      <c r="F159" s="6" t="s">
        <v>48</v>
      </c>
      <c r="G159" s="6" t="s">
        <v>48</v>
      </c>
      <c r="H159" s="6" t="s">
        <v>48</v>
      </c>
      <c r="I159" s="6" t="s">
        <v>48</v>
      </c>
      <c r="J159" s="6" t="s">
        <v>48</v>
      </c>
      <c r="K159" s="102" t="s">
        <v>48</v>
      </c>
      <c r="L159" s="102" t="s">
        <v>48</v>
      </c>
      <c r="M159" s="102" t="s">
        <v>48</v>
      </c>
      <c r="N159" s="102" t="s">
        <v>48</v>
      </c>
      <c r="O159" s="102" t="s">
        <v>48</v>
      </c>
      <c r="P159" s="102" t="s">
        <v>48</v>
      </c>
      <c r="Q159" s="6" t="s">
        <v>48</v>
      </c>
      <c r="R159" s="6" t="s">
        <v>48</v>
      </c>
      <c r="S159" s="6" t="s">
        <v>48</v>
      </c>
      <c r="T159" s="6" t="s">
        <v>48</v>
      </c>
      <c r="U159" s="6" t="s">
        <v>48</v>
      </c>
      <c r="V159" s="102" t="s">
        <v>85</v>
      </c>
      <c r="W159" s="102" t="str">
        <f t="shared" si="4"/>
        <v>91.29I_M4A_0723.d</v>
      </c>
      <c r="X159" s="102" t="s">
        <v>239</v>
      </c>
      <c r="Y159" s="102" t="s">
        <v>588</v>
      </c>
      <c r="Z159" s="102" t="s">
        <v>588</v>
      </c>
      <c r="AA159" s="102" t="s">
        <v>257</v>
      </c>
      <c r="AB159" s="102" t="s">
        <v>595</v>
      </c>
      <c r="AC159" s="102" t="s">
        <v>86</v>
      </c>
      <c r="AD159" s="6" t="s">
        <v>308</v>
      </c>
      <c r="AE159" s="6" t="s">
        <v>49</v>
      </c>
      <c r="AF159" s="79"/>
    </row>
    <row r="160" spans="1:32" ht="75" hidden="1" customHeight="1">
      <c r="A160" s="6" t="s">
        <v>6</v>
      </c>
      <c r="B160" s="6">
        <v>9.1</v>
      </c>
      <c r="C160" s="6" t="s">
        <v>564</v>
      </c>
      <c r="D160" s="70">
        <v>15000</v>
      </c>
      <c r="E160" s="6" t="s">
        <v>80</v>
      </c>
      <c r="F160" s="6" t="s">
        <v>576</v>
      </c>
      <c r="G160" s="6" t="s">
        <v>578</v>
      </c>
      <c r="H160" s="6" t="s">
        <v>587</v>
      </c>
      <c r="I160" s="6" t="s">
        <v>577</v>
      </c>
      <c r="J160" s="6" t="s">
        <v>575</v>
      </c>
      <c r="K160" s="6" t="s">
        <v>48</v>
      </c>
      <c r="L160" s="6" t="s">
        <v>48</v>
      </c>
      <c r="M160" s="6" t="s">
        <v>48</v>
      </c>
      <c r="N160" s="6" t="s">
        <v>48</v>
      </c>
      <c r="O160" s="6" t="s">
        <v>48</v>
      </c>
      <c r="P160" s="6" t="s">
        <v>48</v>
      </c>
      <c r="Q160" s="6" t="s">
        <v>48</v>
      </c>
      <c r="R160" s="6" t="s">
        <v>48</v>
      </c>
      <c r="S160" s="6" t="s">
        <v>48</v>
      </c>
      <c r="T160" s="6" t="s">
        <v>48</v>
      </c>
      <c r="U160" s="6" t="s">
        <v>48</v>
      </c>
      <c r="V160" s="102" t="s">
        <v>85</v>
      </c>
      <c r="W160" s="102" t="str">
        <f t="shared" si="4"/>
        <v>91.29I_M4A_0723.d</v>
      </c>
      <c r="X160" s="102" t="s">
        <v>239</v>
      </c>
      <c r="Y160" s="102" t="s">
        <v>588</v>
      </c>
      <c r="Z160" s="102" t="s">
        <v>588</v>
      </c>
      <c r="AA160" s="102" t="s">
        <v>257</v>
      </c>
      <c r="AB160" s="102" t="s">
        <v>595</v>
      </c>
      <c r="AC160" s="102" t="s">
        <v>86</v>
      </c>
      <c r="AD160" s="6" t="s">
        <v>308</v>
      </c>
      <c r="AE160" s="6" t="s">
        <v>49</v>
      </c>
      <c r="AF160" s="79"/>
    </row>
    <row r="161" spans="1:32" ht="75" hidden="1" customHeight="1">
      <c r="A161" s="6" t="s">
        <v>6</v>
      </c>
      <c r="B161" s="6">
        <v>9.1</v>
      </c>
      <c r="C161" s="6" t="s">
        <v>85</v>
      </c>
      <c r="D161" s="70">
        <v>15000</v>
      </c>
      <c r="E161" s="6" t="s">
        <v>80</v>
      </c>
      <c r="F161" s="6" t="s">
        <v>419</v>
      </c>
      <c r="G161" s="6" t="s">
        <v>759</v>
      </c>
      <c r="H161" s="6" t="s">
        <v>751</v>
      </c>
      <c r="I161" s="6" t="s">
        <v>760</v>
      </c>
      <c r="J161" s="6" t="s">
        <v>761</v>
      </c>
      <c r="K161" s="6" t="s">
        <v>48</v>
      </c>
      <c r="L161" s="6" t="s">
        <v>48</v>
      </c>
      <c r="M161" s="6" t="s">
        <v>48</v>
      </c>
      <c r="N161" s="6" t="s">
        <v>48</v>
      </c>
      <c r="O161" s="6" t="s">
        <v>48</v>
      </c>
      <c r="P161" s="6" t="s">
        <v>48</v>
      </c>
      <c r="Q161" s="6" t="s">
        <v>48</v>
      </c>
      <c r="R161" s="6" t="s">
        <v>48</v>
      </c>
      <c r="S161" s="6" t="s">
        <v>48</v>
      </c>
      <c r="T161" s="6" t="s">
        <v>48</v>
      </c>
      <c r="U161" s="6" t="s">
        <v>48</v>
      </c>
      <c r="V161" s="102" t="s">
        <v>85</v>
      </c>
      <c r="W161" s="102" t="str">
        <f t="shared" si="4"/>
        <v>91.29I_M4A_0723.d</v>
      </c>
      <c r="X161" s="102" t="s">
        <v>48</v>
      </c>
      <c r="Y161" s="102" t="s">
        <v>48</v>
      </c>
      <c r="Z161" s="102" t="s">
        <v>48</v>
      </c>
      <c r="AA161" s="102" t="s">
        <v>48</v>
      </c>
      <c r="AB161" s="102" t="s">
        <v>48</v>
      </c>
      <c r="AC161" s="102" t="s">
        <v>48</v>
      </c>
      <c r="AD161" s="6" t="s">
        <v>753</v>
      </c>
      <c r="AE161" s="6" t="s">
        <v>49</v>
      </c>
      <c r="AF161" s="79"/>
    </row>
    <row r="162" spans="1:32" ht="75" hidden="1" customHeight="1">
      <c r="A162" s="103" t="s">
        <v>454</v>
      </c>
      <c r="B162" s="103" t="s">
        <v>186</v>
      </c>
      <c r="C162" s="6" t="s">
        <v>767</v>
      </c>
      <c r="D162" s="70">
        <v>30000</v>
      </c>
      <c r="E162" s="6" t="s">
        <v>48</v>
      </c>
      <c r="F162" s="6" t="s">
        <v>48</v>
      </c>
      <c r="G162" s="6" t="s">
        <v>48</v>
      </c>
      <c r="H162" s="6" t="s">
        <v>48</v>
      </c>
      <c r="I162" s="6" t="s">
        <v>48</v>
      </c>
      <c r="J162" s="6" t="s">
        <v>48</v>
      </c>
      <c r="K162" s="103" t="s">
        <v>877</v>
      </c>
      <c r="L162" s="115" t="s">
        <v>878</v>
      </c>
      <c r="M162" s="103" t="s">
        <v>879</v>
      </c>
      <c r="N162" s="103" t="s">
        <v>880</v>
      </c>
      <c r="O162" s="6" t="s">
        <v>881</v>
      </c>
      <c r="P162" s="6" t="s">
        <v>882</v>
      </c>
      <c r="Q162" s="103" t="s">
        <v>48</v>
      </c>
      <c r="R162" s="103" t="s">
        <v>48</v>
      </c>
      <c r="S162" s="103" t="s">
        <v>48</v>
      </c>
      <c r="T162" s="103" t="s">
        <v>48</v>
      </c>
      <c r="U162" s="103" t="s">
        <v>48</v>
      </c>
      <c r="V162" s="102" t="s">
        <v>767</v>
      </c>
      <c r="W162" s="102" t="str">
        <f t="shared" si="4"/>
        <v>MP24.0_R03_1712.b</v>
      </c>
      <c r="X162" s="103" t="s">
        <v>48</v>
      </c>
      <c r="Y162" s="102" t="s">
        <v>48</v>
      </c>
      <c r="Z162" s="102" t="s">
        <v>48</v>
      </c>
      <c r="AA162" s="102" t="s">
        <v>48</v>
      </c>
      <c r="AB162" s="102" t="s">
        <v>48</v>
      </c>
      <c r="AC162" s="102" t="s">
        <v>48</v>
      </c>
      <c r="AD162" s="103" t="s">
        <v>188</v>
      </c>
      <c r="AE162" s="6" t="s">
        <v>49</v>
      </c>
      <c r="AF162" s="96" t="s">
        <v>883</v>
      </c>
    </row>
    <row r="163" spans="1:32" ht="75" hidden="1" customHeight="1">
      <c r="A163" s="103" t="s">
        <v>454</v>
      </c>
      <c r="B163" s="103" t="s">
        <v>240</v>
      </c>
      <c r="C163" s="6" t="s">
        <v>768</v>
      </c>
      <c r="D163" s="70">
        <v>30000</v>
      </c>
      <c r="E163" s="6" t="s">
        <v>48</v>
      </c>
      <c r="F163" s="6" t="s">
        <v>48</v>
      </c>
      <c r="G163" s="6" t="s">
        <v>48</v>
      </c>
      <c r="H163" s="6" t="s">
        <v>48</v>
      </c>
      <c r="I163" s="6" t="s">
        <v>48</v>
      </c>
      <c r="J163" s="6" t="s">
        <v>48</v>
      </c>
      <c r="K163" s="103" t="s">
        <v>48</v>
      </c>
      <c r="L163" s="103" t="s">
        <v>48</v>
      </c>
      <c r="M163" s="103" t="s">
        <v>48</v>
      </c>
      <c r="N163" s="103" t="s">
        <v>48</v>
      </c>
      <c r="O163" s="103" t="s">
        <v>48</v>
      </c>
      <c r="P163" s="6" t="s">
        <v>48</v>
      </c>
      <c r="Q163" s="103" t="s">
        <v>48</v>
      </c>
      <c r="R163" s="103" t="s">
        <v>48</v>
      </c>
      <c r="S163" s="103" t="s">
        <v>48</v>
      </c>
      <c r="T163" s="103" t="s">
        <v>48</v>
      </c>
      <c r="U163" s="103" t="s">
        <v>48</v>
      </c>
      <c r="V163" s="102" t="s">
        <v>769</v>
      </c>
      <c r="W163" s="102" t="s">
        <v>769</v>
      </c>
      <c r="X163" s="102" t="s">
        <v>649</v>
      </c>
      <c r="Y163" s="102" t="s">
        <v>629</v>
      </c>
      <c r="Z163" s="102" t="s">
        <v>629</v>
      </c>
      <c r="AA163" s="102" t="s">
        <v>650</v>
      </c>
      <c r="AB163" s="102" t="s">
        <v>473</v>
      </c>
      <c r="AC163" s="102" t="s">
        <v>657</v>
      </c>
      <c r="AD163" s="6" t="s">
        <v>48</v>
      </c>
      <c r="AE163" s="6" t="s">
        <v>49</v>
      </c>
      <c r="AF163" s="79"/>
    </row>
    <row r="164" spans="1:32" ht="75" hidden="1" customHeight="1">
      <c r="A164" s="103" t="s">
        <v>30</v>
      </c>
      <c r="B164" s="103" t="s">
        <v>201</v>
      </c>
      <c r="C164" s="6" t="s">
        <v>202</v>
      </c>
      <c r="D164" s="70">
        <v>30000</v>
      </c>
      <c r="E164" s="6" t="s">
        <v>48</v>
      </c>
      <c r="F164" s="6" t="s">
        <v>48</v>
      </c>
      <c r="G164" s="6" t="s">
        <v>48</v>
      </c>
      <c r="H164" s="6" t="s">
        <v>48</v>
      </c>
      <c r="I164" s="6" t="s">
        <v>48</v>
      </c>
      <c r="J164" s="6" t="s">
        <v>48</v>
      </c>
      <c r="K164" s="103" t="s">
        <v>203</v>
      </c>
      <c r="L164" s="103" t="s">
        <v>204</v>
      </c>
      <c r="M164" s="103">
        <v>68007</v>
      </c>
      <c r="N164" s="103" t="s">
        <v>621</v>
      </c>
      <c r="O164" s="6" t="s">
        <v>265</v>
      </c>
      <c r="P164" s="6" t="s">
        <v>506</v>
      </c>
      <c r="Q164" s="6" t="s">
        <v>48</v>
      </c>
      <c r="R164" s="6" t="s">
        <v>48</v>
      </c>
      <c r="S164" s="6" t="s">
        <v>48</v>
      </c>
      <c r="T164" s="6" t="s">
        <v>48</v>
      </c>
      <c r="U164" s="6" t="s">
        <v>48</v>
      </c>
      <c r="V164" s="102" t="s">
        <v>714</v>
      </c>
      <c r="W164" s="102" t="s">
        <v>202</v>
      </c>
      <c r="X164" s="103" t="s">
        <v>912</v>
      </c>
      <c r="Y164" s="102" t="s">
        <v>919</v>
      </c>
      <c r="Z164" s="102" t="s">
        <v>48</v>
      </c>
      <c r="AA164" s="102" t="s">
        <v>917</v>
      </c>
      <c r="AB164" s="102" t="s">
        <v>475</v>
      </c>
      <c r="AC164" s="102" t="s">
        <v>718</v>
      </c>
      <c r="AD164" s="6" t="s">
        <v>916</v>
      </c>
      <c r="AE164" s="103" t="s">
        <v>101</v>
      </c>
      <c r="AF164" s="79"/>
    </row>
    <row r="165" spans="1:32" ht="75" hidden="1" customHeight="1">
      <c r="A165" s="103" t="s">
        <v>30</v>
      </c>
      <c r="B165" s="103" t="s">
        <v>201</v>
      </c>
      <c r="C165" s="6" t="s">
        <v>202</v>
      </c>
      <c r="D165" s="70">
        <v>30000</v>
      </c>
      <c r="E165" s="6" t="s">
        <v>48</v>
      </c>
      <c r="F165" s="6" t="s">
        <v>48</v>
      </c>
      <c r="G165" s="6" t="s">
        <v>48</v>
      </c>
      <c r="H165" s="6" t="s">
        <v>48</v>
      </c>
      <c r="I165" s="6" t="s">
        <v>48</v>
      </c>
      <c r="J165" s="6" t="s">
        <v>48</v>
      </c>
      <c r="K165" s="9" t="s">
        <v>205</v>
      </c>
      <c r="L165" s="9" t="s">
        <v>206</v>
      </c>
      <c r="M165" s="9" t="s">
        <v>248</v>
      </c>
      <c r="N165" s="9"/>
      <c r="O165" s="102" t="s">
        <v>266</v>
      </c>
      <c r="P165" s="102" t="s">
        <v>507</v>
      </c>
      <c r="Q165" s="6" t="s">
        <v>48</v>
      </c>
      <c r="R165" s="6" t="s">
        <v>48</v>
      </c>
      <c r="S165" s="6" t="s">
        <v>48</v>
      </c>
      <c r="T165" s="6" t="s">
        <v>48</v>
      </c>
      <c r="U165" s="6" t="s">
        <v>48</v>
      </c>
      <c r="V165" s="102" t="s">
        <v>714</v>
      </c>
      <c r="W165" s="102" t="s">
        <v>202</v>
      </c>
      <c r="X165" s="103" t="s">
        <v>912</v>
      </c>
      <c r="Y165" s="102" t="s">
        <v>919</v>
      </c>
      <c r="Z165" s="102" t="s">
        <v>48</v>
      </c>
      <c r="AA165" s="102" t="s">
        <v>917</v>
      </c>
      <c r="AB165" s="102" t="s">
        <v>475</v>
      </c>
      <c r="AC165" s="102" t="s">
        <v>718</v>
      </c>
      <c r="AD165" s="6" t="s">
        <v>916</v>
      </c>
      <c r="AE165" s="103" t="s">
        <v>101</v>
      </c>
      <c r="AF165" s="79"/>
    </row>
    <row r="166" spans="1:32" ht="75" hidden="1" customHeight="1">
      <c r="A166" s="103" t="s">
        <v>30</v>
      </c>
      <c r="B166" s="103" t="s">
        <v>201</v>
      </c>
      <c r="C166" s="6" t="s">
        <v>207</v>
      </c>
      <c r="D166" s="70">
        <v>30000</v>
      </c>
      <c r="E166" s="6" t="s">
        <v>48</v>
      </c>
      <c r="F166" s="6" t="s">
        <v>48</v>
      </c>
      <c r="G166" s="6" t="s">
        <v>48</v>
      </c>
      <c r="H166" s="6" t="s">
        <v>48</v>
      </c>
      <c r="I166" s="6" t="s">
        <v>48</v>
      </c>
      <c r="J166" s="6" t="s">
        <v>48</v>
      </c>
      <c r="K166" s="8" t="s">
        <v>68</v>
      </c>
      <c r="L166" s="8" t="s">
        <v>208</v>
      </c>
      <c r="M166" s="9" t="s">
        <v>909</v>
      </c>
      <c r="N166" s="9" t="s">
        <v>910</v>
      </c>
      <c r="O166" s="102" t="s">
        <v>508</v>
      </c>
      <c r="P166" s="102" t="s">
        <v>911</v>
      </c>
      <c r="Q166" s="6" t="s">
        <v>438</v>
      </c>
      <c r="R166" s="6" t="s">
        <v>716</v>
      </c>
      <c r="S166" s="6" t="s">
        <v>719</v>
      </c>
      <c r="T166" s="6" t="s">
        <v>48</v>
      </c>
      <c r="U166" s="6" t="s">
        <v>48</v>
      </c>
      <c r="V166" s="102" t="s">
        <v>714</v>
      </c>
      <c r="W166" s="102" t="s">
        <v>207</v>
      </c>
      <c r="X166" s="103" t="s">
        <v>912</v>
      </c>
      <c r="Y166" s="102" t="s">
        <v>919</v>
      </c>
      <c r="Z166" s="102" t="s">
        <v>48</v>
      </c>
      <c r="AA166" s="102" t="s">
        <v>917</v>
      </c>
      <c r="AB166" s="102" t="s">
        <v>475</v>
      </c>
      <c r="AC166" s="102" t="s">
        <v>718</v>
      </c>
      <c r="AD166" s="6" t="s">
        <v>916</v>
      </c>
      <c r="AE166" s="103" t="s">
        <v>49</v>
      </c>
      <c r="AF166" s="80" t="s">
        <v>717</v>
      </c>
    </row>
    <row r="167" spans="1:32" ht="75" hidden="1" customHeight="1">
      <c r="A167" s="103" t="s">
        <v>30</v>
      </c>
      <c r="B167" s="103" t="s">
        <v>201</v>
      </c>
      <c r="C167" s="6" t="s">
        <v>714</v>
      </c>
      <c r="D167" s="70">
        <v>30000</v>
      </c>
      <c r="E167" s="6" t="s">
        <v>48</v>
      </c>
      <c r="F167" s="6" t="s">
        <v>48</v>
      </c>
      <c r="G167" s="6" t="s">
        <v>48</v>
      </c>
      <c r="H167" s="6" t="s">
        <v>48</v>
      </c>
      <c r="I167" s="6" t="s">
        <v>48</v>
      </c>
      <c r="J167" s="6" t="s">
        <v>48</v>
      </c>
      <c r="K167" s="8" t="s">
        <v>48</v>
      </c>
      <c r="L167" s="8" t="s">
        <v>48</v>
      </c>
      <c r="M167" s="8" t="s">
        <v>48</v>
      </c>
      <c r="N167" s="8" t="s">
        <v>48</v>
      </c>
      <c r="O167" s="8" t="s">
        <v>48</v>
      </c>
      <c r="P167" s="8" t="s">
        <v>48</v>
      </c>
      <c r="Q167" s="6" t="s">
        <v>893</v>
      </c>
      <c r="R167" s="6" t="s">
        <v>894</v>
      </c>
      <c r="S167" s="6" t="s">
        <v>499</v>
      </c>
      <c r="T167" s="6" t="s">
        <v>48</v>
      </c>
      <c r="U167" s="6" t="s">
        <v>48</v>
      </c>
      <c r="V167" s="102" t="s">
        <v>1686</v>
      </c>
      <c r="W167" s="102" t="s">
        <v>1686</v>
      </c>
      <c r="X167" s="103" t="s">
        <v>1798</v>
      </c>
      <c r="Y167" s="102" t="s">
        <v>1708</v>
      </c>
      <c r="Z167" s="102" t="s">
        <v>1708</v>
      </c>
      <c r="AA167" s="102" t="s">
        <v>1799</v>
      </c>
      <c r="AB167" s="102" t="s">
        <v>595</v>
      </c>
      <c r="AC167" s="102" t="s">
        <v>1687</v>
      </c>
      <c r="AD167" s="6" t="s">
        <v>1800</v>
      </c>
      <c r="AE167" s="103" t="s">
        <v>49</v>
      </c>
      <c r="AF167" s="121" t="s">
        <v>1689</v>
      </c>
    </row>
    <row r="168" spans="1:32" ht="75" hidden="1" customHeight="1">
      <c r="A168" s="103" t="s">
        <v>30</v>
      </c>
      <c r="B168" s="103" t="s">
        <v>201</v>
      </c>
      <c r="C168" s="6" t="s">
        <v>209</v>
      </c>
      <c r="D168" s="70">
        <v>30000</v>
      </c>
      <c r="E168" s="6" t="s">
        <v>48</v>
      </c>
      <c r="F168" s="6" t="s">
        <v>48</v>
      </c>
      <c r="G168" s="6" t="s">
        <v>48</v>
      </c>
      <c r="H168" s="6" t="s">
        <v>48</v>
      </c>
      <c r="I168" s="6" t="s">
        <v>48</v>
      </c>
      <c r="J168" s="6" t="s">
        <v>48</v>
      </c>
      <c r="K168" s="8" t="s">
        <v>68</v>
      </c>
      <c r="L168" s="8" t="s">
        <v>210</v>
      </c>
      <c r="M168" s="9" t="s">
        <v>526</v>
      </c>
      <c r="N168" s="9" t="s">
        <v>48</v>
      </c>
      <c r="O168" s="102" t="s">
        <v>48</v>
      </c>
      <c r="P168" s="102" t="s">
        <v>48</v>
      </c>
      <c r="Q168" s="6" t="s">
        <v>48</v>
      </c>
      <c r="R168" s="6" t="s">
        <v>48</v>
      </c>
      <c r="S168" s="6" t="s">
        <v>48</v>
      </c>
      <c r="T168" s="6" t="s">
        <v>48</v>
      </c>
      <c r="U168" s="6" t="s">
        <v>48</v>
      </c>
      <c r="V168" s="102" t="s">
        <v>715</v>
      </c>
      <c r="W168" s="103" t="s">
        <v>209</v>
      </c>
      <c r="X168" s="103" t="s">
        <v>913</v>
      </c>
      <c r="Y168" s="102" t="s">
        <v>920</v>
      </c>
      <c r="Z168" s="102" t="s">
        <v>48</v>
      </c>
      <c r="AA168" s="102" t="s">
        <v>918</v>
      </c>
      <c r="AB168" s="102" t="s">
        <v>473</v>
      </c>
      <c r="AC168" s="102" t="s">
        <v>718</v>
      </c>
      <c r="AD168" s="6" t="s">
        <v>916</v>
      </c>
      <c r="AE168" s="103" t="s">
        <v>49</v>
      </c>
      <c r="AF168" s="79" t="s">
        <v>414</v>
      </c>
    </row>
    <row r="169" spans="1:32" ht="75" hidden="1" customHeight="1">
      <c r="A169" s="103" t="s">
        <v>30</v>
      </c>
      <c r="B169" s="103" t="s">
        <v>201</v>
      </c>
      <c r="C169" s="6" t="s">
        <v>715</v>
      </c>
      <c r="D169" s="70">
        <v>30000</v>
      </c>
      <c r="E169" s="6" t="s">
        <v>48</v>
      </c>
      <c r="F169" s="6" t="s">
        <v>48</v>
      </c>
      <c r="G169" s="6" t="s">
        <v>48</v>
      </c>
      <c r="H169" s="6" t="s">
        <v>48</v>
      </c>
      <c r="I169" s="6" t="s">
        <v>48</v>
      </c>
      <c r="J169" s="6" t="s">
        <v>48</v>
      </c>
      <c r="K169" s="8" t="s">
        <v>48</v>
      </c>
      <c r="L169" s="8" t="s">
        <v>48</v>
      </c>
      <c r="M169" s="8" t="s">
        <v>48</v>
      </c>
      <c r="N169" s="9" t="s">
        <v>48</v>
      </c>
      <c r="O169" s="102" t="s">
        <v>48</v>
      </c>
      <c r="P169" s="102" t="s">
        <v>48</v>
      </c>
      <c r="Q169" s="6" t="s">
        <v>893</v>
      </c>
      <c r="R169" s="6" t="s">
        <v>894</v>
      </c>
      <c r="S169" s="6" t="s">
        <v>499</v>
      </c>
      <c r="T169" s="6" t="s">
        <v>48</v>
      </c>
      <c r="U169" s="6" t="s">
        <v>48</v>
      </c>
      <c r="V169" s="102" t="s">
        <v>1777</v>
      </c>
      <c r="W169" s="103" t="s">
        <v>1777</v>
      </c>
      <c r="X169" s="103" t="s">
        <v>1712</v>
      </c>
      <c r="Y169" s="102" t="s">
        <v>1708</v>
      </c>
      <c r="Z169" s="102" t="s">
        <v>1708</v>
      </c>
      <c r="AA169" s="102" t="s">
        <v>1801</v>
      </c>
      <c r="AB169" s="102" t="s">
        <v>595</v>
      </c>
      <c r="AC169" s="102" t="s">
        <v>1687</v>
      </c>
      <c r="AD169" s="6" t="s">
        <v>1800</v>
      </c>
      <c r="AE169" s="103" t="s">
        <v>49</v>
      </c>
      <c r="AF169" s="121" t="s">
        <v>1689</v>
      </c>
    </row>
    <row r="170" spans="1:32" ht="75" hidden="1" customHeight="1">
      <c r="A170" s="103" t="s">
        <v>31</v>
      </c>
      <c r="B170" s="103" t="s">
        <v>227</v>
      </c>
      <c r="C170" s="6" t="s">
        <v>242</v>
      </c>
      <c r="D170" s="70">
        <v>30000</v>
      </c>
      <c r="E170" s="6" t="s">
        <v>48</v>
      </c>
      <c r="F170" s="6" t="s">
        <v>48</v>
      </c>
      <c r="G170" s="6" t="s">
        <v>48</v>
      </c>
      <c r="H170" s="6" t="s">
        <v>48</v>
      </c>
      <c r="I170" s="6" t="s">
        <v>48</v>
      </c>
      <c r="J170" s="6" t="s">
        <v>48</v>
      </c>
      <c r="K170" s="103" t="s">
        <v>80</v>
      </c>
      <c r="L170" s="103" t="s">
        <v>228</v>
      </c>
      <c r="M170" s="103" t="s">
        <v>245</v>
      </c>
      <c r="N170" s="103" t="s">
        <v>615</v>
      </c>
      <c r="O170" s="6" t="s">
        <v>788</v>
      </c>
      <c r="P170" s="6" t="s">
        <v>48</v>
      </c>
      <c r="Q170" s="6" t="s">
        <v>48</v>
      </c>
      <c r="R170" s="6" t="s">
        <v>48</v>
      </c>
      <c r="S170" s="6" t="s">
        <v>48</v>
      </c>
      <c r="T170" s="6" t="s">
        <v>48</v>
      </c>
      <c r="U170" s="6" t="s">
        <v>48</v>
      </c>
      <c r="V170" s="102" t="s">
        <v>644</v>
      </c>
      <c r="W170" s="102" t="str">
        <f>V170</f>
        <v>RX27.0_R02_1831.a</v>
      </c>
      <c r="X170" s="103" t="s">
        <v>651</v>
      </c>
      <c r="Y170" s="102" t="s">
        <v>629</v>
      </c>
      <c r="Z170" s="102" t="s">
        <v>629</v>
      </c>
      <c r="AA170" s="102" t="s">
        <v>653</v>
      </c>
      <c r="AB170" s="102" t="s">
        <v>473</v>
      </c>
      <c r="AC170" s="102" t="s">
        <v>652</v>
      </c>
      <c r="AD170" s="103" t="s">
        <v>48</v>
      </c>
      <c r="AE170" s="103" t="s">
        <v>49</v>
      </c>
      <c r="AF170" s="80" t="s">
        <v>229</v>
      </c>
    </row>
    <row r="171" spans="1:32" ht="75" hidden="1" customHeight="1">
      <c r="A171" s="103" t="s">
        <v>3</v>
      </c>
      <c r="B171" s="103" t="s">
        <v>63</v>
      </c>
      <c r="C171" s="6" t="s">
        <v>898</v>
      </c>
      <c r="D171" s="70">
        <v>15000</v>
      </c>
      <c r="E171" s="6" t="s">
        <v>48</v>
      </c>
      <c r="F171" s="6" t="s">
        <v>48</v>
      </c>
      <c r="G171" s="6" t="s">
        <v>48</v>
      </c>
      <c r="H171" s="6" t="s">
        <v>48</v>
      </c>
      <c r="I171" s="6" t="s">
        <v>48</v>
      </c>
      <c r="J171" s="6" t="s">
        <v>48</v>
      </c>
      <c r="K171" s="103" t="s">
        <v>65</v>
      </c>
      <c r="L171" s="6" t="s">
        <v>48</v>
      </c>
      <c r="M171" s="6" t="s">
        <v>48</v>
      </c>
      <c r="N171" s="6" t="s">
        <v>48</v>
      </c>
      <c r="O171" s="6" t="s">
        <v>48</v>
      </c>
      <c r="P171" s="6" t="s">
        <v>48</v>
      </c>
      <c r="Q171" s="6" t="s">
        <v>48</v>
      </c>
      <c r="R171" s="6" t="s">
        <v>48</v>
      </c>
      <c r="S171" s="6" t="s">
        <v>48</v>
      </c>
      <c r="T171" s="6" t="s">
        <v>48</v>
      </c>
      <c r="U171" s="6" t="s">
        <v>48</v>
      </c>
      <c r="V171" s="102" t="s">
        <v>64</v>
      </c>
      <c r="W171" s="102" t="str">
        <f>V171</f>
        <v>V/R 4.11,   4.13</v>
      </c>
      <c r="X171" s="102" t="s">
        <v>48</v>
      </c>
      <c r="Y171" s="102" t="s">
        <v>48</v>
      </c>
      <c r="Z171" s="102" t="s">
        <v>48</v>
      </c>
      <c r="AA171" s="102" t="s">
        <v>48</v>
      </c>
      <c r="AB171" s="102" t="s">
        <v>48</v>
      </c>
      <c r="AC171" s="102" t="s">
        <v>48</v>
      </c>
      <c r="AD171" s="6" t="s">
        <v>48</v>
      </c>
      <c r="AE171" s="6" t="s">
        <v>62</v>
      </c>
      <c r="AF171" s="82"/>
    </row>
    <row r="172" spans="1:32" ht="75" hidden="1" customHeight="1">
      <c r="A172" s="103" t="s">
        <v>660</v>
      </c>
      <c r="B172" s="103" t="s">
        <v>216</v>
      </c>
      <c r="C172" s="6" t="s">
        <v>211</v>
      </c>
      <c r="D172" s="70">
        <v>15000</v>
      </c>
      <c r="E172" s="6" t="s">
        <v>48</v>
      </c>
      <c r="F172" s="6" t="s">
        <v>48</v>
      </c>
      <c r="G172" s="6" t="s">
        <v>48</v>
      </c>
      <c r="H172" s="6" t="s">
        <v>48</v>
      </c>
      <c r="I172" s="6" t="s">
        <v>48</v>
      </c>
      <c r="J172" s="6" t="s">
        <v>48</v>
      </c>
      <c r="K172" s="9" t="s">
        <v>65</v>
      </c>
      <c r="L172" s="6" t="s">
        <v>48</v>
      </c>
      <c r="M172" s="102" t="s">
        <v>520</v>
      </c>
      <c r="N172" s="6" t="s">
        <v>48</v>
      </c>
      <c r="O172" s="6" t="s">
        <v>521</v>
      </c>
      <c r="P172" s="6" t="s">
        <v>522</v>
      </c>
      <c r="Q172" s="6" t="s">
        <v>48</v>
      </c>
      <c r="R172" s="6" t="s">
        <v>48</v>
      </c>
      <c r="S172" s="6" t="s">
        <v>48</v>
      </c>
      <c r="T172" s="6" t="s">
        <v>48</v>
      </c>
      <c r="U172" s="6" t="s">
        <v>48</v>
      </c>
      <c r="V172" s="102" t="s">
        <v>1851</v>
      </c>
      <c r="W172" s="102" t="str">
        <f>V172</f>
        <v>PX26.0_R04_2127.a
PX26.3_R04_2127.a
VX28.0_R05_2127.a</v>
      </c>
      <c r="X172" s="102" t="s">
        <v>1712</v>
      </c>
      <c r="Y172" s="102" t="s">
        <v>1708</v>
      </c>
      <c r="Z172" s="102" t="s">
        <v>1708</v>
      </c>
      <c r="AA172" s="102" t="s">
        <v>1852</v>
      </c>
      <c r="AB172" s="102" t="s">
        <v>595</v>
      </c>
      <c r="AC172" s="102" t="s">
        <v>1687</v>
      </c>
      <c r="AD172" s="6" t="s">
        <v>1853</v>
      </c>
      <c r="AE172" s="9" t="s">
        <v>199</v>
      </c>
      <c r="AF172" s="102" t="s">
        <v>1857</v>
      </c>
    </row>
    <row r="173" spans="1:32" ht="75" hidden="1" customHeight="1">
      <c r="A173" s="103" t="s">
        <v>660</v>
      </c>
      <c r="B173" s="103" t="s">
        <v>659</v>
      </c>
      <c r="C173" s="6" t="s">
        <v>664</v>
      </c>
      <c r="D173" s="70">
        <v>15000</v>
      </c>
      <c r="E173" s="6" t="s">
        <v>676</v>
      </c>
      <c r="F173" s="6" t="s">
        <v>48</v>
      </c>
      <c r="G173" s="6" t="s">
        <v>48</v>
      </c>
      <c r="H173" s="6" t="s">
        <v>48</v>
      </c>
      <c r="I173" s="6" t="s">
        <v>48</v>
      </c>
      <c r="J173" s="6" t="s">
        <v>48</v>
      </c>
      <c r="K173" s="9" t="s">
        <v>48</v>
      </c>
      <c r="L173" s="102" t="s">
        <v>48</v>
      </c>
      <c r="M173" s="102" t="s">
        <v>48</v>
      </c>
      <c r="N173" s="102" t="s">
        <v>48</v>
      </c>
      <c r="O173" s="102" t="s">
        <v>48</v>
      </c>
      <c r="P173" s="102" t="s">
        <v>48</v>
      </c>
      <c r="Q173" s="6" t="s">
        <v>48</v>
      </c>
      <c r="R173" s="6" t="s">
        <v>48</v>
      </c>
      <c r="S173" s="6" t="s">
        <v>48</v>
      </c>
      <c r="T173" s="6" t="s">
        <v>48</v>
      </c>
      <c r="U173" s="6" t="s">
        <v>48</v>
      </c>
      <c r="V173" s="102" t="s">
        <v>1851</v>
      </c>
      <c r="W173" s="102" t="str">
        <f t="shared" ref="W173:W178" si="5">V173</f>
        <v>PX26.0_R04_2127.a
PX26.3_R04_2127.a
VX28.0_R05_2127.a</v>
      </c>
      <c r="X173" s="102" t="s">
        <v>1712</v>
      </c>
      <c r="Y173" s="102" t="s">
        <v>1708</v>
      </c>
      <c r="Z173" s="102" t="s">
        <v>1708</v>
      </c>
      <c r="AA173" s="102" t="s">
        <v>1852</v>
      </c>
      <c r="AB173" s="102" t="s">
        <v>595</v>
      </c>
      <c r="AC173" s="102" t="s">
        <v>1687</v>
      </c>
      <c r="AD173" s="6" t="s">
        <v>1853</v>
      </c>
      <c r="AE173" s="103" t="s">
        <v>677</v>
      </c>
      <c r="AF173" s="102" t="s">
        <v>1857</v>
      </c>
    </row>
    <row r="174" spans="1:32" ht="75" hidden="1" customHeight="1">
      <c r="A174" s="103" t="s">
        <v>675</v>
      </c>
      <c r="B174" s="103" t="s">
        <v>659</v>
      </c>
      <c r="C174" s="6" t="s">
        <v>666</v>
      </c>
      <c r="D174" s="70">
        <v>15000</v>
      </c>
      <c r="E174" s="6" t="s">
        <v>676</v>
      </c>
      <c r="F174" s="6" t="s">
        <v>48</v>
      </c>
      <c r="G174" s="6" t="s">
        <v>48</v>
      </c>
      <c r="H174" s="6" t="s">
        <v>48</v>
      </c>
      <c r="I174" s="6" t="s">
        <v>48</v>
      </c>
      <c r="J174" s="6" t="s">
        <v>48</v>
      </c>
      <c r="K174" s="9" t="s">
        <v>48</v>
      </c>
      <c r="L174" s="6" t="s">
        <v>48</v>
      </c>
      <c r="M174" s="6" t="s">
        <v>48</v>
      </c>
      <c r="N174" s="6" t="s">
        <v>48</v>
      </c>
      <c r="O174" s="6" t="s">
        <v>48</v>
      </c>
      <c r="P174" s="6" t="s">
        <v>48</v>
      </c>
      <c r="Q174" s="6" t="s">
        <v>48</v>
      </c>
      <c r="R174" s="6" t="s">
        <v>48</v>
      </c>
      <c r="S174" s="6" t="s">
        <v>48</v>
      </c>
      <c r="T174" s="6" t="s">
        <v>48</v>
      </c>
      <c r="U174" s="6" t="s">
        <v>48</v>
      </c>
      <c r="V174" s="102" t="s">
        <v>1851</v>
      </c>
      <c r="W174" s="102" t="str">
        <f t="shared" si="5"/>
        <v>PX26.0_R04_2127.a
PX26.3_R04_2127.a
VX28.0_R05_2127.a</v>
      </c>
      <c r="X174" s="102" t="s">
        <v>1712</v>
      </c>
      <c r="Y174" s="102" t="s">
        <v>1708</v>
      </c>
      <c r="Z174" s="102" t="s">
        <v>1708</v>
      </c>
      <c r="AA174" s="102" t="s">
        <v>1852</v>
      </c>
      <c r="AB174" s="102" t="s">
        <v>595</v>
      </c>
      <c r="AC174" s="102" t="s">
        <v>1687</v>
      </c>
      <c r="AD174" s="6" t="s">
        <v>1853</v>
      </c>
      <c r="AE174" s="103" t="s">
        <v>677</v>
      </c>
      <c r="AF174" s="102" t="s">
        <v>1857</v>
      </c>
    </row>
    <row r="175" spans="1:32" ht="75" hidden="1" customHeight="1">
      <c r="A175" s="103" t="s">
        <v>675</v>
      </c>
      <c r="B175" s="103" t="s">
        <v>659</v>
      </c>
      <c r="C175" s="6" t="s">
        <v>670</v>
      </c>
      <c r="D175" s="70">
        <v>15000</v>
      </c>
      <c r="E175" s="6" t="s">
        <v>676</v>
      </c>
      <c r="F175" s="6" t="s">
        <v>48</v>
      </c>
      <c r="G175" s="6" t="s">
        <v>48</v>
      </c>
      <c r="H175" s="6" t="s">
        <v>48</v>
      </c>
      <c r="I175" s="6" t="s">
        <v>48</v>
      </c>
      <c r="J175" s="6" t="s">
        <v>48</v>
      </c>
      <c r="K175" s="9" t="s">
        <v>48</v>
      </c>
      <c r="L175" s="102" t="s">
        <v>48</v>
      </c>
      <c r="M175" s="6" t="s">
        <v>48</v>
      </c>
      <c r="N175" s="6" t="s">
        <v>48</v>
      </c>
      <c r="O175" s="6" t="s">
        <v>48</v>
      </c>
      <c r="P175" s="6" t="s">
        <v>48</v>
      </c>
      <c r="Q175" s="6" t="s">
        <v>48</v>
      </c>
      <c r="R175" s="6" t="s">
        <v>48</v>
      </c>
      <c r="S175" s="6" t="s">
        <v>48</v>
      </c>
      <c r="T175" s="6" t="s">
        <v>48</v>
      </c>
      <c r="U175" s="6" t="s">
        <v>48</v>
      </c>
      <c r="V175" s="102" t="s">
        <v>1851</v>
      </c>
      <c r="W175" s="102" t="str">
        <f t="shared" si="5"/>
        <v>PX26.0_R04_2127.a
PX26.3_R04_2127.a
VX28.0_R05_2127.a</v>
      </c>
      <c r="X175" s="102" t="s">
        <v>1712</v>
      </c>
      <c r="Y175" s="102" t="s">
        <v>1708</v>
      </c>
      <c r="Z175" s="102" t="s">
        <v>1708</v>
      </c>
      <c r="AA175" s="102" t="s">
        <v>1852</v>
      </c>
      <c r="AB175" s="102" t="s">
        <v>595</v>
      </c>
      <c r="AC175" s="102" t="s">
        <v>1687</v>
      </c>
      <c r="AD175" s="6" t="s">
        <v>1853</v>
      </c>
      <c r="AE175" s="103" t="s">
        <v>677</v>
      </c>
      <c r="AF175" s="102" t="s">
        <v>1857</v>
      </c>
    </row>
    <row r="176" spans="1:32" ht="75" hidden="1" customHeight="1">
      <c r="A176" s="103" t="s">
        <v>675</v>
      </c>
      <c r="B176" s="103" t="s">
        <v>659</v>
      </c>
      <c r="C176" s="6" t="s">
        <v>669</v>
      </c>
      <c r="D176" s="70">
        <v>15000</v>
      </c>
      <c r="E176" s="6" t="s">
        <v>676</v>
      </c>
      <c r="F176" s="6" t="s">
        <v>48</v>
      </c>
      <c r="G176" s="6" t="s">
        <v>48</v>
      </c>
      <c r="H176" s="6" t="s">
        <v>48</v>
      </c>
      <c r="I176" s="6" t="s">
        <v>48</v>
      </c>
      <c r="J176" s="6" t="s">
        <v>48</v>
      </c>
      <c r="K176" s="9" t="s">
        <v>48</v>
      </c>
      <c r="L176" s="102" t="s">
        <v>48</v>
      </c>
      <c r="M176" s="6" t="s">
        <v>48</v>
      </c>
      <c r="N176" s="6" t="s">
        <v>48</v>
      </c>
      <c r="O176" s="6" t="s">
        <v>48</v>
      </c>
      <c r="P176" s="6" t="s">
        <v>48</v>
      </c>
      <c r="Q176" s="6" t="s">
        <v>48</v>
      </c>
      <c r="R176" s="6" t="s">
        <v>48</v>
      </c>
      <c r="S176" s="6" t="s">
        <v>48</v>
      </c>
      <c r="T176" s="6" t="s">
        <v>48</v>
      </c>
      <c r="U176" s="6" t="s">
        <v>48</v>
      </c>
      <c r="V176" s="102" t="s">
        <v>1851</v>
      </c>
      <c r="W176" s="102" t="str">
        <f t="shared" si="5"/>
        <v>PX26.0_R04_2127.a
PX26.3_R04_2127.a
VX28.0_R05_2127.a</v>
      </c>
      <c r="X176" s="102" t="s">
        <v>1712</v>
      </c>
      <c r="Y176" s="102" t="s">
        <v>1708</v>
      </c>
      <c r="Z176" s="102" t="s">
        <v>1708</v>
      </c>
      <c r="AA176" s="102" t="s">
        <v>1852</v>
      </c>
      <c r="AB176" s="102" t="s">
        <v>595</v>
      </c>
      <c r="AC176" s="102" t="s">
        <v>1687</v>
      </c>
      <c r="AD176" s="6" t="s">
        <v>1853</v>
      </c>
      <c r="AE176" s="103" t="s">
        <v>677</v>
      </c>
      <c r="AF176" s="102" t="s">
        <v>1857</v>
      </c>
    </row>
    <row r="177" spans="1:32" ht="75" hidden="1" customHeight="1">
      <c r="A177" s="103" t="s">
        <v>675</v>
      </c>
      <c r="B177" s="103" t="s">
        <v>216</v>
      </c>
      <c r="C177" s="6" t="s">
        <v>217</v>
      </c>
      <c r="D177" s="70">
        <v>15000</v>
      </c>
      <c r="E177" s="6" t="s">
        <v>48</v>
      </c>
      <c r="F177" s="6" t="s">
        <v>48</v>
      </c>
      <c r="G177" s="6" t="s">
        <v>48</v>
      </c>
      <c r="H177" s="6" t="s">
        <v>48</v>
      </c>
      <c r="I177" s="6" t="s">
        <v>48</v>
      </c>
      <c r="J177" s="6" t="s">
        <v>48</v>
      </c>
      <c r="K177" s="9" t="s">
        <v>678</v>
      </c>
      <c r="L177" s="9" t="s">
        <v>452</v>
      </c>
      <c r="M177" s="103" t="s">
        <v>48</v>
      </c>
      <c r="N177" s="103" t="s">
        <v>48</v>
      </c>
      <c r="O177" s="6" t="s">
        <v>48</v>
      </c>
      <c r="P177" s="6" t="s">
        <v>48</v>
      </c>
      <c r="Q177" s="6" t="s">
        <v>663</v>
      </c>
      <c r="R177" s="6" t="s">
        <v>662</v>
      </c>
      <c r="S177" s="6" t="s">
        <v>48</v>
      </c>
      <c r="T177" s="6" t="s">
        <v>48</v>
      </c>
      <c r="U177" s="6" t="s">
        <v>48</v>
      </c>
      <c r="V177" s="102" t="s">
        <v>1851</v>
      </c>
      <c r="W177" s="102" t="str">
        <f t="shared" si="5"/>
        <v>PX26.0_R04_2127.a
PX26.3_R04_2127.a
VX28.0_R05_2127.a</v>
      </c>
      <c r="X177" s="102" t="s">
        <v>1712</v>
      </c>
      <c r="Y177" s="102" t="s">
        <v>1708</v>
      </c>
      <c r="Z177" s="102" t="s">
        <v>1708</v>
      </c>
      <c r="AA177" s="102" t="s">
        <v>1852</v>
      </c>
      <c r="AB177" s="102" t="s">
        <v>595</v>
      </c>
      <c r="AC177" s="102" t="s">
        <v>1687</v>
      </c>
      <c r="AD177" s="6" t="s">
        <v>1853</v>
      </c>
      <c r="AE177" s="103" t="s">
        <v>199</v>
      </c>
      <c r="AF177" s="102" t="s">
        <v>1857</v>
      </c>
    </row>
    <row r="178" spans="1:32" ht="75" hidden="1" customHeight="1">
      <c r="A178" s="103" t="s">
        <v>660</v>
      </c>
      <c r="B178" s="9" t="s">
        <v>659</v>
      </c>
      <c r="C178" s="6" t="s">
        <v>672</v>
      </c>
      <c r="D178" s="70">
        <v>15000</v>
      </c>
      <c r="E178" s="6" t="s">
        <v>676</v>
      </c>
      <c r="F178" s="6" t="s">
        <v>48</v>
      </c>
      <c r="G178" s="6" t="s">
        <v>48</v>
      </c>
      <c r="H178" s="6" t="s">
        <v>48</v>
      </c>
      <c r="I178" s="6" t="s">
        <v>48</v>
      </c>
      <c r="J178" s="6" t="s">
        <v>48</v>
      </c>
      <c r="K178" s="9" t="s">
        <v>48</v>
      </c>
      <c r="L178" s="9" t="s">
        <v>48</v>
      </c>
      <c r="M178" s="103" t="s">
        <v>48</v>
      </c>
      <c r="N178" s="103" t="s">
        <v>48</v>
      </c>
      <c r="O178" s="6" t="s">
        <v>48</v>
      </c>
      <c r="P178" s="6" t="s">
        <v>48</v>
      </c>
      <c r="Q178" s="6" t="s">
        <v>48</v>
      </c>
      <c r="R178" s="6" t="s">
        <v>48</v>
      </c>
      <c r="S178" s="6" t="s">
        <v>48</v>
      </c>
      <c r="T178" s="6" t="s">
        <v>48</v>
      </c>
      <c r="U178" s="6" t="s">
        <v>48</v>
      </c>
      <c r="V178" s="102" t="s">
        <v>1851</v>
      </c>
      <c r="W178" s="102" t="str">
        <f t="shared" si="5"/>
        <v>PX26.0_R04_2127.a
PX26.3_R04_2127.a
VX28.0_R05_2127.a</v>
      </c>
      <c r="X178" s="102" t="s">
        <v>1712</v>
      </c>
      <c r="Y178" s="102" t="s">
        <v>1708</v>
      </c>
      <c r="Z178" s="102" t="s">
        <v>1708</v>
      </c>
      <c r="AA178" s="102" t="s">
        <v>1852</v>
      </c>
      <c r="AB178" s="102" t="s">
        <v>595</v>
      </c>
      <c r="AC178" s="102" t="s">
        <v>1687</v>
      </c>
      <c r="AD178" s="6" t="s">
        <v>1853</v>
      </c>
      <c r="AE178" s="103" t="s">
        <v>677</v>
      </c>
      <c r="AF178" s="102" t="s">
        <v>1857</v>
      </c>
    </row>
    <row r="179" spans="1:32" ht="75" hidden="1" customHeight="1">
      <c r="A179" s="103" t="s">
        <v>660</v>
      </c>
      <c r="B179" s="103" t="s">
        <v>446</v>
      </c>
      <c r="C179" s="6" t="s">
        <v>734</v>
      </c>
      <c r="D179" s="70">
        <v>15000</v>
      </c>
      <c r="E179" s="6" t="s">
        <v>48</v>
      </c>
      <c r="F179" s="6" t="s">
        <v>48</v>
      </c>
      <c r="G179" s="6" t="s">
        <v>48</v>
      </c>
      <c r="H179" s="6" t="s">
        <v>48</v>
      </c>
      <c r="I179" s="6" t="s">
        <v>48</v>
      </c>
      <c r="J179" s="6" t="s">
        <v>48</v>
      </c>
      <c r="K179" s="103" t="s">
        <v>48</v>
      </c>
      <c r="L179" s="103" t="s">
        <v>48</v>
      </c>
      <c r="M179" s="103" t="s">
        <v>48</v>
      </c>
      <c r="N179" s="6" t="s">
        <v>48</v>
      </c>
      <c r="O179" s="6" t="s">
        <v>48</v>
      </c>
      <c r="P179" s="6" t="s">
        <v>48</v>
      </c>
      <c r="Q179" s="6" t="s">
        <v>856</v>
      </c>
      <c r="R179" s="6" t="s">
        <v>857</v>
      </c>
      <c r="S179" s="6" t="s">
        <v>48</v>
      </c>
      <c r="T179" s="6" t="s">
        <v>48</v>
      </c>
      <c r="U179" s="6" t="s">
        <v>48</v>
      </c>
      <c r="V179" s="102" t="s">
        <v>1854</v>
      </c>
      <c r="W179" s="102" t="s">
        <v>1854</v>
      </c>
      <c r="X179" s="103" t="s">
        <v>1712</v>
      </c>
      <c r="Y179" s="102" t="s">
        <v>1708</v>
      </c>
      <c r="Z179" s="102" t="s">
        <v>1708</v>
      </c>
      <c r="AA179" s="102" t="s">
        <v>1855</v>
      </c>
      <c r="AB179" s="102" t="s">
        <v>595</v>
      </c>
      <c r="AC179" s="102" t="s">
        <v>1687</v>
      </c>
      <c r="AD179" s="102" t="s">
        <v>1853</v>
      </c>
      <c r="AE179" s="103" t="s">
        <v>82</v>
      </c>
      <c r="AF179" s="102" t="s">
        <v>1858</v>
      </c>
    </row>
    <row r="180" spans="1:32" ht="75" hidden="1" customHeight="1">
      <c r="A180" s="103" t="s">
        <v>660</v>
      </c>
      <c r="B180" s="103" t="s">
        <v>446</v>
      </c>
      <c r="C180" s="6" t="s">
        <v>540</v>
      </c>
      <c r="D180" s="70">
        <v>15000</v>
      </c>
      <c r="E180" s="6" t="s">
        <v>48</v>
      </c>
      <c r="F180" s="6" t="s">
        <v>48</v>
      </c>
      <c r="G180" s="6" t="s">
        <v>48</v>
      </c>
      <c r="H180" s="6" t="s">
        <v>48</v>
      </c>
      <c r="I180" s="6" t="s">
        <v>48</v>
      </c>
      <c r="J180" s="6" t="s">
        <v>48</v>
      </c>
      <c r="K180" s="9" t="s">
        <v>48</v>
      </c>
      <c r="L180" s="9" t="s">
        <v>48</v>
      </c>
      <c r="M180" s="9" t="s">
        <v>48</v>
      </c>
      <c r="N180" s="102" t="s">
        <v>48</v>
      </c>
      <c r="O180" s="102" t="s">
        <v>48</v>
      </c>
      <c r="P180" s="102" t="s">
        <v>48</v>
      </c>
      <c r="Q180" s="6" t="s">
        <v>48</v>
      </c>
      <c r="R180" s="6" t="s">
        <v>48</v>
      </c>
      <c r="S180" s="6" t="s">
        <v>48</v>
      </c>
      <c r="T180" s="6" t="s">
        <v>48</v>
      </c>
      <c r="U180" s="6" t="s">
        <v>48</v>
      </c>
      <c r="V180" s="102" t="s">
        <v>1854</v>
      </c>
      <c r="W180" s="102" t="s">
        <v>1854</v>
      </c>
      <c r="X180" s="103" t="s">
        <v>1712</v>
      </c>
      <c r="Y180" s="102" t="s">
        <v>1708</v>
      </c>
      <c r="Z180" s="102" t="s">
        <v>1708</v>
      </c>
      <c r="AA180" s="102" t="s">
        <v>1855</v>
      </c>
      <c r="AB180" s="102" t="s">
        <v>595</v>
      </c>
      <c r="AC180" s="102" t="s">
        <v>1687</v>
      </c>
      <c r="AD180" s="6" t="s">
        <v>1853</v>
      </c>
      <c r="AE180" s="103" t="s">
        <v>82</v>
      </c>
      <c r="AF180" s="102" t="s">
        <v>1858</v>
      </c>
    </row>
    <row r="181" spans="1:32" ht="75" hidden="1" customHeight="1">
      <c r="A181" s="6" t="s">
        <v>31</v>
      </c>
      <c r="B181" s="6" t="s">
        <v>643</v>
      </c>
      <c r="C181" s="6" t="s">
        <v>644</v>
      </c>
      <c r="D181" s="70">
        <v>30000</v>
      </c>
      <c r="E181" s="6" t="s">
        <v>48</v>
      </c>
      <c r="F181" s="6" t="s">
        <v>48</v>
      </c>
      <c r="G181" s="6" t="s">
        <v>48</v>
      </c>
      <c r="H181" s="6" t="s">
        <v>48</v>
      </c>
      <c r="I181" s="6" t="s">
        <v>48</v>
      </c>
      <c r="J181" s="6" t="s">
        <v>48</v>
      </c>
      <c r="K181" s="102" t="s">
        <v>48</v>
      </c>
      <c r="L181" s="102" t="s">
        <v>48</v>
      </c>
      <c r="M181" s="102" t="s">
        <v>48</v>
      </c>
      <c r="N181" s="102" t="s">
        <v>48</v>
      </c>
      <c r="O181" s="102" t="s">
        <v>48</v>
      </c>
      <c r="P181" s="102" t="s">
        <v>48</v>
      </c>
      <c r="Q181" s="6" t="s">
        <v>48</v>
      </c>
      <c r="R181" s="6" t="s">
        <v>48</v>
      </c>
      <c r="S181" s="6" t="s">
        <v>48</v>
      </c>
      <c r="T181" s="6" t="s">
        <v>48</v>
      </c>
      <c r="U181" s="6" t="s">
        <v>48</v>
      </c>
      <c r="V181" s="102" t="s">
        <v>644</v>
      </c>
      <c r="W181" s="102" t="str">
        <f>V181</f>
        <v>RX27.0_R02_1831.a</v>
      </c>
      <c r="X181" s="102" t="s">
        <v>48</v>
      </c>
      <c r="Y181" s="102" t="s">
        <v>48</v>
      </c>
      <c r="Z181" s="102" t="s">
        <v>48</v>
      </c>
      <c r="AA181" s="102" t="s">
        <v>48</v>
      </c>
      <c r="AB181" s="102" t="s">
        <v>48</v>
      </c>
      <c r="AC181" s="102" t="s">
        <v>48</v>
      </c>
      <c r="AD181" s="6" t="s">
        <v>48</v>
      </c>
      <c r="AE181" s="103" t="s">
        <v>49</v>
      </c>
      <c r="AF181" s="79" t="s">
        <v>645</v>
      </c>
    </row>
    <row r="182" spans="1:32" ht="75" hidden="1" customHeight="1">
      <c r="A182" s="6" t="s">
        <v>231</v>
      </c>
      <c r="B182" s="102" t="s">
        <v>647</v>
      </c>
      <c r="C182" s="6" t="s">
        <v>646</v>
      </c>
      <c r="D182" s="70">
        <v>15000</v>
      </c>
      <c r="E182" s="6" t="s">
        <v>48</v>
      </c>
      <c r="F182" s="6" t="s">
        <v>48</v>
      </c>
      <c r="G182" s="6" t="s">
        <v>48</v>
      </c>
      <c r="H182" s="6" t="s">
        <v>48</v>
      </c>
      <c r="I182" s="6" t="s">
        <v>48</v>
      </c>
      <c r="J182" s="6" t="s">
        <v>48</v>
      </c>
      <c r="K182" s="102" t="s">
        <v>80</v>
      </c>
      <c r="L182" s="102" t="s">
        <v>744</v>
      </c>
      <c r="M182" s="102" t="s">
        <v>747</v>
      </c>
      <c r="N182" s="102" t="s">
        <v>745</v>
      </c>
      <c r="O182" s="102">
        <v>5815499</v>
      </c>
      <c r="P182" s="102" t="s">
        <v>746</v>
      </c>
      <c r="Q182" s="6" t="s">
        <v>48</v>
      </c>
      <c r="R182" s="6" t="s">
        <v>48</v>
      </c>
      <c r="S182" s="6" t="s">
        <v>48</v>
      </c>
      <c r="T182" s="6" t="s">
        <v>48</v>
      </c>
      <c r="U182" s="6" t="s">
        <v>48</v>
      </c>
      <c r="V182" s="102" t="s">
        <v>1691</v>
      </c>
      <c r="W182" s="102" t="s">
        <v>1691</v>
      </c>
      <c r="X182" s="102" t="s">
        <v>1751</v>
      </c>
      <c r="Y182" s="102" t="s">
        <v>1708</v>
      </c>
      <c r="Z182" s="102" t="s">
        <v>1708</v>
      </c>
      <c r="AA182" s="102" t="s">
        <v>1752</v>
      </c>
      <c r="AB182" s="102" t="s">
        <v>595</v>
      </c>
      <c r="AC182" s="102" t="s">
        <v>1687</v>
      </c>
      <c r="AD182" s="102" t="s">
        <v>1767</v>
      </c>
      <c r="AE182" s="6" t="s">
        <v>49</v>
      </c>
      <c r="AF182" s="120" t="s">
        <v>1692</v>
      </c>
    </row>
    <row r="183" spans="1:32" ht="75" hidden="1" customHeight="1">
      <c r="A183" s="6" t="s">
        <v>232</v>
      </c>
      <c r="B183" s="102" t="s">
        <v>647</v>
      </c>
      <c r="C183" s="6" t="s">
        <v>646</v>
      </c>
      <c r="D183" s="70">
        <v>15000</v>
      </c>
      <c r="E183" s="6" t="s">
        <v>48</v>
      </c>
      <c r="F183" s="6" t="s">
        <v>48</v>
      </c>
      <c r="G183" s="6" t="s">
        <v>48</v>
      </c>
      <c r="H183" s="6" t="s">
        <v>48</v>
      </c>
      <c r="I183" s="6" t="s">
        <v>48</v>
      </c>
      <c r="J183" s="6" t="s">
        <v>48</v>
      </c>
      <c r="K183" s="102" t="s">
        <v>80</v>
      </c>
      <c r="L183" s="102" t="s">
        <v>744</v>
      </c>
      <c r="M183" s="102" t="s">
        <v>747</v>
      </c>
      <c r="N183" s="102" t="s">
        <v>745</v>
      </c>
      <c r="O183" s="102">
        <v>5815499</v>
      </c>
      <c r="P183" s="102" t="s">
        <v>746</v>
      </c>
      <c r="Q183" s="6" t="s">
        <v>48</v>
      </c>
      <c r="R183" s="6" t="s">
        <v>48</v>
      </c>
      <c r="S183" s="6" t="s">
        <v>48</v>
      </c>
      <c r="T183" s="6" t="s">
        <v>48</v>
      </c>
      <c r="U183" s="6" t="s">
        <v>48</v>
      </c>
      <c r="V183" s="102" t="s">
        <v>1691</v>
      </c>
      <c r="W183" s="102" t="s">
        <v>1691</v>
      </c>
      <c r="X183" s="102" t="s">
        <v>1751</v>
      </c>
      <c r="Y183" s="102" t="s">
        <v>1708</v>
      </c>
      <c r="Z183" s="102" t="s">
        <v>1708</v>
      </c>
      <c r="AA183" s="102" t="s">
        <v>1752</v>
      </c>
      <c r="AB183" s="102" t="s">
        <v>595</v>
      </c>
      <c r="AC183" s="102" t="s">
        <v>1687</v>
      </c>
      <c r="AD183" s="102" t="s">
        <v>1767</v>
      </c>
      <c r="AE183" s="6" t="s">
        <v>49</v>
      </c>
      <c r="AF183" s="120" t="s">
        <v>1692</v>
      </c>
    </row>
    <row r="184" spans="1:32" ht="75" hidden="1" customHeight="1">
      <c r="A184" s="6" t="s">
        <v>233</v>
      </c>
      <c r="B184" s="6" t="s">
        <v>647</v>
      </c>
      <c r="C184" s="6" t="s">
        <v>646</v>
      </c>
      <c r="D184" s="70">
        <v>15000</v>
      </c>
      <c r="E184" s="6" t="s">
        <v>48</v>
      </c>
      <c r="F184" s="6" t="s">
        <v>48</v>
      </c>
      <c r="G184" s="6" t="s">
        <v>48</v>
      </c>
      <c r="H184" s="6" t="s">
        <v>48</v>
      </c>
      <c r="I184" s="6" t="s">
        <v>48</v>
      </c>
      <c r="J184" s="6" t="s">
        <v>48</v>
      </c>
      <c r="K184" s="102" t="s">
        <v>80</v>
      </c>
      <c r="L184" s="102" t="s">
        <v>744</v>
      </c>
      <c r="M184" s="102" t="s">
        <v>747</v>
      </c>
      <c r="N184" s="102" t="s">
        <v>745</v>
      </c>
      <c r="O184" s="102">
        <v>5815499</v>
      </c>
      <c r="P184" s="102" t="s">
        <v>746</v>
      </c>
      <c r="Q184" s="6" t="s">
        <v>48</v>
      </c>
      <c r="R184" s="6" t="s">
        <v>48</v>
      </c>
      <c r="S184" s="6" t="s">
        <v>48</v>
      </c>
      <c r="T184" s="6" t="s">
        <v>48</v>
      </c>
      <c r="U184" s="6" t="s">
        <v>48</v>
      </c>
      <c r="V184" s="102" t="s">
        <v>1011</v>
      </c>
      <c r="W184" s="102" t="s">
        <v>646</v>
      </c>
      <c r="X184" s="102" t="s">
        <v>1071</v>
      </c>
      <c r="Y184" s="102" t="s">
        <v>1034</v>
      </c>
      <c r="Z184" s="102" t="s">
        <v>48</v>
      </c>
      <c r="AA184" s="102" t="s">
        <v>1074</v>
      </c>
      <c r="AB184" s="102" t="s">
        <v>473</v>
      </c>
      <c r="AC184" s="102" t="s">
        <v>1075</v>
      </c>
      <c r="AD184" s="102" t="s">
        <v>1046</v>
      </c>
      <c r="AE184" s="6" t="s">
        <v>49</v>
      </c>
      <c r="AF184" s="79" t="s">
        <v>648</v>
      </c>
    </row>
    <row r="185" spans="1:32" ht="75" hidden="1" customHeight="1">
      <c r="A185" s="6" t="s">
        <v>36</v>
      </c>
      <c r="B185" s="102" t="s">
        <v>647</v>
      </c>
      <c r="C185" s="6" t="s">
        <v>646</v>
      </c>
      <c r="D185" s="70">
        <v>30000</v>
      </c>
      <c r="E185" s="6" t="s">
        <v>48</v>
      </c>
      <c r="F185" s="6" t="s">
        <v>48</v>
      </c>
      <c r="G185" s="6" t="s">
        <v>48</v>
      </c>
      <c r="H185" s="6" t="s">
        <v>48</v>
      </c>
      <c r="I185" s="6" t="s">
        <v>48</v>
      </c>
      <c r="J185" s="6" t="s">
        <v>48</v>
      </c>
      <c r="K185" s="6" t="s">
        <v>80</v>
      </c>
      <c r="L185" s="6" t="s">
        <v>744</v>
      </c>
      <c r="M185" s="6" t="s">
        <v>747</v>
      </c>
      <c r="N185" s="6" t="s">
        <v>745</v>
      </c>
      <c r="O185" s="6">
        <v>5815499</v>
      </c>
      <c r="P185" s="6" t="s">
        <v>746</v>
      </c>
      <c r="Q185" s="6" t="s">
        <v>48</v>
      </c>
      <c r="R185" s="6" t="s">
        <v>48</v>
      </c>
      <c r="S185" s="6" t="s">
        <v>48</v>
      </c>
      <c r="T185" s="6" t="s">
        <v>48</v>
      </c>
      <c r="U185" s="6" t="s">
        <v>48</v>
      </c>
      <c r="V185" s="102" t="s">
        <v>1691</v>
      </c>
      <c r="W185" s="102" t="s">
        <v>1691</v>
      </c>
      <c r="X185" s="102" t="s">
        <v>1751</v>
      </c>
      <c r="Y185" s="102" t="s">
        <v>1708</v>
      </c>
      <c r="Z185" s="102" t="s">
        <v>1708</v>
      </c>
      <c r="AA185" s="102" t="s">
        <v>1752</v>
      </c>
      <c r="AB185" s="102" t="s">
        <v>595</v>
      </c>
      <c r="AC185" s="102" t="s">
        <v>1687</v>
      </c>
      <c r="AD185" s="102" t="s">
        <v>1767</v>
      </c>
      <c r="AE185" s="6" t="s">
        <v>49</v>
      </c>
      <c r="AF185" s="120" t="s">
        <v>1692</v>
      </c>
    </row>
    <row r="186" spans="1:32" ht="75" hidden="1" customHeight="1">
      <c r="A186" s="6" t="s">
        <v>940</v>
      </c>
      <c r="B186" s="6" t="s">
        <v>647</v>
      </c>
      <c r="C186" s="6" t="s">
        <v>646</v>
      </c>
      <c r="D186" s="70">
        <v>30000</v>
      </c>
      <c r="E186" s="6" t="s">
        <v>48</v>
      </c>
      <c r="F186" s="6" t="s">
        <v>48</v>
      </c>
      <c r="G186" s="6" t="s">
        <v>48</v>
      </c>
      <c r="H186" s="6" t="s">
        <v>48</v>
      </c>
      <c r="I186" s="6" t="s">
        <v>48</v>
      </c>
      <c r="J186" s="6" t="s">
        <v>48</v>
      </c>
      <c r="K186" s="102" t="s">
        <v>80</v>
      </c>
      <c r="L186" s="6" t="s">
        <v>744</v>
      </c>
      <c r="M186" s="102" t="s">
        <v>747</v>
      </c>
      <c r="N186" s="6" t="s">
        <v>745</v>
      </c>
      <c r="O186" s="6">
        <v>5815499</v>
      </c>
      <c r="P186" s="6" t="s">
        <v>746</v>
      </c>
      <c r="Q186" s="6" t="s">
        <v>48</v>
      </c>
      <c r="R186" s="6" t="s">
        <v>48</v>
      </c>
      <c r="S186" s="6" t="s">
        <v>48</v>
      </c>
      <c r="T186" s="6" t="s">
        <v>48</v>
      </c>
      <c r="U186" s="6" t="s">
        <v>48</v>
      </c>
      <c r="V186" s="102" t="s">
        <v>1691</v>
      </c>
      <c r="W186" s="102" t="s">
        <v>1691</v>
      </c>
      <c r="X186" s="102" t="s">
        <v>1751</v>
      </c>
      <c r="Y186" s="102" t="s">
        <v>1708</v>
      </c>
      <c r="Z186" s="102" t="s">
        <v>1708</v>
      </c>
      <c r="AA186" s="102" t="s">
        <v>1752</v>
      </c>
      <c r="AB186" s="102" t="s">
        <v>595</v>
      </c>
      <c r="AC186" s="102" t="s">
        <v>1687</v>
      </c>
      <c r="AD186" s="102" t="s">
        <v>1767</v>
      </c>
      <c r="AE186" s="6" t="s">
        <v>49</v>
      </c>
      <c r="AF186" s="120" t="s">
        <v>1692</v>
      </c>
    </row>
    <row r="187" spans="1:32" ht="75" hidden="1" customHeight="1">
      <c r="A187" s="6" t="s">
        <v>40</v>
      </c>
      <c r="B187" s="6" t="s">
        <v>647</v>
      </c>
      <c r="C187" s="6" t="s">
        <v>646</v>
      </c>
      <c r="D187" s="70">
        <v>30000</v>
      </c>
      <c r="E187" s="6" t="s">
        <v>48</v>
      </c>
      <c r="F187" s="6" t="s">
        <v>48</v>
      </c>
      <c r="G187" s="6" t="s">
        <v>48</v>
      </c>
      <c r="H187" s="6" t="s">
        <v>48</v>
      </c>
      <c r="I187" s="6" t="s">
        <v>48</v>
      </c>
      <c r="J187" s="6" t="s">
        <v>48</v>
      </c>
      <c r="K187" s="102" t="s">
        <v>80</v>
      </c>
      <c r="L187" s="102" t="s">
        <v>744</v>
      </c>
      <c r="M187" s="102" t="s">
        <v>747</v>
      </c>
      <c r="N187" s="102" t="s">
        <v>745</v>
      </c>
      <c r="O187" s="102">
        <v>5815499</v>
      </c>
      <c r="P187" s="102" t="s">
        <v>746</v>
      </c>
      <c r="Q187" s="6" t="s">
        <v>48</v>
      </c>
      <c r="R187" s="6" t="s">
        <v>48</v>
      </c>
      <c r="S187" s="6" t="s">
        <v>48</v>
      </c>
      <c r="T187" s="6" t="s">
        <v>48</v>
      </c>
      <c r="U187" s="6" t="s">
        <v>48</v>
      </c>
      <c r="V187" s="102" t="s">
        <v>1691</v>
      </c>
      <c r="W187" s="102" t="s">
        <v>1691</v>
      </c>
      <c r="X187" s="102" t="s">
        <v>1751</v>
      </c>
      <c r="Y187" s="102" t="s">
        <v>1708</v>
      </c>
      <c r="Z187" s="102" t="s">
        <v>1708</v>
      </c>
      <c r="AA187" s="102" t="s">
        <v>1752</v>
      </c>
      <c r="AB187" s="102" t="s">
        <v>595</v>
      </c>
      <c r="AC187" s="102" t="s">
        <v>1687</v>
      </c>
      <c r="AD187" s="102" t="s">
        <v>1767</v>
      </c>
      <c r="AE187" s="6" t="s">
        <v>49</v>
      </c>
      <c r="AF187" s="120" t="s">
        <v>1692</v>
      </c>
    </row>
    <row r="188" spans="1:32" ht="75" hidden="1" customHeight="1">
      <c r="A188" s="6" t="s">
        <v>41</v>
      </c>
      <c r="B188" s="6" t="s">
        <v>647</v>
      </c>
      <c r="C188" s="6" t="s">
        <v>646</v>
      </c>
      <c r="D188" s="70">
        <v>15000</v>
      </c>
      <c r="E188" s="6" t="s">
        <v>48</v>
      </c>
      <c r="F188" s="6" t="s">
        <v>48</v>
      </c>
      <c r="G188" s="6" t="s">
        <v>48</v>
      </c>
      <c r="H188" s="6" t="s">
        <v>48</v>
      </c>
      <c r="I188" s="6" t="s">
        <v>48</v>
      </c>
      <c r="J188" s="6" t="s">
        <v>48</v>
      </c>
      <c r="K188" s="6" t="s">
        <v>80</v>
      </c>
      <c r="L188" s="6" t="s">
        <v>744</v>
      </c>
      <c r="M188" s="6" t="s">
        <v>747</v>
      </c>
      <c r="N188" s="6" t="s">
        <v>745</v>
      </c>
      <c r="O188" s="6">
        <v>5815499</v>
      </c>
      <c r="P188" s="6" t="s">
        <v>746</v>
      </c>
      <c r="Q188" s="6" t="s">
        <v>48</v>
      </c>
      <c r="R188" s="6" t="s">
        <v>48</v>
      </c>
      <c r="S188" s="6" t="s">
        <v>48</v>
      </c>
      <c r="T188" s="6" t="s">
        <v>48</v>
      </c>
      <c r="U188" s="6" t="s">
        <v>48</v>
      </c>
      <c r="V188" s="102" t="s">
        <v>1691</v>
      </c>
      <c r="W188" s="102" t="s">
        <v>1691</v>
      </c>
      <c r="X188" s="102" t="s">
        <v>1751</v>
      </c>
      <c r="Y188" s="102" t="s">
        <v>1708</v>
      </c>
      <c r="Z188" s="102" t="s">
        <v>1708</v>
      </c>
      <c r="AA188" s="102" t="s">
        <v>1752</v>
      </c>
      <c r="AB188" s="102" t="s">
        <v>595</v>
      </c>
      <c r="AC188" s="102" t="s">
        <v>1687</v>
      </c>
      <c r="AD188" s="102" t="s">
        <v>1767</v>
      </c>
      <c r="AE188" s="6" t="s">
        <v>49</v>
      </c>
      <c r="AF188" s="120" t="s">
        <v>1692</v>
      </c>
    </row>
    <row r="189" spans="1:32" s="86" customFormat="1" ht="75" hidden="1" customHeight="1">
      <c r="A189" s="103" t="s">
        <v>454</v>
      </c>
      <c r="B189" s="103" t="s">
        <v>240</v>
      </c>
      <c r="C189" s="6" t="s">
        <v>769</v>
      </c>
      <c r="D189" s="85">
        <v>30000</v>
      </c>
      <c r="E189" s="6" t="s">
        <v>48</v>
      </c>
      <c r="F189" s="6" t="s">
        <v>48</v>
      </c>
      <c r="G189" s="6" t="s">
        <v>48</v>
      </c>
      <c r="H189" s="6" t="s">
        <v>48</v>
      </c>
      <c r="I189" s="6" t="s">
        <v>48</v>
      </c>
      <c r="J189" s="6" t="s">
        <v>48</v>
      </c>
      <c r="K189" s="103" t="s">
        <v>48</v>
      </c>
      <c r="L189" s="103" t="s">
        <v>48</v>
      </c>
      <c r="M189" s="103" t="s">
        <v>48</v>
      </c>
      <c r="N189" s="103" t="s">
        <v>48</v>
      </c>
      <c r="O189" s="103" t="s">
        <v>48</v>
      </c>
      <c r="P189" s="6" t="s">
        <v>48</v>
      </c>
      <c r="Q189" s="103" t="s">
        <v>80</v>
      </c>
      <c r="R189" s="103" t="s">
        <v>770</v>
      </c>
      <c r="S189" s="103" t="s">
        <v>48</v>
      </c>
      <c r="T189" s="103" t="s">
        <v>48</v>
      </c>
      <c r="U189" s="103" t="s">
        <v>48</v>
      </c>
      <c r="V189" s="102" t="s">
        <v>930</v>
      </c>
      <c r="W189" s="102" t="s">
        <v>930</v>
      </c>
      <c r="X189" s="102" t="s">
        <v>961</v>
      </c>
      <c r="Y189" s="102" t="s">
        <v>962</v>
      </c>
      <c r="Z189" s="102" t="s">
        <v>962</v>
      </c>
      <c r="AA189" s="102" t="s">
        <v>963</v>
      </c>
      <c r="AB189" s="102" t="s">
        <v>473</v>
      </c>
      <c r="AC189" s="102" t="s">
        <v>935</v>
      </c>
      <c r="AD189" s="84" t="s">
        <v>48</v>
      </c>
      <c r="AE189" s="84" t="s">
        <v>49</v>
      </c>
      <c r="AF189" s="83" t="s">
        <v>722</v>
      </c>
    </row>
    <row r="190" spans="1:32" ht="75" hidden="1" customHeight="1">
      <c r="A190" s="6" t="s">
        <v>40</v>
      </c>
      <c r="B190" s="6" t="s">
        <v>739</v>
      </c>
      <c r="C190" s="6" t="s">
        <v>740</v>
      </c>
      <c r="D190" s="70">
        <v>30000</v>
      </c>
      <c r="E190" s="6" t="s">
        <v>48</v>
      </c>
      <c r="F190" s="6" t="s">
        <v>48</v>
      </c>
      <c r="G190" s="6" t="s">
        <v>48</v>
      </c>
      <c r="H190" s="6" t="s">
        <v>48</v>
      </c>
      <c r="I190" s="6" t="s">
        <v>48</v>
      </c>
      <c r="J190" s="6" t="s">
        <v>48</v>
      </c>
      <c r="K190" s="6" t="s">
        <v>80</v>
      </c>
      <c r="L190" s="6" t="s">
        <v>884</v>
      </c>
      <c r="M190" s="6" t="s">
        <v>886</v>
      </c>
      <c r="N190" s="6" t="s">
        <v>901</v>
      </c>
      <c r="O190" s="6" t="s">
        <v>492</v>
      </c>
      <c r="P190" s="6" t="s">
        <v>743</v>
      </c>
      <c r="Q190" s="6" t="s">
        <v>48</v>
      </c>
      <c r="R190" s="6" t="s">
        <v>48</v>
      </c>
      <c r="S190" s="6" t="s">
        <v>48</v>
      </c>
      <c r="T190" s="6" t="s">
        <v>48</v>
      </c>
      <c r="U190" s="6" t="s">
        <v>48</v>
      </c>
      <c r="V190" s="102" t="s">
        <v>1518</v>
      </c>
      <c r="W190" s="102" t="s">
        <v>740</v>
      </c>
      <c r="X190" s="102" t="s">
        <v>1502</v>
      </c>
      <c r="Y190" s="102" t="s">
        <v>1500</v>
      </c>
      <c r="Z190" s="102" t="s">
        <v>48</v>
      </c>
      <c r="AA190" s="102" t="s">
        <v>1503</v>
      </c>
      <c r="AB190" s="102" t="s">
        <v>473</v>
      </c>
      <c r="AC190" s="102" t="s">
        <v>1501</v>
      </c>
      <c r="AD190" s="6" t="s">
        <v>1506</v>
      </c>
      <c r="AE190" s="6" t="s">
        <v>49</v>
      </c>
      <c r="AF190" s="6" t="s">
        <v>888</v>
      </c>
    </row>
    <row r="191" spans="1:32" ht="75" hidden="1" customHeight="1">
      <c r="A191" s="6" t="s">
        <v>31</v>
      </c>
      <c r="B191" s="6" t="s">
        <v>739</v>
      </c>
      <c r="C191" s="6" t="s">
        <v>742</v>
      </c>
      <c r="D191" s="70">
        <v>30000</v>
      </c>
      <c r="E191" s="6" t="s">
        <v>48</v>
      </c>
      <c r="F191" s="6" t="s">
        <v>48</v>
      </c>
      <c r="G191" s="6" t="s">
        <v>48</v>
      </c>
      <c r="H191" s="6" t="s">
        <v>48</v>
      </c>
      <c r="I191" s="6" t="s">
        <v>48</v>
      </c>
      <c r="J191" s="6" t="s">
        <v>48</v>
      </c>
      <c r="K191" s="102" t="s">
        <v>76</v>
      </c>
      <c r="L191" s="102" t="s">
        <v>885</v>
      </c>
      <c r="M191" s="102" t="s">
        <v>887</v>
      </c>
      <c r="N191" s="102" t="s">
        <v>901</v>
      </c>
      <c r="O191" s="102" t="s">
        <v>492</v>
      </c>
      <c r="P191" s="102" t="s">
        <v>743</v>
      </c>
      <c r="Q191" s="6" t="s">
        <v>48</v>
      </c>
      <c r="R191" s="6" t="s">
        <v>48</v>
      </c>
      <c r="S191" s="6" t="s">
        <v>48</v>
      </c>
      <c r="T191" s="6" t="s">
        <v>48</v>
      </c>
      <c r="U191" s="6" t="s">
        <v>48</v>
      </c>
      <c r="V191" s="102" t="s">
        <v>742</v>
      </c>
      <c r="W191" s="102" t="s">
        <v>742</v>
      </c>
      <c r="X191" s="102" t="s">
        <v>1231</v>
      </c>
      <c r="Y191" s="102" t="s">
        <v>48</v>
      </c>
      <c r="Z191" s="102" t="s">
        <v>48</v>
      </c>
      <c r="AA191" s="102" t="s">
        <v>48</v>
      </c>
      <c r="AB191" s="102" t="s">
        <v>48</v>
      </c>
      <c r="AC191" s="102" t="s">
        <v>741</v>
      </c>
      <c r="AD191" s="6" t="s">
        <v>48</v>
      </c>
      <c r="AE191" s="6" t="s">
        <v>49</v>
      </c>
      <c r="AF191" s="6" t="s">
        <v>888</v>
      </c>
    </row>
    <row r="192" spans="1:32" ht="75" hidden="1" customHeight="1">
      <c r="A192" s="6" t="s">
        <v>660</v>
      </c>
      <c r="B192" s="6" t="s">
        <v>779</v>
      </c>
      <c r="C192" s="6" t="s">
        <v>778</v>
      </c>
      <c r="D192" s="70">
        <v>15000</v>
      </c>
      <c r="E192" s="6" t="s">
        <v>48</v>
      </c>
      <c r="F192" s="6" t="s">
        <v>48</v>
      </c>
      <c r="G192" s="6" t="s">
        <v>48</v>
      </c>
      <c r="H192" s="6" t="s">
        <v>48</v>
      </c>
      <c r="I192" s="6" t="s">
        <v>48</v>
      </c>
      <c r="J192" s="6" t="s">
        <v>48</v>
      </c>
      <c r="K192" s="9" t="s">
        <v>65</v>
      </c>
      <c r="L192" s="102" t="s">
        <v>48</v>
      </c>
      <c r="M192" s="8" t="s">
        <v>48</v>
      </c>
      <c r="N192" s="102" t="s">
        <v>48</v>
      </c>
      <c r="O192" s="102" t="s">
        <v>48</v>
      </c>
      <c r="P192" s="102" t="s">
        <v>48</v>
      </c>
      <c r="Q192" s="6" t="s">
        <v>48</v>
      </c>
      <c r="R192" s="6" t="s">
        <v>48</v>
      </c>
      <c r="S192" s="6" t="s">
        <v>48</v>
      </c>
      <c r="T192" s="6" t="s">
        <v>48</v>
      </c>
      <c r="U192" s="6" t="s">
        <v>48</v>
      </c>
      <c r="V192" s="102" t="s">
        <v>1851</v>
      </c>
      <c r="W192" s="102" t="str">
        <f>V192</f>
        <v>PX26.0_R04_2127.a
PX26.3_R04_2127.a
VX28.0_R05_2127.a</v>
      </c>
      <c r="X192" s="102" t="s">
        <v>1712</v>
      </c>
      <c r="Y192" s="102" t="s">
        <v>1708</v>
      </c>
      <c r="Z192" s="102" t="s">
        <v>1708</v>
      </c>
      <c r="AA192" s="102" t="s">
        <v>1852</v>
      </c>
      <c r="AB192" s="102" t="s">
        <v>595</v>
      </c>
      <c r="AC192" s="102" t="s">
        <v>1687</v>
      </c>
      <c r="AD192" s="6" t="s">
        <v>1853</v>
      </c>
      <c r="AE192" s="103" t="s">
        <v>199</v>
      </c>
      <c r="AF192" s="102" t="s">
        <v>1857</v>
      </c>
    </row>
    <row r="193" spans="1:32" ht="75" hidden="1" customHeight="1">
      <c r="A193" s="6" t="s">
        <v>41</v>
      </c>
      <c r="B193" s="6" t="s">
        <v>802</v>
      </c>
      <c r="C193" s="6" t="s">
        <v>801</v>
      </c>
      <c r="D193" s="70">
        <v>15000</v>
      </c>
      <c r="E193" s="6" t="s">
        <v>48</v>
      </c>
      <c r="F193" s="6" t="s">
        <v>48</v>
      </c>
      <c r="G193" s="6" t="s">
        <v>48</v>
      </c>
      <c r="H193" s="6" t="s">
        <v>48</v>
      </c>
      <c r="I193" s="6" t="s">
        <v>48</v>
      </c>
      <c r="J193" s="6" t="s">
        <v>48</v>
      </c>
      <c r="K193" s="9" t="s">
        <v>65</v>
      </c>
      <c r="L193" s="102" t="s">
        <v>48</v>
      </c>
      <c r="M193" s="8" t="s">
        <v>48</v>
      </c>
      <c r="N193" s="102" t="s">
        <v>48</v>
      </c>
      <c r="O193" s="102" t="s">
        <v>48</v>
      </c>
      <c r="P193" s="102" t="s">
        <v>48</v>
      </c>
      <c r="Q193" s="6" t="s">
        <v>48</v>
      </c>
      <c r="R193" s="6" t="s">
        <v>48</v>
      </c>
      <c r="S193" s="6" t="s">
        <v>48</v>
      </c>
      <c r="T193" s="6" t="s">
        <v>48</v>
      </c>
      <c r="U193" s="6" t="s">
        <v>48</v>
      </c>
      <c r="V193" s="102" t="s">
        <v>1694</v>
      </c>
      <c r="W193" s="102" t="s">
        <v>1694</v>
      </c>
      <c r="X193" s="102" t="s">
        <v>1861</v>
      </c>
      <c r="Y193" s="102" t="s">
        <v>1708</v>
      </c>
      <c r="Z193" s="102" t="s">
        <v>1708</v>
      </c>
      <c r="AA193" s="102" t="s">
        <v>1862</v>
      </c>
      <c r="AB193" s="102" t="s">
        <v>595</v>
      </c>
      <c r="AC193" s="102" t="s">
        <v>1687</v>
      </c>
      <c r="AD193" s="6" t="s">
        <v>1863</v>
      </c>
      <c r="AE193" s="103" t="s">
        <v>199</v>
      </c>
      <c r="AF193" s="102" t="s">
        <v>932</v>
      </c>
    </row>
    <row r="194" spans="1:32" ht="75" hidden="1" customHeight="1">
      <c r="A194" s="6" t="s">
        <v>40</v>
      </c>
      <c r="B194" s="6" t="s">
        <v>866</v>
      </c>
      <c r="C194" s="6" t="s">
        <v>861</v>
      </c>
      <c r="D194" s="70">
        <v>30000</v>
      </c>
      <c r="E194" s="6" t="s">
        <v>48</v>
      </c>
      <c r="F194" s="6" t="s">
        <v>48</v>
      </c>
      <c r="G194" s="6" t="s">
        <v>48</v>
      </c>
      <c r="H194" s="6" t="s">
        <v>48</v>
      </c>
      <c r="I194" s="6" t="s">
        <v>48</v>
      </c>
      <c r="J194" s="6" t="s">
        <v>48</v>
      </c>
      <c r="K194" s="103" t="s">
        <v>65</v>
      </c>
      <c r="L194" s="6" t="s">
        <v>48</v>
      </c>
      <c r="M194" s="102" t="s">
        <v>48</v>
      </c>
      <c r="N194" s="102" t="s">
        <v>48</v>
      </c>
      <c r="O194" s="102" t="s">
        <v>48</v>
      </c>
      <c r="P194" s="102" t="s">
        <v>48</v>
      </c>
      <c r="Q194" s="6" t="s">
        <v>48</v>
      </c>
      <c r="R194" s="6" t="s">
        <v>48</v>
      </c>
      <c r="S194" s="6" t="s">
        <v>48</v>
      </c>
      <c r="T194" s="6" t="s">
        <v>48</v>
      </c>
      <c r="U194" s="6" t="s">
        <v>48</v>
      </c>
      <c r="V194" s="102" t="s">
        <v>1761</v>
      </c>
      <c r="W194" s="102" t="s">
        <v>1761</v>
      </c>
      <c r="X194" s="102" t="s">
        <v>1771</v>
      </c>
      <c r="Y194" s="102" t="s">
        <v>1708</v>
      </c>
      <c r="Z194" s="102" t="s">
        <v>1708</v>
      </c>
      <c r="AA194" s="102" t="s">
        <v>1772</v>
      </c>
      <c r="AB194" s="102" t="s">
        <v>595</v>
      </c>
      <c r="AC194" s="102" t="s">
        <v>1687</v>
      </c>
      <c r="AD194" s="6" t="s">
        <v>1774</v>
      </c>
      <c r="AE194" s="6" t="s">
        <v>49</v>
      </c>
      <c r="AF194" s="6"/>
    </row>
    <row r="195" spans="1:32" ht="75" hidden="1" customHeight="1">
      <c r="A195" s="6" t="s">
        <v>31</v>
      </c>
      <c r="B195" s="6" t="s">
        <v>866</v>
      </c>
      <c r="C195" s="6" t="s">
        <v>863</v>
      </c>
      <c r="D195" s="70">
        <v>30000</v>
      </c>
      <c r="E195" s="6" t="s">
        <v>48</v>
      </c>
      <c r="F195" s="6" t="s">
        <v>48</v>
      </c>
      <c r="G195" s="6" t="s">
        <v>48</v>
      </c>
      <c r="H195" s="6" t="s">
        <v>48</v>
      </c>
      <c r="I195" s="6" t="s">
        <v>48</v>
      </c>
      <c r="J195" s="6" t="s">
        <v>48</v>
      </c>
      <c r="K195" s="103" t="s">
        <v>65</v>
      </c>
      <c r="L195" s="6" t="s">
        <v>48</v>
      </c>
      <c r="M195" s="8" t="s">
        <v>48</v>
      </c>
      <c r="N195" s="6" t="s">
        <v>48</v>
      </c>
      <c r="O195" s="6" t="s">
        <v>48</v>
      </c>
      <c r="P195" s="6" t="s">
        <v>48</v>
      </c>
      <c r="Q195" s="6" t="s">
        <v>48</v>
      </c>
      <c r="R195" s="6" t="s">
        <v>48</v>
      </c>
      <c r="S195" s="6" t="s">
        <v>48</v>
      </c>
      <c r="T195" s="6" t="s">
        <v>48</v>
      </c>
      <c r="U195" s="6" t="s">
        <v>48</v>
      </c>
      <c r="V195" s="102" t="s">
        <v>937</v>
      </c>
      <c r="W195" s="102" t="s">
        <v>937</v>
      </c>
      <c r="X195" s="102" t="s">
        <v>959</v>
      </c>
      <c r="Y195" s="102" t="s">
        <v>958</v>
      </c>
      <c r="Z195" s="102" t="s">
        <v>958</v>
      </c>
      <c r="AA195" s="102" t="s">
        <v>960</v>
      </c>
      <c r="AB195" s="102" t="s">
        <v>595</v>
      </c>
      <c r="AC195" s="102" t="s">
        <v>867</v>
      </c>
      <c r="AD195" s="6" t="s">
        <v>978</v>
      </c>
      <c r="AE195" s="6" t="s">
        <v>49</v>
      </c>
      <c r="AF195" s="6" t="s">
        <v>868</v>
      </c>
    </row>
    <row r="196" spans="1:32" ht="75" hidden="1" customHeight="1">
      <c r="A196" s="6" t="s">
        <v>865</v>
      </c>
      <c r="B196" s="6" t="s">
        <v>866</v>
      </c>
      <c r="C196" s="6" t="s">
        <v>864</v>
      </c>
      <c r="D196" s="70">
        <v>30000</v>
      </c>
      <c r="E196" s="6" t="s">
        <v>48</v>
      </c>
      <c r="F196" s="6" t="s">
        <v>48</v>
      </c>
      <c r="G196" s="6" t="s">
        <v>48</v>
      </c>
      <c r="H196" s="6" t="s">
        <v>48</v>
      </c>
      <c r="I196" s="6" t="s">
        <v>48</v>
      </c>
      <c r="J196" s="6" t="s">
        <v>48</v>
      </c>
      <c r="K196" s="103" t="s">
        <v>65</v>
      </c>
      <c r="L196" s="6" t="s">
        <v>48</v>
      </c>
      <c r="M196" s="8" t="s">
        <v>48</v>
      </c>
      <c r="N196" s="6" t="s">
        <v>48</v>
      </c>
      <c r="O196" s="6" t="s">
        <v>48</v>
      </c>
      <c r="P196" s="6" t="s">
        <v>48</v>
      </c>
      <c r="Q196" s="6" t="s">
        <v>48</v>
      </c>
      <c r="R196" s="6" t="s">
        <v>48</v>
      </c>
      <c r="S196" s="6" t="s">
        <v>48</v>
      </c>
      <c r="T196" s="6" t="s">
        <v>48</v>
      </c>
      <c r="U196" s="6" t="s">
        <v>48</v>
      </c>
      <c r="V196" s="7" t="s">
        <v>1776</v>
      </c>
      <c r="W196" s="7" t="s">
        <v>1776</v>
      </c>
      <c r="X196" s="102" t="s">
        <v>1784</v>
      </c>
      <c r="Y196" s="102" t="s">
        <v>1708</v>
      </c>
      <c r="Z196" s="102" t="s">
        <v>1708</v>
      </c>
      <c r="AA196" s="102" t="s">
        <v>1785</v>
      </c>
      <c r="AB196" s="102" t="s">
        <v>595</v>
      </c>
      <c r="AC196" s="102" t="s">
        <v>1687</v>
      </c>
      <c r="AD196" s="6" t="s">
        <v>1774</v>
      </c>
      <c r="AE196" s="6" t="s">
        <v>49</v>
      </c>
      <c r="AF196" s="6"/>
    </row>
    <row r="197" spans="1:32" ht="75" hidden="1" customHeight="1">
      <c r="A197" s="6" t="s">
        <v>660</v>
      </c>
      <c r="B197" s="6" t="s">
        <v>446</v>
      </c>
      <c r="C197" s="6" t="s">
        <v>870</v>
      </c>
      <c r="D197" s="70">
        <v>15000</v>
      </c>
      <c r="E197" s="6" t="s">
        <v>48</v>
      </c>
      <c r="F197" s="6" t="s">
        <v>48</v>
      </c>
      <c r="G197" s="6" t="s">
        <v>48</v>
      </c>
      <c r="H197" s="6" t="s">
        <v>48</v>
      </c>
      <c r="I197" s="6" t="s">
        <v>48</v>
      </c>
      <c r="J197" s="6" t="s">
        <v>48</v>
      </c>
      <c r="K197" s="103" t="s">
        <v>65</v>
      </c>
      <c r="L197" s="6" t="s">
        <v>48</v>
      </c>
      <c r="M197" s="8" t="s">
        <v>48</v>
      </c>
      <c r="N197" s="6" t="s">
        <v>48</v>
      </c>
      <c r="O197" s="6" t="s">
        <v>48</v>
      </c>
      <c r="P197" s="6" t="s">
        <v>48</v>
      </c>
      <c r="Q197" s="6" t="s">
        <v>48</v>
      </c>
      <c r="R197" s="6" t="s">
        <v>48</v>
      </c>
      <c r="S197" s="6" t="s">
        <v>48</v>
      </c>
      <c r="T197" s="6" t="s">
        <v>48</v>
      </c>
      <c r="U197" s="6" t="s">
        <v>48</v>
      </c>
      <c r="V197" s="102" t="s">
        <v>1854</v>
      </c>
      <c r="W197" s="102" t="s">
        <v>1854</v>
      </c>
      <c r="X197" s="103" t="s">
        <v>1712</v>
      </c>
      <c r="Y197" s="102" t="s">
        <v>1708</v>
      </c>
      <c r="Z197" s="102" t="s">
        <v>1708</v>
      </c>
      <c r="AA197" s="102" t="s">
        <v>1855</v>
      </c>
      <c r="AB197" s="102" t="s">
        <v>595</v>
      </c>
      <c r="AC197" s="102" t="s">
        <v>1687</v>
      </c>
      <c r="AD197" s="6" t="s">
        <v>1853</v>
      </c>
      <c r="AE197" s="6" t="s">
        <v>82</v>
      </c>
      <c r="AF197" s="102" t="s">
        <v>1858</v>
      </c>
    </row>
    <row r="198" spans="1:32" ht="75" hidden="1" customHeight="1">
      <c r="A198" s="6" t="s">
        <v>23</v>
      </c>
      <c r="B198" s="102" t="s">
        <v>874</v>
      </c>
      <c r="C198" s="6" t="s">
        <v>872</v>
      </c>
      <c r="D198" s="70">
        <v>15000</v>
      </c>
      <c r="E198" s="6" t="s">
        <v>48</v>
      </c>
      <c r="F198" s="6" t="s">
        <v>48</v>
      </c>
      <c r="G198" s="6" t="s">
        <v>48</v>
      </c>
      <c r="H198" s="6" t="s">
        <v>48</v>
      </c>
      <c r="I198" s="6" t="s">
        <v>48</v>
      </c>
      <c r="J198" s="6" t="s">
        <v>48</v>
      </c>
      <c r="K198" s="103" t="s">
        <v>65</v>
      </c>
      <c r="L198" s="6" t="s">
        <v>48</v>
      </c>
      <c r="M198" s="8" t="s">
        <v>48</v>
      </c>
      <c r="N198" s="6" t="s">
        <v>48</v>
      </c>
      <c r="O198" s="6" t="s">
        <v>48</v>
      </c>
      <c r="P198" s="6" t="s">
        <v>48</v>
      </c>
      <c r="Q198" s="6" t="s">
        <v>48</v>
      </c>
      <c r="R198" s="6" t="s">
        <v>48</v>
      </c>
      <c r="S198" s="6" t="s">
        <v>48</v>
      </c>
      <c r="T198" s="6" t="s">
        <v>48</v>
      </c>
      <c r="U198" s="6" t="s">
        <v>48</v>
      </c>
      <c r="V198" s="102" t="s">
        <v>1824</v>
      </c>
      <c r="W198" s="102" t="s">
        <v>1824</v>
      </c>
      <c r="X198" s="102" t="s">
        <v>1828</v>
      </c>
      <c r="Y198" s="102" t="s">
        <v>1708</v>
      </c>
      <c r="Z198" s="102" t="s">
        <v>1708</v>
      </c>
      <c r="AA198" s="102" t="s">
        <v>1829</v>
      </c>
      <c r="AB198" s="102" t="s">
        <v>595</v>
      </c>
      <c r="AC198" s="102" t="s">
        <v>1687</v>
      </c>
      <c r="AD198" s="6" t="s">
        <v>1830</v>
      </c>
      <c r="AE198" s="6" t="s">
        <v>82</v>
      </c>
      <c r="AF198" s="102" t="s">
        <v>1827</v>
      </c>
    </row>
    <row r="199" spans="1:32" ht="75" hidden="1" customHeight="1">
      <c r="A199" s="6" t="s">
        <v>232</v>
      </c>
      <c r="B199" s="6" t="s">
        <v>891</v>
      </c>
      <c r="C199" s="6" t="s">
        <v>890</v>
      </c>
      <c r="D199" s="70">
        <v>15000</v>
      </c>
      <c r="E199" s="6" t="s">
        <v>48</v>
      </c>
      <c r="F199" s="6" t="s">
        <v>48</v>
      </c>
      <c r="G199" s="6" t="s">
        <v>48</v>
      </c>
      <c r="H199" s="6" t="s">
        <v>48</v>
      </c>
      <c r="I199" s="6" t="s">
        <v>48</v>
      </c>
      <c r="J199" s="6" t="s">
        <v>48</v>
      </c>
      <c r="K199" s="103" t="s">
        <v>80</v>
      </c>
      <c r="L199" s="6" t="s">
        <v>923</v>
      </c>
      <c r="M199" s="8" t="s">
        <v>922</v>
      </c>
      <c r="N199" s="6" t="s">
        <v>1082</v>
      </c>
      <c r="O199" s="6" t="s">
        <v>921</v>
      </c>
      <c r="P199" s="6" t="s">
        <v>924</v>
      </c>
      <c r="Q199" s="6" t="s">
        <v>48</v>
      </c>
      <c r="R199" s="6" t="s">
        <v>48</v>
      </c>
      <c r="S199" s="6" t="s">
        <v>48</v>
      </c>
      <c r="T199" s="6" t="s">
        <v>48</v>
      </c>
      <c r="U199" s="6" t="s">
        <v>48</v>
      </c>
      <c r="V199" s="102" t="s">
        <v>1691</v>
      </c>
      <c r="W199" s="102" t="s">
        <v>1691</v>
      </c>
      <c r="X199" s="102" t="s">
        <v>1751</v>
      </c>
      <c r="Y199" s="102" t="s">
        <v>1708</v>
      </c>
      <c r="Z199" s="102" t="s">
        <v>1708</v>
      </c>
      <c r="AA199" s="102" t="s">
        <v>1752</v>
      </c>
      <c r="AB199" s="102" t="s">
        <v>595</v>
      </c>
      <c r="AC199" s="102" t="s">
        <v>1687</v>
      </c>
      <c r="AD199" s="102" t="s">
        <v>1767</v>
      </c>
      <c r="AE199" s="6" t="s">
        <v>82</v>
      </c>
      <c r="AF199" s="120" t="s">
        <v>1692</v>
      </c>
    </row>
    <row r="200" spans="1:32" ht="75" hidden="1" customHeight="1">
      <c r="A200" s="6" t="s">
        <v>233</v>
      </c>
      <c r="B200" s="6" t="s">
        <v>891</v>
      </c>
      <c r="C200" s="6" t="s">
        <v>890</v>
      </c>
      <c r="D200" s="70">
        <v>15000</v>
      </c>
      <c r="E200" s="6" t="s">
        <v>48</v>
      </c>
      <c r="F200" s="6" t="s">
        <v>48</v>
      </c>
      <c r="G200" s="6" t="s">
        <v>48</v>
      </c>
      <c r="H200" s="6" t="s">
        <v>48</v>
      </c>
      <c r="I200" s="6" t="s">
        <v>48</v>
      </c>
      <c r="J200" s="6" t="s">
        <v>48</v>
      </c>
      <c r="K200" s="103" t="s">
        <v>80</v>
      </c>
      <c r="L200" s="6" t="s">
        <v>923</v>
      </c>
      <c r="M200" s="8" t="s">
        <v>922</v>
      </c>
      <c r="N200" s="102" t="s">
        <v>1082</v>
      </c>
      <c r="O200" s="6" t="s">
        <v>921</v>
      </c>
      <c r="P200" s="6" t="s">
        <v>924</v>
      </c>
      <c r="Q200" s="6" t="s">
        <v>48</v>
      </c>
      <c r="R200" s="6" t="s">
        <v>48</v>
      </c>
      <c r="S200" s="6" t="s">
        <v>48</v>
      </c>
      <c r="T200" s="6" t="s">
        <v>48</v>
      </c>
      <c r="U200" s="6" t="s">
        <v>48</v>
      </c>
      <c r="V200" s="102" t="s">
        <v>1011</v>
      </c>
      <c r="W200" s="102" t="s">
        <v>890</v>
      </c>
      <c r="X200" s="102" t="s">
        <v>1071</v>
      </c>
      <c r="Y200" s="102" t="s">
        <v>1034</v>
      </c>
      <c r="Z200" s="102" t="s">
        <v>48</v>
      </c>
      <c r="AA200" s="102" t="s">
        <v>1074</v>
      </c>
      <c r="AB200" s="102" t="s">
        <v>473</v>
      </c>
      <c r="AC200" s="102" t="s">
        <v>1076</v>
      </c>
      <c r="AD200" s="102" t="s">
        <v>1046</v>
      </c>
      <c r="AE200" s="6" t="s">
        <v>82</v>
      </c>
      <c r="AF200" s="102" t="s">
        <v>925</v>
      </c>
    </row>
    <row r="201" spans="1:32" ht="75" hidden="1" customHeight="1">
      <c r="A201" s="6" t="s">
        <v>36</v>
      </c>
      <c r="B201" s="6" t="s">
        <v>891</v>
      </c>
      <c r="C201" s="6" t="s">
        <v>890</v>
      </c>
      <c r="D201" s="70">
        <v>30000</v>
      </c>
      <c r="E201" s="6" t="s">
        <v>48</v>
      </c>
      <c r="F201" s="6" t="s">
        <v>48</v>
      </c>
      <c r="G201" s="6" t="s">
        <v>48</v>
      </c>
      <c r="H201" s="6" t="s">
        <v>48</v>
      </c>
      <c r="I201" s="6" t="s">
        <v>48</v>
      </c>
      <c r="J201" s="6" t="s">
        <v>48</v>
      </c>
      <c r="K201" s="103" t="s">
        <v>80</v>
      </c>
      <c r="L201" s="6" t="s">
        <v>923</v>
      </c>
      <c r="M201" s="8" t="s">
        <v>922</v>
      </c>
      <c r="N201" s="102" t="s">
        <v>1082</v>
      </c>
      <c r="O201" s="6" t="s">
        <v>921</v>
      </c>
      <c r="P201" s="6" t="s">
        <v>924</v>
      </c>
      <c r="Q201" s="6" t="s">
        <v>48</v>
      </c>
      <c r="R201" s="6" t="s">
        <v>48</v>
      </c>
      <c r="S201" s="6" t="s">
        <v>48</v>
      </c>
      <c r="T201" s="6" t="s">
        <v>48</v>
      </c>
      <c r="U201" s="6" t="s">
        <v>48</v>
      </c>
      <c r="V201" s="102" t="s">
        <v>1691</v>
      </c>
      <c r="W201" s="102" t="s">
        <v>1691</v>
      </c>
      <c r="X201" s="102" t="s">
        <v>1751</v>
      </c>
      <c r="Y201" s="102" t="s">
        <v>1708</v>
      </c>
      <c r="Z201" s="102" t="s">
        <v>1708</v>
      </c>
      <c r="AA201" s="102" t="s">
        <v>1752</v>
      </c>
      <c r="AB201" s="102" t="s">
        <v>595</v>
      </c>
      <c r="AC201" s="102" t="s">
        <v>1687</v>
      </c>
      <c r="AD201" s="102" t="s">
        <v>1767</v>
      </c>
      <c r="AE201" s="6" t="s">
        <v>82</v>
      </c>
      <c r="AF201" s="120" t="s">
        <v>1692</v>
      </c>
    </row>
    <row r="202" spans="1:32" ht="75" hidden="1" customHeight="1">
      <c r="A202" s="6" t="s">
        <v>940</v>
      </c>
      <c r="B202" s="6" t="s">
        <v>891</v>
      </c>
      <c r="C202" s="6" t="s">
        <v>890</v>
      </c>
      <c r="D202" s="70">
        <v>30000</v>
      </c>
      <c r="E202" s="6" t="s">
        <v>48</v>
      </c>
      <c r="F202" s="6" t="s">
        <v>48</v>
      </c>
      <c r="G202" s="6" t="s">
        <v>48</v>
      </c>
      <c r="H202" s="6" t="s">
        <v>48</v>
      </c>
      <c r="I202" s="6" t="s">
        <v>48</v>
      </c>
      <c r="J202" s="6" t="s">
        <v>48</v>
      </c>
      <c r="K202" s="103" t="s">
        <v>80</v>
      </c>
      <c r="L202" s="6" t="s">
        <v>923</v>
      </c>
      <c r="M202" s="8" t="s">
        <v>922</v>
      </c>
      <c r="N202" s="102" t="s">
        <v>1082</v>
      </c>
      <c r="O202" s="6" t="s">
        <v>921</v>
      </c>
      <c r="P202" s="6" t="s">
        <v>924</v>
      </c>
      <c r="Q202" s="6" t="s">
        <v>48</v>
      </c>
      <c r="R202" s="6" t="s">
        <v>48</v>
      </c>
      <c r="S202" s="6" t="s">
        <v>48</v>
      </c>
      <c r="T202" s="6" t="s">
        <v>48</v>
      </c>
      <c r="U202" s="6" t="s">
        <v>48</v>
      </c>
      <c r="V202" s="102" t="s">
        <v>1691</v>
      </c>
      <c r="W202" s="102" t="s">
        <v>1691</v>
      </c>
      <c r="X202" s="102" t="s">
        <v>1751</v>
      </c>
      <c r="Y202" s="102" t="s">
        <v>1708</v>
      </c>
      <c r="Z202" s="102" t="s">
        <v>1708</v>
      </c>
      <c r="AA202" s="102" t="s">
        <v>1752</v>
      </c>
      <c r="AB202" s="102" t="s">
        <v>595</v>
      </c>
      <c r="AC202" s="102" t="s">
        <v>1687</v>
      </c>
      <c r="AD202" s="102" t="s">
        <v>1767</v>
      </c>
      <c r="AE202" s="6" t="s">
        <v>82</v>
      </c>
      <c r="AF202" s="120" t="s">
        <v>1692</v>
      </c>
    </row>
    <row r="203" spans="1:32" ht="75" hidden="1" customHeight="1">
      <c r="A203" s="6" t="s">
        <v>41</v>
      </c>
      <c r="B203" s="6" t="s">
        <v>891</v>
      </c>
      <c r="C203" s="6" t="s">
        <v>890</v>
      </c>
      <c r="D203" s="70">
        <v>15000</v>
      </c>
      <c r="E203" s="6" t="s">
        <v>48</v>
      </c>
      <c r="F203" s="6" t="s">
        <v>48</v>
      </c>
      <c r="G203" s="6" t="s">
        <v>48</v>
      </c>
      <c r="H203" s="6" t="s">
        <v>48</v>
      </c>
      <c r="I203" s="6" t="s">
        <v>48</v>
      </c>
      <c r="J203" s="6" t="s">
        <v>48</v>
      </c>
      <c r="K203" s="103" t="s">
        <v>80</v>
      </c>
      <c r="L203" s="6" t="s">
        <v>923</v>
      </c>
      <c r="M203" s="8" t="s">
        <v>922</v>
      </c>
      <c r="N203" s="102" t="s">
        <v>1082</v>
      </c>
      <c r="O203" s="6" t="s">
        <v>921</v>
      </c>
      <c r="P203" s="6" t="s">
        <v>924</v>
      </c>
      <c r="Q203" s="6" t="s">
        <v>48</v>
      </c>
      <c r="R203" s="6" t="s">
        <v>48</v>
      </c>
      <c r="S203" s="6" t="s">
        <v>48</v>
      </c>
      <c r="T203" s="6" t="s">
        <v>48</v>
      </c>
      <c r="U203" s="6" t="s">
        <v>48</v>
      </c>
      <c r="V203" s="102" t="s">
        <v>1691</v>
      </c>
      <c r="W203" s="102" t="s">
        <v>1691</v>
      </c>
      <c r="X203" s="102" t="s">
        <v>1751</v>
      </c>
      <c r="Y203" s="102" t="s">
        <v>1708</v>
      </c>
      <c r="Z203" s="102" t="s">
        <v>1708</v>
      </c>
      <c r="AA203" s="102" t="s">
        <v>1752</v>
      </c>
      <c r="AB203" s="102" t="s">
        <v>595</v>
      </c>
      <c r="AC203" s="102" t="s">
        <v>1687</v>
      </c>
      <c r="AD203" s="102" t="s">
        <v>1767</v>
      </c>
      <c r="AE203" s="6" t="s">
        <v>82</v>
      </c>
      <c r="AF203" s="120" t="s">
        <v>1692</v>
      </c>
    </row>
    <row r="204" spans="1:32" ht="75" hidden="1" customHeight="1">
      <c r="A204" s="6" t="s">
        <v>40</v>
      </c>
      <c r="B204" s="6" t="s">
        <v>891</v>
      </c>
      <c r="C204" s="6" t="s">
        <v>890</v>
      </c>
      <c r="D204" s="70">
        <v>30000</v>
      </c>
      <c r="E204" s="6" t="s">
        <v>48</v>
      </c>
      <c r="F204" s="6" t="s">
        <v>48</v>
      </c>
      <c r="G204" s="6" t="s">
        <v>48</v>
      </c>
      <c r="H204" s="6" t="s">
        <v>48</v>
      </c>
      <c r="I204" s="6" t="s">
        <v>48</v>
      </c>
      <c r="J204" s="6" t="s">
        <v>48</v>
      </c>
      <c r="K204" s="103" t="s">
        <v>80</v>
      </c>
      <c r="L204" s="6" t="s">
        <v>923</v>
      </c>
      <c r="M204" s="8" t="s">
        <v>922</v>
      </c>
      <c r="N204" s="102" t="s">
        <v>1082</v>
      </c>
      <c r="O204" s="6" t="s">
        <v>921</v>
      </c>
      <c r="P204" s="6" t="s">
        <v>924</v>
      </c>
      <c r="Q204" s="6" t="s">
        <v>48</v>
      </c>
      <c r="R204" s="6" t="s">
        <v>48</v>
      </c>
      <c r="S204" s="6" t="s">
        <v>48</v>
      </c>
      <c r="T204" s="6" t="s">
        <v>48</v>
      </c>
      <c r="U204" s="6" t="s">
        <v>48</v>
      </c>
      <c r="V204" s="102" t="s">
        <v>1691</v>
      </c>
      <c r="W204" s="102" t="s">
        <v>1691</v>
      </c>
      <c r="X204" s="102" t="s">
        <v>1751</v>
      </c>
      <c r="Y204" s="102" t="s">
        <v>1708</v>
      </c>
      <c r="Z204" s="102" t="s">
        <v>1708</v>
      </c>
      <c r="AA204" s="102" t="s">
        <v>1752</v>
      </c>
      <c r="AB204" s="102" t="s">
        <v>595</v>
      </c>
      <c r="AC204" s="102" t="s">
        <v>1687</v>
      </c>
      <c r="AD204" s="102" t="s">
        <v>1767</v>
      </c>
      <c r="AE204" s="6" t="s">
        <v>82</v>
      </c>
      <c r="AF204" s="120" t="s">
        <v>1692</v>
      </c>
    </row>
    <row r="205" spans="1:32" ht="75" hidden="1" customHeight="1">
      <c r="A205" s="6" t="s">
        <v>23</v>
      </c>
      <c r="B205" s="102" t="s">
        <v>874</v>
      </c>
      <c r="C205" s="6" t="s">
        <v>926</v>
      </c>
      <c r="D205" s="70">
        <v>15000</v>
      </c>
      <c r="E205" s="6" t="s">
        <v>48</v>
      </c>
      <c r="F205" s="6" t="s">
        <v>48</v>
      </c>
      <c r="G205" s="6" t="s">
        <v>48</v>
      </c>
      <c r="H205" s="6" t="s">
        <v>48</v>
      </c>
      <c r="I205" s="6" t="s">
        <v>48</v>
      </c>
      <c r="J205" s="6" t="s">
        <v>48</v>
      </c>
      <c r="K205" s="9" t="s">
        <v>48</v>
      </c>
      <c r="L205" s="9" t="s">
        <v>48</v>
      </c>
      <c r="M205" s="9" t="s">
        <v>48</v>
      </c>
      <c r="N205" s="9" t="s">
        <v>48</v>
      </c>
      <c r="O205" s="9" t="s">
        <v>48</v>
      </c>
      <c r="P205" s="9" t="s">
        <v>48</v>
      </c>
      <c r="Q205" s="6" t="s">
        <v>48</v>
      </c>
      <c r="R205" s="6" t="s">
        <v>48</v>
      </c>
      <c r="S205" s="6" t="s">
        <v>48</v>
      </c>
      <c r="T205" s="6" t="s">
        <v>48</v>
      </c>
      <c r="U205" s="6" t="s">
        <v>48</v>
      </c>
      <c r="V205" s="102" t="s">
        <v>1824</v>
      </c>
      <c r="W205" s="102" t="s">
        <v>1824</v>
      </c>
      <c r="X205" s="102" t="s">
        <v>1828</v>
      </c>
      <c r="Y205" s="102" t="s">
        <v>1708</v>
      </c>
      <c r="Z205" s="102" t="s">
        <v>1708</v>
      </c>
      <c r="AA205" s="102" t="s">
        <v>1829</v>
      </c>
      <c r="AB205" s="102" t="s">
        <v>595</v>
      </c>
      <c r="AC205" s="102" t="s">
        <v>1687</v>
      </c>
      <c r="AD205" s="102" t="s">
        <v>1830</v>
      </c>
      <c r="AE205" s="6" t="s">
        <v>82</v>
      </c>
      <c r="AF205" s="102" t="s">
        <v>1827</v>
      </c>
    </row>
    <row r="206" spans="1:32" ht="75" hidden="1" customHeight="1">
      <c r="A206" s="6" t="s">
        <v>41</v>
      </c>
      <c r="B206" s="6" t="s">
        <v>802</v>
      </c>
      <c r="C206" s="6" t="s">
        <v>928</v>
      </c>
      <c r="D206" s="70">
        <v>15000</v>
      </c>
      <c r="E206" s="6" t="s">
        <v>48</v>
      </c>
      <c r="F206" s="6" t="s">
        <v>48</v>
      </c>
      <c r="G206" s="6" t="s">
        <v>48</v>
      </c>
      <c r="H206" s="6" t="s">
        <v>48</v>
      </c>
      <c r="I206" s="6" t="s">
        <v>48</v>
      </c>
      <c r="J206" s="6" t="s">
        <v>48</v>
      </c>
      <c r="K206" s="103" t="s">
        <v>48</v>
      </c>
      <c r="L206" s="103" t="s">
        <v>48</v>
      </c>
      <c r="M206" s="103" t="s">
        <v>48</v>
      </c>
      <c r="N206" s="103" t="s">
        <v>48</v>
      </c>
      <c r="O206" s="103" t="s">
        <v>48</v>
      </c>
      <c r="P206" s="103" t="s">
        <v>48</v>
      </c>
      <c r="Q206" s="6" t="s">
        <v>48</v>
      </c>
      <c r="R206" s="6" t="s">
        <v>48</v>
      </c>
      <c r="S206" s="6" t="s">
        <v>48</v>
      </c>
      <c r="T206" s="6" t="s">
        <v>48</v>
      </c>
      <c r="U206" s="6" t="s">
        <v>48</v>
      </c>
      <c r="V206" s="102" t="s">
        <v>1694</v>
      </c>
      <c r="W206" s="102" t="s">
        <v>1694</v>
      </c>
      <c r="X206" s="102" t="s">
        <v>1861</v>
      </c>
      <c r="Y206" s="102" t="s">
        <v>1708</v>
      </c>
      <c r="Z206" s="102" t="s">
        <v>1708</v>
      </c>
      <c r="AA206" s="102" t="s">
        <v>1862</v>
      </c>
      <c r="AB206" s="102" t="s">
        <v>595</v>
      </c>
      <c r="AC206" s="102" t="s">
        <v>1687</v>
      </c>
      <c r="AD206" s="6" t="s">
        <v>1863</v>
      </c>
      <c r="AE206" s="6" t="s">
        <v>82</v>
      </c>
      <c r="AF206" s="102" t="s">
        <v>932</v>
      </c>
    </row>
    <row r="207" spans="1:32" ht="75" hidden="1" customHeight="1">
      <c r="A207" s="6" t="s">
        <v>660</v>
      </c>
      <c r="B207" s="6" t="s">
        <v>933</v>
      </c>
      <c r="C207" s="6" t="s">
        <v>929</v>
      </c>
      <c r="D207" s="70">
        <v>15000</v>
      </c>
      <c r="E207" s="6" t="s">
        <v>48</v>
      </c>
      <c r="F207" s="6" t="s">
        <v>48</v>
      </c>
      <c r="G207" s="6" t="s">
        <v>48</v>
      </c>
      <c r="H207" s="6" t="s">
        <v>48</v>
      </c>
      <c r="I207" s="6" t="s">
        <v>48</v>
      </c>
      <c r="J207" s="6" t="s">
        <v>48</v>
      </c>
      <c r="K207" s="103" t="s">
        <v>48</v>
      </c>
      <c r="L207" s="103" t="s">
        <v>48</v>
      </c>
      <c r="M207" s="103" t="s">
        <v>48</v>
      </c>
      <c r="N207" s="103" t="s">
        <v>48</v>
      </c>
      <c r="O207" s="103" t="s">
        <v>48</v>
      </c>
      <c r="P207" s="103" t="s">
        <v>48</v>
      </c>
      <c r="Q207" s="6" t="s">
        <v>48</v>
      </c>
      <c r="R207" s="6" t="s">
        <v>48</v>
      </c>
      <c r="S207" s="6" t="s">
        <v>48</v>
      </c>
      <c r="T207" s="6" t="s">
        <v>48</v>
      </c>
      <c r="U207" s="6" t="s">
        <v>48</v>
      </c>
      <c r="V207" s="102" t="s">
        <v>1851</v>
      </c>
      <c r="W207" s="102" t="str">
        <f>V207</f>
        <v>PX26.0_R04_2127.a
PX26.3_R04_2127.a
VX28.0_R05_2127.a</v>
      </c>
      <c r="X207" s="102" t="s">
        <v>1712</v>
      </c>
      <c r="Y207" s="102" t="s">
        <v>1708</v>
      </c>
      <c r="Z207" s="102" t="s">
        <v>1708</v>
      </c>
      <c r="AA207" s="102" t="s">
        <v>1852</v>
      </c>
      <c r="AB207" s="102" t="s">
        <v>595</v>
      </c>
      <c r="AC207" s="102" t="s">
        <v>1687</v>
      </c>
      <c r="AD207" s="6" t="s">
        <v>1853</v>
      </c>
      <c r="AE207" s="6" t="s">
        <v>82</v>
      </c>
      <c r="AF207" s="102" t="s">
        <v>1857</v>
      </c>
    </row>
    <row r="208" spans="1:32" ht="75" hidden="1" customHeight="1">
      <c r="A208" s="6" t="s">
        <v>454</v>
      </c>
      <c r="B208" s="6" t="s">
        <v>934</v>
      </c>
      <c r="C208" s="6" t="s">
        <v>930</v>
      </c>
      <c r="D208" s="70">
        <v>30000</v>
      </c>
      <c r="E208" s="6" t="s">
        <v>48</v>
      </c>
      <c r="F208" s="6" t="s">
        <v>48</v>
      </c>
      <c r="G208" s="6" t="s">
        <v>48</v>
      </c>
      <c r="H208" s="6" t="s">
        <v>48</v>
      </c>
      <c r="I208" s="6" t="s">
        <v>48</v>
      </c>
      <c r="J208" s="6" t="s">
        <v>48</v>
      </c>
      <c r="K208" s="103" t="s">
        <v>1388</v>
      </c>
      <c r="L208" s="124" t="s">
        <v>1387</v>
      </c>
      <c r="M208" s="103" t="s">
        <v>1389</v>
      </c>
      <c r="N208" s="103" t="s">
        <v>1390</v>
      </c>
      <c r="O208" s="103" t="s">
        <v>1391</v>
      </c>
      <c r="P208" s="103" t="s">
        <v>1392</v>
      </c>
      <c r="Q208" s="6" t="s">
        <v>48</v>
      </c>
      <c r="R208" s="6" t="s">
        <v>48</v>
      </c>
      <c r="S208" s="6" t="s">
        <v>48</v>
      </c>
      <c r="T208" s="6" t="s">
        <v>48</v>
      </c>
      <c r="U208" s="6" t="s">
        <v>48</v>
      </c>
      <c r="V208" s="102" t="s">
        <v>1803</v>
      </c>
      <c r="W208" s="102" t="s">
        <v>1803</v>
      </c>
      <c r="X208" s="102" t="s">
        <v>1804</v>
      </c>
      <c r="Y208" s="102" t="s">
        <v>1708</v>
      </c>
      <c r="Z208" s="102" t="s">
        <v>1708</v>
      </c>
      <c r="AA208" s="102" t="s">
        <v>1807</v>
      </c>
      <c r="AB208" s="102" t="s">
        <v>595</v>
      </c>
      <c r="AC208" s="102" t="s">
        <v>935</v>
      </c>
      <c r="AD208" s="6" t="s">
        <v>1808</v>
      </c>
      <c r="AE208" s="6" t="s">
        <v>49</v>
      </c>
      <c r="AF208" s="102"/>
    </row>
    <row r="209" spans="1:32" ht="75" hidden="1" customHeight="1">
      <c r="A209" s="6" t="s">
        <v>31</v>
      </c>
      <c r="B209" s="6" t="s">
        <v>938</v>
      </c>
      <c r="C209" s="6" t="s">
        <v>937</v>
      </c>
      <c r="D209" s="70">
        <v>30000</v>
      </c>
      <c r="E209" s="6" t="s">
        <v>48</v>
      </c>
      <c r="F209" s="6" t="s">
        <v>48</v>
      </c>
      <c r="G209" s="6" t="s">
        <v>48</v>
      </c>
      <c r="H209" s="6" t="s">
        <v>48</v>
      </c>
      <c r="I209" s="6" t="s">
        <v>48</v>
      </c>
      <c r="J209" s="6" t="s">
        <v>48</v>
      </c>
      <c r="K209" s="103" t="s">
        <v>48</v>
      </c>
      <c r="L209" s="103" t="s">
        <v>48</v>
      </c>
      <c r="M209" s="103" t="s">
        <v>48</v>
      </c>
      <c r="N209" s="103" t="s">
        <v>48</v>
      </c>
      <c r="O209" s="103" t="s">
        <v>48</v>
      </c>
      <c r="P209" s="103" t="s">
        <v>48</v>
      </c>
      <c r="Q209" s="6" t="s">
        <v>48</v>
      </c>
      <c r="R209" s="6" t="s">
        <v>48</v>
      </c>
      <c r="S209" s="6" t="s">
        <v>48</v>
      </c>
      <c r="T209" s="6" t="s">
        <v>48</v>
      </c>
      <c r="U209" s="6" t="s">
        <v>48</v>
      </c>
      <c r="V209" s="102" t="s">
        <v>937</v>
      </c>
      <c r="W209" s="102" t="s">
        <v>937</v>
      </c>
      <c r="X209" s="102" t="s">
        <v>48</v>
      </c>
      <c r="Y209" s="102" t="s">
        <v>48</v>
      </c>
      <c r="Z209" s="102" t="s">
        <v>48</v>
      </c>
      <c r="AA209" s="102" t="s">
        <v>48</v>
      </c>
      <c r="AB209" s="102" t="s">
        <v>48</v>
      </c>
      <c r="AC209" s="102" t="s">
        <v>944</v>
      </c>
      <c r="AD209" s="6" t="s">
        <v>48</v>
      </c>
      <c r="AE209" s="6" t="s">
        <v>49</v>
      </c>
      <c r="AF209" s="102" t="s">
        <v>939</v>
      </c>
    </row>
    <row r="210" spans="1:32" ht="75" hidden="1" customHeight="1">
      <c r="A210" s="6" t="s">
        <v>865</v>
      </c>
      <c r="B210" s="6" t="s">
        <v>943</v>
      </c>
      <c r="C210" s="6" t="s">
        <v>942</v>
      </c>
      <c r="D210" s="70">
        <v>30000</v>
      </c>
      <c r="E210" s="6" t="s">
        <v>48</v>
      </c>
      <c r="F210" s="6" t="s">
        <v>48</v>
      </c>
      <c r="G210" s="6" t="s">
        <v>48</v>
      </c>
      <c r="H210" s="6" t="s">
        <v>48</v>
      </c>
      <c r="I210" s="6" t="s">
        <v>48</v>
      </c>
      <c r="J210" s="6" t="s">
        <v>48</v>
      </c>
      <c r="K210" s="103" t="s">
        <v>48</v>
      </c>
      <c r="L210" s="103" t="s">
        <v>48</v>
      </c>
      <c r="M210" s="103" t="s">
        <v>48</v>
      </c>
      <c r="N210" s="103" t="s">
        <v>48</v>
      </c>
      <c r="O210" s="103" t="s">
        <v>48</v>
      </c>
      <c r="P210" s="103" t="s">
        <v>48</v>
      </c>
      <c r="Q210" s="6" t="s">
        <v>48</v>
      </c>
      <c r="R210" s="6" t="s">
        <v>48</v>
      </c>
      <c r="S210" s="6" t="s">
        <v>48</v>
      </c>
      <c r="T210" s="6" t="s">
        <v>48</v>
      </c>
      <c r="U210" s="6" t="s">
        <v>48</v>
      </c>
      <c r="V210" s="102" t="s">
        <v>1776</v>
      </c>
      <c r="W210" s="102" t="s">
        <v>1776</v>
      </c>
      <c r="X210" s="102" t="s">
        <v>1784</v>
      </c>
      <c r="Y210" s="102" t="s">
        <v>1708</v>
      </c>
      <c r="Z210" s="102" t="s">
        <v>1708</v>
      </c>
      <c r="AA210" s="102" t="s">
        <v>1785</v>
      </c>
      <c r="AB210" s="102" t="s">
        <v>595</v>
      </c>
      <c r="AC210" s="102" t="s">
        <v>1687</v>
      </c>
      <c r="AD210" s="6" t="s">
        <v>1774</v>
      </c>
      <c r="AE210" s="102" t="s">
        <v>49</v>
      </c>
      <c r="AF210" s="102"/>
    </row>
    <row r="211" spans="1:32" ht="75" hidden="1" customHeight="1">
      <c r="A211" s="6" t="s">
        <v>40</v>
      </c>
      <c r="B211" s="6" t="s">
        <v>943</v>
      </c>
      <c r="C211" s="6" t="s">
        <v>941</v>
      </c>
      <c r="D211" s="70">
        <v>30000</v>
      </c>
      <c r="E211" s="6" t="s">
        <v>48</v>
      </c>
      <c r="F211" s="6" t="s">
        <v>48</v>
      </c>
      <c r="G211" s="6" t="s">
        <v>48</v>
      </c>
      <c r="H211" s="6" t="s">
        <v>48</v>
      </c>
      <c r="I211" s="6" t="s">
        <v>48</v>
      </c>
      <c r="J211" s="6" t="s">
        <v>48</v>
      </c>
      <c r="K211" s="103" t="s">
        <v>48</v>
      </c>
      <c r="L211" s="103" t="s">
        <v>48</v>
      </c>
      <c r="M211" s="102" t="s">
        <v>48</v>
      </c>
      <c r="N211" s="102" t="s">
        <v>48</v>
      </c>
      <c r="O211" s="102" t="s">
        <v>48</v>
      </c>
      <c r="P211" s="102" t="s">
        <v>48</v>
      </c>
      <c r="Q211" s="6" t="s">
        <v>48</v>
      </c>
      <c r="R211" s="6" t="s">
        <v>48</v>
      </c>
      <c r="S211" s="6" t="s">
        <v>48</v>
      </c>
      <c r="T211" s="6" t="s">
        <v>48</v>
      </c>
      <c r="U211" s="6" t="s">
        <v>48</v>
      </c>
      <c r="V211" s="102" t="s">
        <v>1761</v>
      </c>
      <c r="W211" s="102" t="s">
        <v>1761</v>
      </c>
      <c r="X211" s="102" t="s">
        <v>1771</v>
      </c>
      <c r="Y211" s="102" t="s">
        <v>1708</v>
      </c>
      <c r="Z211" s="102" t="s">
        <v>1708</v>
      </c>
      <c r="AA211" s="102" t="s">
        <v>1772</v>
      </c>
      <c r="AB211" s="102" t="s">
        <v>595</v>
      </c>
      <c r="AC211" s="102" t="s">
        <v>1687</v>
      </c>
      <c r="AD211" s="102" t="s">
        <v>1774</v>
      </c>
      <c r="AE211" s="102" t="s">
        <v>49</v>
      </c>
      <c r="AF211" s="102"/>
    </row>
    <row r="212" spans="1:32" ht="75" hidden="1" customHeight="1">
      <c r="A212" s="6" t="s">
        <v>41</v>
      </c>
      <c r="B212" s="6" t="s">
        <v>931</v>
      </c>
      <c r="C212" s="6" t="s">
        <v>953</v>
      </c>
      <c r="D212" s="70">
        <v>15000</v>
      </c>
      <c r="E212" s="6" t="s">
        <v>48</v>
      </c>
      <c r="F212" s="6" t="s">
        <v>48</v>
      </c>
      <c r="G212" s="6" t="s">
        <v>48</v>
      </c>
      <c r="H212" s="6" t="s">
        <v>48</v>
      </c>
      <c r="I212" s="6" t="s">
        <v>48</v>
      </c>
      <c r="J212" s="6" t="s">
        <v>48</v>
      </c>
      <c r="K212" s="103" t="s">
        <v>48</v>
      </c>
      <c r="L212" s="103" t="s">
        <v>48</v>
      </c>
      <c r="M212" s="103" t="s">
        <v>48</v>
      </c>
      <c r="N212" s="103" t="s">
        <v>48</v>
      </c>
      <c r="O212" s="103" t="s">
        <v>48</v>
      </c>
      <c r="P212" s="103" t="s">
        <v>48</v>
      </c>
      <c r="Q212" s="6" t="s">
        <v>48</v>
      </c>
      <c r="R212" s="6" t="s">
        <v>48</v>
      </c>
      <c r="S212" s="6" t="s">
        <v>48</v>
      </c>
      <c r="T212" s="6" t="s">
        <v>48</v>
      </c>
      <c r="U212" s="6" t="s">
        <v>48</v>
      </c>
      <c r="V212" s="102" t="s">
        <v>1694</v>
      </c>
      <c r="W212" s="102" t="s">
        <v>1694</v>
      </c>
      <c r="X212" s="102" t="s">
        <v>1861</v>
      </c>
      <c r="Y212" s="102" t="s">
        <v>1708</v>
      </c>
      <c r="Z212" s="102" t="s">
        <v>1708</v>
      </c>
      <c r="AA212" s="102" t="s">
        <v>1862</v>
      </c>
      <c r="AB212" s="102" t="s">
        <v>595</v>
      </c>
      <c r="AC212" s="102" t="s">
        <v>1687</v>
      </c>
      <c r="AD212" s="6" t="s">
        <v>1863</v>
      </c>
      <c r="AE212" s="6" t="s">
        <v>82</v>
      </c>
      <c r="AF212" s="102" t="s">
        <v>932</v>
      </c>
    </row>
    <row r="213" spans="1:32" ht="75" hidden="1" customHeight="1">
      <c r="A213" s="6" t="s">
        <v>967</v>
      </c>
      <c r="B213" s="6" t="s">
        <v>968</v>
      </c>
      <c r="C213" s="6" t="s">
        <v>966</v>
      </c>
      <c r="D213" s="70">
        <v>30000</v>
      </c>
      <c r="E213" s="6" t="s">
        <v>48</v>
      </c>
      <c r="F213" s="6" t="s">
        <v>48</v>
      </c>
      <c r="G213" s="6" t="s">
        <v>48</v>
      </c>
      <c r="H213" s="6" t="s">
        <v>48</v>
      </c>
      <c r="I213" s="6" t="s">
        <v>48</v>
      </c>
      <c r="J213" s="6" t="s">
        <v>48</v>
      </c>
      <c r="K213" s="103" t="s">
        <v>48</v>
      </c>
      <c r="L213" s="103" t="s">
        <v>48</v>
      </c>
      <c r="M213" s="102" t="s">
        <v>48</v>
      </c>
      <c r="N213" s="102" t="s">
        <v>48</v>
      </c>
      <c r="O213" s="102" t="s">
        <v>48</v>
      </c>
      <c r="P213" s="102" t="s">
        <v>48</v>
      </c>
      <c r="Q213" s="6" t="s">
        <v>48</v>
      </c>
      <c r="R213" s="6" t="s">
        <v>48</v>
      </c>
      <c r="S213" s="6" t="s">
        <v>48</v>
      </c>
      <c r="T213" s="6" t="s">
        <v>48</v>
      </c>
      <c r="U213" s="6" t="s">
        <v>48</v>
      </c>
      <c r="V213" s="102" t="s">
        <v>1761</v>
      </c>
      <c r="W213" s="102" t="s">
        <v>1761</v>
      </c>
      <c r="X213" s="102" t="s">
        <v>1771</v>
      </c>
      <c r="Y213" s="102" t="s">
        <v>1708</v>
      </c>
      <c r="Z213" s="102" t="s">
        <v>1708</v>
      </c>
      <c r="AA213" s="102" t="s">
        <v>1772</v>
      </c>
      <c r="AB213" s="102" t="s">
        <v>595</v>
      </c>
      <c r="AC213" s="102" t="s">
        <v>1687</v>
      </c>
      <c r="AD213" s="102" t="s">
        <v>1774</v>
      </c>
      <c r="AE213" s="102" t="s">
        <v>49</v>
      </c>
      <c r="AF213" s="102"/>
    </row>
    <row r="214" spans="1:32" ht="75" hidden="1" customHeight="1">
      <c r="A214" s="6" t="s">
        <v>970</v>
      </c>
      <c r="B214" s="123" t="s">
        <v>971</v>
      </c>
      <c r="C214" s="6" t="s">
        <v>969</v>
      </c>
      <c r="D214" s="70">
        <v>15000</v>
      </c>
      <c r="E214" s="6" t="s">
        <v>48</v>
      </c>
      <c r="F214" s="6" t="s">
        <v>48</v>
      </c>
      <c r="G214" s="6" t="s">
        <v>48</v>
      </c>
      <c r="H214" s="6" t="s">
        <v>48</v>
      </c>
      <c r="I214" s="6" t="s">
        <v>48</v>
      </c>
      <c r="J214" s="6" t="s">
        <v>48</v>
      </c>
      <c r="K214" s="9" t="s">
        <v>48</v>
      </c>
      <c r="L214" s="103" t="s">
        <v>48</v>
      </c>
      <c r="M214" s="103" t="s">
        <v>48</v>
      </c>
      <c r="N214" s="103" t="s">
        <v>48</v>
      </c>
      <c r="O214" s="103" t="s">
        <v>48</v>
      </c>
      <c r="P214" s="103" t="s">
        <v>48</v>
      </c>
      <c r="Q214" s="6" t="s">
        <v>48</v>
      </c>
      <c r="R214" s="6" t="s">
        <v>48</v>
      </c>
      <c r="S214" s="6" t="s">
        <v>48</v>
      </c>
      <c r="T214" s="6" t="s">
        <v>48</v>
      </c>
      <c r="U214" s="6" t="s">
        <v>48</v>
      </c>
      <c r="V214" s="102" t="s">
        <v>1726</v>
      </c>
      <c r="W214" s="102" t="s">
        <v>1726</v>
      </c>
      <c r="X214" s="102" t="s">
        <v>1712</v>
      </c>
      <c r="Y214" s="102" t="s">
        <v>1708</v>
      </c>
      <c r="Z214" s="102" t="s">
        <v>1708</v>
      </c>
      <c r="AA214" s="102" t="s">
        <v>1859</v>
      </c>
      <c r="AB214" s="102" t="s">
        <v>595</v>
      </c>
      <c r="AC214" s="102" t="s">
        <v>1687</v>
      </c>
      <c r="AD214" s="6" t="s">
        <v>1853</v>
      </c>
      <c r="AE214" s="6" t="s">
        <v>82</v>
      </c>
      <c r="AF214" s="6" t="s">
        <v>972</v>
      </c>
    </row>
    <row r="215" spans="1:32" ht="75" hidden="1" customHeight="1">
      <c r="A215" s="6" t="s">
        <v>967</v>
      </c>
      <c r="B215" s="102" t="s">
        <v>1001</v>
      </c>
      <c r="C215" s="6" t="s">
        <v>997</v>
      </c>
      <c r="D215" s="70">
        <v>30000</v>
      </c>
      <c r="E215" s="6" t="s">
        <v>48</v>
      </c>
      <c r="F215" s="6" t="s">
        <v>48</v>
      </c>
      <c r="G215" s="6" t="s">
        <v>48</v>
      </c>
      <c r="H215" s="6" t="s">
        <v>48</v>
      </c>
      <c r="I215" s="6" t="s">
        <v>48</v>
      </c>
      <c r="J215" s="6" t="s">
        <v>48</v>
      </c>
      <c r="K215" s="103" t="s">
        <v>48</v>
      </c>
      <c r="L215" s="103" t="s">
        <v>48</v>
      </c>
      <c r="M215" s="102" t="s">
        <v>48</v>
      </c>
      <c r="N215" s="102" t="s">
        <v>48</v>
      </c>
      <c r="O215" s="102" t="s">
        <v>48</v>
      </c>
      <c r="P215" s="102" t="s">
        <v>48</v>
      </c>
      <c r="Q215" s="6" t="s">
        <v>48</v>
      </c>
      <c r="R215" s="6" t="s">
        <v>48</v>
      </c>
      <c r="S215" s="6" t="s">
        <v>48</v>
      </c>
      <c r="T215" s="6" t="s">
        <v>48</v>
      </c>
      <c r="U215" s="6" t="s">
        <v>48</v>
      </c>
      <c r="V215" s="102" t="s">
        <v>1761</v>
      </c>
      <c r="W215" s="102" t="s">
        <v>1761</v>
      </c>
      <c r="X215" s="102" t="s">
        <v>1771</v>
      </c>
      <c r="Y215" s="102" t="s">
        <v>1708</v>
      </c>
      <c r="Z215" s="102" t="s">
        <v>1708</v>
      </c>
      <c r="AA215" s="102" t="s">
        <v>1772</v>
      </c>
      <c r="AB215" s="102" t="s">
        <v>595</v>
      </c>
      <c r="AC215" s="102" t="s">
        <v>1687</v>
      </c>
      <c r="AD215" s="102" t="s">
        <v>1774</v>
      </c>
      <c r="AE215" s="102" t="s">
        <v>49</v>
      </c>
      <c r="AF215" s="6"/>
    </row>
    <row r="216" spans="1:32" ht="75" hidden="1" customHeight="1">
      <c r="A216" s="6" t="s">
        <v>865</v>
      </c>
      <c r="B216" s="102" t="s">
        <v>1001</v>
      </c>
      <c r="C216" s="6" t="s">
        <v>998</v>
      </c>
      <c r="D216" s="70">
        <v>30000</v>
      </c>
      <c r="E216" s="6" t="s">
        <v>48</v>
      </c>
      <c r="F216" s="6" t="s">
        <v>48</v>
      </c>
      <c r="G216" s="6" t="s">
        <v>48</v>
      </c>
      <c r="H216" s="6" t="s">
        <v>48</v>
      </c>
      <c r="I216" s="6" t="s">
        <v>48</v>
      </c>
      <c r="J216" s="6" t="s">
        <v>48</v>
      </c>
      <c r="K216" s="103" t="s">
        <v>48</v>
      </c>
      <c r="L216" s="103" t="s">
        <v>48</v>
      </c>
      <c r="M216" s="103" t="s">
        <v>48</v>
      </c>
      <c r="N216" s="103" t="s">
        <v>48</v>
      </c>
      <c r="O216" s="103" t="s">
        <v>48</v>
      </c>
      <c r="P216" s="103" t="s">
        <v>48</v>
      </c>
      <c r="Q216" s="6" t="s">
        <v>48</v>
      </c>
      <c r="R216" s="6" t="s">
        <v>48</v>
      </c>
      <c r="S216" s="6" t="s">
        <v>48</v>
      </c>
      <c r="T216" s="6" t="s">
        <v>48</v>
      </c>
      <c r="U216" s="6" t="s">
        <v>48</v>
      </c>
      <c r="V216" s="102" t="s">
        <v>1776</v>
      </c>
      <c r="W216" s="102" t="s">
        <v>1776</v>
      </c>
      <c r="X216" s="102" t="s">
        <v>1784</v>
      </c>
      <c r="Y216" s="102" t="s">
        <v>1708</v>
      </c>
      <c r="Z216" s="102" t="s">
        <v>1708</v>
      </c>
      <c r="AA216" s="102" t="s">
        <v>1785</v>
      </c>
      <c r="AB216" s="102" t="s">
        <v>595</v>
      </c>
      <c r="AC216" s="102" t="s">
        <v>1687</v>
      </c>
      <c r="AD216" s="102" t="s">
        <v>1774</v>
      </c>
      <c r="AE216" s="102" t="s">
        <v>49</v>
      </c>
      <c r="AF216" s="6"/>
    </row>
    <row r="217" spans="1:32" ht="75" hidden="1" customHeight="1">
      <c r="A217" s="6" t="s">
        <v>1000</v>
      </c>
      <c r="B217" s="6" t="s">
        <v>1001</v>
      </c>
      <c r="C217" s="6" t="s">
        <v>999</v>
      </c>
      <c r="D217" s="70">
        <v>30000</v>
      </c>
      <c r="E217" s="6" t="s">
        <v>48</v>
      </c>
      <c r="F217" s="6" t="s">
        <v>48</v>
      </c>
      <c r="G217" s="6" t="s">
        <v>48</v>
      </c>
      <c r="H217" s="6" t="s">
        <v>48</v>
      </c>
      <c r="I217" s="6" t="s">
        <v>48</v>
      </c>
      <c r="J217" s="6" t="s">
        <v>48</v>
      </c>
      <c r="K217" s="103" t="s">
        <v>48</v>
      </c>
      <c r="L217" s="103" t="s">
        <v>48</v>
      </c>
      <c r="M217" s="103" t="s">
        <v>48</v>
      </c>
      <c r="N217" s="103" t="s">
        <v>48</v>
      </c>
      <c r="O217" s="103" t="s">
        <v>48</v>
      </c>
      <c r="P217" s="103" t="s">
        <v>48</v>
      </c>
      <c r="Q217" s="6" t="s">
        <v>48</v>
      </c>
      <c r="R217" s="6" t="s">
        <v>48</v>
      </c>
      <c r="S217" s="6" t="s">
        <v>48</v>
      </c>
      <c r="T217" s="6" t="s">
        <v>48</v>
      </c>
      <c r="U217" s="6" t="s">
        <v>48</v>
      </c>
      <c r="V217" s="102" t="s">
        <v>999</v>
      </c>
      <c r="W217" s="102" t="s">
        <v>999</v>
      </c>
      <c r="X217" s="102" t="s">
        <v>48</v>
      </c>
      <c r="Y217" s="102" t="s">
        <v>48</v>
      </c>
      <c r="Z217" s="102" t="s">
        <v>48</v>
      </c>
      <c r="AA217" s="102" t="s">
        <v>48</v>
      </c>
      <c r="AB217" s="102" t="s">
        <v>48</v>
      </c>
      <c r="AC217" s="102" t="s">
        <v>867</v>
      </c>
      <c r="AD217" s="6" t="s">
        <v>48</v>
      </c>
      <c r="AE217" s="6" t="s">
        <v>49</v>
      </c>
      <c r="AF217" s="6" t="s">
        <v>1002</v>
      </c>
    </row>
    <row r="218" spans="1:32" ht="75" hidden="1" customHeight="1">
      <c r="A218" s="6" t="s">
        <v>40</v>
      </c>
      <c r="B218" s="6" t="s">
        <v>1030</v>
      </c>
      <c r="C218" s="6" t="s">
        <v>1011</v>
      </c>
      <c r="D218" s="70">
        <v>30000</v>
      </c>
      <c r="E218" s="6" t="s">
        <v>48</v>
      </c>
      <c r="F218" s="6" t="s">
        <v>48</v>
      </c>
      <c r="G218" s="6" t="s">
        <v>48</v>
      </c>
      <c r="H218" s="6" t="s">
        <v>48</v>
      </c>
      <c r="I218" s="6" t="s">
        <v>48</v>
      </c>
      <c r="J218" s="6" t="s">
        <v>48</v>
      </c>
      <c r="K218" s="103" t="s">
        <v>80</v>
      </c>
      <c r="L218" s="103" t="s">
        <v>1382</v>
      </c>
      <c r="M218" s="103" t="s">
        <v>1383</v>
      </c>
      <c r="N218" s="103" t="s">
        <v>1384</v>
      </c>
      <c r="O218" s="103" t="s">
        <v>1385</v>
      </c>
      <c r="P218" s="103" t="s">
        <v>1386</v>
      </c>
      <c r="Q218" s="6" t="s">
        <v>48</v>
      </c>
      <c r="R218" s="6" t="s">
        <v>48</v>
      </c>
      <c r="S218" s="6" t="s">
        <v>48</v>
      </c>
      <c r="T218" s="6" t="s">
        <v>48</v>
      </c>
      <c r="U218" s="6" t="s">
        <v>48</v>
      </c>
      <c r="V218" s="102" t="s">
        <v>1691</v>
      </c>
      <c r="W218" s="102" t="s">
        <v>1691</v>
      </c>
      <c r="X218" s="102" t="s">
        <v>1751</v>
      </c>
      <c r="Y218" s="102" t="s">
        <v>1708</v>
      </c>
      <c r="Z218" s="102" t="s">
        <v>1708</v>
      </c>
      <c r="AA218" s="102" t="s">
        <v>1752</v>
      </c>
      <c r="AB218" s="102" t="s">
        <v>595</v>
      </c>
      <c r="AC218" s="102" t="s">
        <v>1687</v>
      </c>
      <c r="AD218" s="102" t="s">
        <v>1767</v>
      </c>
      <c r="AE218" s="6" t="s">
        <v>49</v>
      </c>
      <c r="AF218" s="120" t="s">
        <v>1692</v>
      </c>
    </row>
    <row r="219" spans="1:32" ht="75" hidden="1" customHeight="1">
      <c r="A219" s="6" t="s">
        <v>41</v>
      </c>
      <c r="B219" s="6" t="s">
        <v>1030</v>
      </c>
      <c r="C219" s="6" t="s">
        <v>1011</v>
      </c>
      <c r="D219" s="70">
        <v>30000</v>
      </c>
      <c r="E219" s="6" t="s">
        <v>48</v>
      </c>
      <c r="F219" s="6" t="s">
        <v>48</v>
      </c>
      <c r="G219" s="6" t="s">
        <v>48</v>
      </c>
      <c r="H219" s="6" t="s">
        <v>48</v>
      </c>
      <c r="I219" s="6" t="s">
        <v>48</v>
      </c>
      <c r="J219" s="6" t="s">
        <v>48</v>
      </c>
      <c r="K219" s="103" t="s">
        <v>80</v>
      </c>
      <c r="L219" s="103" t="s">
        <v>1382</v>
      </c>
      <c r="M219" s="103" t="s">
        <v>1383</v>
      </c>
      <c r="N219" s="103" t="s">
        <v>1384</v>
      </c>
      <c r="O219" s="103" t="s">
        <v>1385</v>
      </c>
      <c r="P219" s="103" t="s">
        <v>1386</v>
      </c>
      <c r="Q219" s="6" t="s">
        <v>48</v>
      </c>
      <c r="R219" s="6" t="s">
        <v>48</v>
      </c>
      <c r="S219" s="6" t="s">
        <v>48</v>
      </c>
      <c r="T219" s="6" t="s">
        <v>48</v>
      </c>
      <c r="U219" s="6" t="s">
        <v>48</v>
      </c>
      <c r="V219" s="102" t="s">
        <v>1691</v>
      </c>
      <c r="W219" s="102" t="s">
        <v>1691</v>
      </c>
      <c r="X219" s="102" t="s">
        <v>1751</v>
      </c>
      <c r="Y219" s="102" t="s">
        <v>1708</v>
      </c>
      <c r="Z219" s="102" t="s">
        <v>1708</v>
      </c>
      <c r="AA219" s="102" t="s">
        <v>1752</v>
      </c>
      <c r="AB219" s="102" t="s">
        <v>595</v>
      </c>
      <c r="AC219" s="102" t="s">
        <v>1687</v>
      </c>
      <c r="AD219" s="102" t="s">
        <v>1767</v>
      </c>
      <c r="AE219" s="6" t="s">
        <v>49</v>
      </c>
      <c r="AF219" s="120" t="s">
        <v>1692</v>
      </c>
    </row>
    <row r="220" spans="1:32" ht="75" hidden="1" customHeight="1">
      <c r="A220" s="6" t="s">
        <v>232</v>
      </c>
      <c r="B220" s="6" t="s">
        <v>1030</v>
      </c>
      <c r="C220" s="6" t="s">
        <v>1011</v>
      </c>
      <c r="D220" s="70">
        <v>15000</v>
      </c>
      <c r="E220" s="6" t="s">
        <v>48</v>
      </c>
      <c r="F220" s="6" t="s">
        <v>48</v>
      </c>
      <c r="G220" s="6" t="s">
        <v>48</v>
      </c>
      <c r="H220" s="6" t="s">
        <v>48</v>
      </c>
      <c r="I220" s="6" t="s">
        <v>48</v>
      </c>
      <c r="J220" s="6" t="s">
        <v>48</v>
      </c>
      <c r="K220" s="103" t="s">
        <v>80</v>
      </c>
      <c r="L220" s="103" t="s">
        <v>1382</v>
      </c>
      <c r="M220" s="103" t="s">
        <v>1383</v>
      </c>
      <c r="N220" s="103" t="s">
        <v>1384</v>
      </c>
      <c r="O220" s="103" t="s">
        <v>1385</v>
      </c>
      <c r="P220" s="103" t="s">
        <v>1386</v>
      </c>
      <c r="Q220" s="6" t="s">
        <v>48</v>
      </c>
      <c r="R220" s="6" t="s">
        <v>48</v>
      </c>
      <c r="S220" s="6" t="s">
        <v>48</v>
      </c>
      <c r="T220" s="6" t="s">
        <v>48</v>
      </c>
      <c r="U220" s="6" t="s">
        <v>48</v>
      </c>
      <c r="V220" s="102" t="s">
        <v>1691</v>
      </c>
      <c r="W220" s="102" t="s">
        <v>1691</v>
      </c>
      <c r="X220" s="102" t="s">
        <v>1751</v>
      </c>
      <c r="Y220" s="102" t="s">
        <v>1708</v>
      </c>
      <c r="Z220" s="102" t="s">
        <v>1708</v>
      </c>
      <c r="AA220" s="102" t="s">
        <v>1752</v>
      </c>
      <c r="AB220" s="102" t="s">
        <v>595</v>
      </c>
      <c r="AC220" s="102" t="s">
        <v>1687</v>
      </c>
      <c r="AD220" s="102" t="s">
        <v>1767</v>
      </c>
      <c r="AE220" s="6" t="s">
        <v>49</v>
      </c>
      <c r="AF220" s="120" t="s">
        <v>1692</v>
      </c>
    </row>
    <row r="221" spans="1:32" ht="75" hidden="1" customHeight="1">
      <c r="A221" s="6" t="s">
        <v>233</v>
      </c>
      <c r="B221" s="6" t="s">
        <v>1030</v>
      </c>
      <c r="C221" s="6" t="s">
        <v>1011</v>
      </c>
      <c r="D221" s="70">
        <v>15000</v>
      </c>
      <c r="E221" s="6" t="s">
        <v>48</v>
      </c>
      <c r="F221" s="6" t="s">
        <v>48</v>
      </c>
      <c r="G221" s="6" t="s">
        <v>48</v>
      </c>
      <c r="H221" s="6" t="s">
        <v>48</v>
      </c>
      <c r="I221" s="6" t="s">
        <v>48</v>
      </c>
      <c r="J221" s="6" t="s">
        <v>48</v>
      </c>
      <c r="K221" s="103" t="s">
        <v>80</v>
      </c>
      <c r="L221" s="103" t="s">
        <v>1382</v>
      </c>
      <c r="M221" s="103" t="s">
        <v>1383</v>
      </c>
      <c r="N221" s="103" t="s">
        <v>1384</v>
      </c>
      <c r="O221" s="103" t="s">
        <v>1385</v>
      </c>
      <c r="P221" s="103" t="s">
        <v>1386</v>
      </c>
      <c r="Q221" s="6" t="s">
        <v>48</v>
      </c>
      <c r="R221" s="6" t="s">
        <v>48</v>
      </c>
      <c r="S221" s="6" t="s">
        <v>48</v>
      </c>
      <c r="T221" s="6" t="s">
        <v>48</v>
      </c>
      <c r="U221" s="6" t="s">
        <v>48</v>
      </c>
      <c r="V221" s="102" t="s">
        <v>1011</v>
      </c>
      <c r="W221" s="102" t="s">
        <v>1011</v>
      </c>
      <c r="X221" s="102" t="s">
        <v>48</v>
      </c>
      <c r="Y221" s="102" t="s">
        <v>48</v>
      </c>
      <c r="Z221" s="102" t="s">
        <v>48</v>
      </c>
      <c r="AA221" s="102" t="s">
        <v>48</v>
      </c>
      <c r="AB221" s="102" t="s">
        <v>48</v>
      </c>
      <c r="AC221" s="102" t="s">
        <v>1031</v>
      </c>
      <c r="AD221" s="6" t="s">
        <v>48</v>
      </c>
      <c r="AE221" s="6" t="s">
        <v>49</v>
      </c>
      <c r="AF221" s="102" t="s">
        <v>1032</v>
      </c>
    </row>
    <row r="222" spans="1:32" ht="75" hidden="1" customHeight="1">
      <c r="A222" s="6" t="s">
        <v>231</v>
      </c>
      <c r="B222" s="6" t="s">
        <v>1030</v>
      </c>
      <c r="C222" s="6" t="s">
        <v>1011</v>
      </c>
      <c r="D222" s="70">
        <v>15000</v>
      </c>
      <c r="E222" s="102" t="s">
        <v>48</v>
      </c>
      <c r="F222" s="102" t="s">
        <v>48</v>
      </c>
      <c r="G222" s="6" t="s">
        <v>48</v>
      </c>
      <c r="H222" s="6" t="s">
        <v>48</v>
      </c>
      <c r="I222" s="6" t="s">
        <v>48</v>
      </c>
      <c r="J222" s="6" t="s">
        <v>48</v>
      </c>
      <c r="K222" s="103" t="s">
        <v>80</v>
      </c>
      <c r="L222" s="103" t="s">
        <v>1382</v>
      </c>
      <c r="M222" s="103" t="s">
        <v>1383</v>
      </c>
      <c r="N222" s="103" t="s">
        <v>1384</v>
      </c>
      <c r="O222" s="103" t="s">
        <v>1385</v>
      </c>
      <c r="P222" s="103" t="s">
        <v>1386</v>
      </c>
      <c r="Q222" s="6" t="s">
        <v>48</v>
      </c>
      <c r="R222" s="6" t="s">
        <v>48</v>
      </c>
      <c r="S222" s="6" t="s">
        <v>48</v>
      </c>
      <c r="T222" s="6" t="s">
        <v>48</v>
      </c>
      <c r="U222" s="6" t="s">
        <v>48</v>
      </c>
      <c r="V222" s="102" t="s">
        <v>1691</v>
      </c>
      <c r="W222" s="102" t="s">
        <v>1691</v>
      </c>
      <c r="X222" s="102" t="s">
        <v>1751</v>
      </c>
      <c r="Y222" s="102" t="s">
        <v>1708</v>
      </c>
      <c r="Z222" s="102" t="s">
        <v>1708</v>
      </c>
      <c r="AA222" s="102" t="s">
        <v>1752</v>
      </c>
      <c r="AB222" s="102" t="s">
        <v>595</v>
      </c>
      <c r="AC222" s="102" t="s">
        <v>1687</v>
      </c>
      <c r="AD222" s="102" t="s">
        <v>1767</v>
      </c>
      <c r="AE222" s="6" t="s">
        <v>49</v>
      </c>
      <c r="AF222" s="120" t="s">
        <v>1692</v>
      </c>
    </row>
    <row r="223" spans="1:32" ht="75" hidden="1" customHeight="1">
      <c r="A223" s="6" t="s">
        <v>36</v>
      </c>
      <c r="B223" s="6" t="s">
        <v>1030</v>
      </c>
      <c r="C223" s="6" t="s">
        <v>1011</v>
      </c>
      <c r="D223" s="70">
        <v>30000</v>
      </c>
      <c r="E223" s="102" t="s">
        <v>48</v>
      </c>
      <c r="F223" s="102" t="s">
        <v>48</v>
      </c>
      <c r="G223" s="6" t="s">
        <v>48</v>
      </c>
      <c r="H223" s="6" t="s">
        <v>48</v>
      </c>
      <c r="I223" s="6" t="s">
        <v>48</v>
      </c>
      <c r="J223" s="6" t="s">
        <v>48</v>
      </c>
      <c r="K223" s="103" t="s">
        <v>80</v>
      </c>
      <c r="L223" s="103" t="s">
        <v>1382</v>
      </c>
      <c r="M223" s="103" t="s">
        <v>1383</v>
      </c>
      <c r="N223" s="103" t="s">
        <v>1384</v>
      </c>
      <c r="O223" s="103" t="s">
        <v>1385</v>
      </c>
      <c r="P223" s="103" t="s">
        <v>1386</v>
      </c>
      <c r="Q223" s="6" t="s">
        <v>48</v>
      </c>
      <c r="R223" s="6" t="s">
        <v>48</v>
      </c>
      <c r="S223" s="6" t="s">
        <v>48</v>
      </c>
      <c r="T223" s="6" t="s">
        <v>48</v>
      </c>
      <c r="U223" s="6" t="s">
        <v>48</v>
      </c>
      <c r="V223" s="102" t="s">
        <v>1691</v>
      </c>
      <c r="W223" s="102" t="s">
        <v>1691</v>
      </c>
      <c r="X223" s="102" t="s">
        <v>1751</v>
      </c>
      <c r="Y223" s="102" t="s">
        <v>1708</v>
      </c>
      <c r="Z223" s="102" t="s">
        <v>1708</v>
      </c>
      <c r="AA223" s="102" t="s">
        <v>1752</v>
      </c>
      <c r="AB223" s="102" t="s">
        <v>595</v>
      </c>
      <c r="AC223" s="102" t="s">
        <v>1687</v>
      </c>
      <c r="AD223" s="102" t="s">
        <v>1767</v>
      </c>
      <c r="AE223" s="6" t="s">
        <v>49</v>
      </c>
      <c r="AF223" s="120" t="s">
        <v>1692</v>
      </c>
    </row>
    <row r="224" spans="1:32" ht="75" hidden="1" customHeight="1">
      <c r="A224" s="102" t="s">
        <v>940</v>
      </c>
      <c r="B224" s="102" t="s">
        <v>1030</v>
      </c>
      <c r="C224" s="102" t="s">
        <v>1011</v>
      </c>
      <c r="D224" s="70">
        <v>30000</v>
      </c>
      <c r="E224" s="102" t="s">
        <v>48</v>
      </c>
      <c r="F224" s="102" t="s">
        <v>48</v>
      </c>
      <c r="G224" s="102" t="s">
        <v>48</v>
      </c>
      <c r="H224" s="102" t="s">
        <v>48</v>
      </c>
      <c r="I224" s="102" t="s">
        <v>48</v>
      </c>
      <c r="J224" s="102" t="s">
        <v>48</v>
      </c>
      <c r="K224" s="103" t="s">
        <v>80</v>
      </c>
      <c r="L224" s="103" t="s">
        <v>1382</v>
      </c>
      <c r="M224" s="103" t="s">
        <v>1383</v>
      </c>
      <c r="N224" s="103" t="s">
        <v>1384</v>
      </c>
      <c r="O224" s="103" t="s">
        <v>1385</v>
      </c>
      <c r="P224" s="103" t="s">
        <v>1386</v>
      </c>
      <c r="Q224" s="102" t="s">
        <v>48</v>
      </c>
      <c r="R224" s="102" t="s">
        <v>48</v>
      </c>
      <c r="S224" s="102" t="s">
        <v>48</v>
      </c>
      <c r="T224" s="102" t="s">
        <v>48</v>
      </c>
      <c r="U224" s="102" t="s">
        <v>48</v>
      </c>
      <c r="V224" s="102" t="s">
        <v>1691</v>
      </c>
      <c r="W224" s="102" t="s">
        <v>1691</v>
      </c>
      <c r="X224" s="102" t="s">
        <v>1751</v>
      </c>
      <c r="Y224" s="102" t="s">
        <v>1708</v>
      </c>
      <c r="Z224" s="102" t="s">
        <v>1708</v>
      </c>
      <c r="AA224" s="102" t="s">
        <v>1752</v>
      </c>
      <c r="AB224" s="102" t="s">
        <v>595</v>
      </c>
      <c r="AC224" s="102" t="s">
        <v>1687</v>
      </c>
      <c r="AD224" s="102" t="s">
        <v>1767</v>
      </c>
      <c r="AE224" s="102" t="s">
        <v>49</v>
      </c>
      <c r="AF224" s="120" t="s">
        <v>1692</v>
      </c>
    </row>
    <row r="225" spans="1:32" ht="75" hidden="1" customHeight="1">
      <c r="A225" s="102" t="s">
        <v>660</v>
      </c>
      <c r="B225" s="102" t="s">
        <v>971</v>
      </c>
      <c r="C225" s="102" t="s">
        <v>1106</v>
      </c>
      <c r="D225" s="70">
        <v>15000</v>
      </c>
      <c r="E225" s="102" t="s">
        <v>48</v>
      </c>
      <c r="F225" s="102" t="s">
        <v>48</v>
      </c>
      <c r="G225" s="102" t="s">
        <v>48</v>
      </c>
      <c r="H225" s="102" t="s">
        <v>48</v>
      </c>
      <c r="I225" s="102" t="s">
        <v>48</v>
      </c>
      <c r="J225" s="102" t="s">
        <v>48</v>
      </c>
      <c r="K225" s="103" t="s">
        <v>48</v>
      </c>
      <c r="L225" s="103" t="s">
        <v>48</v>
      </c>
      <c r="M225" s="103" t="s">
        <v>48</v>
      </c>
      <c r="N225" s="103" t="s">
        <v>48</v>
      </c>
      <c r="O225" s="103" t="s">
        <v>48</v>
      </c>
      <c r="P225" s="103" t="s">
        <v>48</v>
      </c>
      <c r="Q225" s="102" t="s">
        <v>48</v>
      </c>
      <c r="R225" s="102" t="s">
        <v>48</v>
      </c>
      <c r="S225" s="102" t="s">
        <v>48</v>
      </c>
      <c r="T225" s="102" t="s">
        <v>48</v>
      </c>
      <c r="U225" s="102" t="s">
        <v>48</v>
      </c>
      <c r="V225" s="102" t="s">
        <v>1726</v>
      </c>
      <c r="W225" s="102" t="s">
        <v>1726</v>
      </c>
      <c r="X225" s="102" t="s">
        <v>1712</v>
      </c>
      <c r="Y225" s="102" t="s">
        <v>1708</v>
      </c>
      <c r="Z225" s="102" t="s">
        <v>1708</v>
      </c>
      <c r="AA225" s="102" t="s">
        <v>1859</v>
      </c>
      <c r="AB225" s="102" t="s">
        <v>595</v>
      </c>
      <c r="AC225" s="102" t="s">
        <v>1687</v>
      </c>
      <c r="AD225" s="6" t="s">
        <v>1853</v>
      </c>
      <c r="AE225" s="6" t="s">
        <v>82</v>
      </c>
      <c r="AF225" s="102" t="s">
        <v>972</v>
      </c>
    </row>
    <row r="226" spans="1:32" ht="75" hidden="1" customHeight="1">
      <c r="A226" s="102" t="s">
        <v>660</v>
      </c>
      <c r="B226" s="102" t="s">
        <v>971</v>
      </c>
      <c r="C226" s="6" t="s">
        <v>1107</v>
      </c>
      <c r="D226" s="70">
        <v>15000</v>
      </c>
      <c r="E226" s="102" t="s">
        <v>48</v>
      </c>
      <c r="F226" s="102" t="s">
        <v>48</v>
      </c>
      <c r="G226" s="102" t="s">
        <v>48</v>
      </c>
      <c r="H226" s="102" t="s">
        <v>48</v>
      </c>
      <c r="I226" s="102" t="s">
        <v>48</v>
      </c>
      <c r="J226" s="102" t="s">
        <v>48</v>
      </c>
      <c r="K226" s="103" t="s">
        <v>48</v>
      </c>
      <c r="L226" s="103" t="s">
        <v>48</v>
      </c>
      <c r="M226" s="103" t="s">
        <v>48</v>
      </c>
      <c r="N226" s="103" t="s">
        <v>48</v>
      </c>
      <c r="O226" s="103" t="s">
        <v>48</v>
      </c>
      <c r="P226" s="103" t="s">
        <v>48</v>
      </c>
      <c r="Q226" s="102" t="s">
        <v>48</v>
      </c>
      <c r="R226" s="102" t="s">
        <v>48</v>
      </c>
      <c r="S226" s="102" t="s">
        <v>48</v>
      </c>
      <c r="T226" s="102" t="s">
        <v>48</v>
      </c>
      <c r="U226" s="102" t="s">
        <v>48</v>
      </c>
      <c r="V226" s="102" t="s">
        <v>1727</v>
      </c>
      <c r="W226" s="102" t="s">
        <v>1727</v>
      </c>
      <c r="X226" s="102" t="s">
        <v>1712</v>
      </c>
      <c r="Y226" s="102" t="s">
        <v>1708</v>
      </c>
      <c r="Z226" s="102" t="s">
        <v>1708</v>
      </c>
      <c r="AA226" s="102" t="s">
        <v>1856</v>
      </c>
      <c r="AB226" s="102" t="s">
        <v>595</v>
      </c>
      <c r="AC226" s="102" t="s">
        <v>1687</v>
      </c>
      <c r="AD226" s="102" t="s">
        <v>1853</v>
      </c>
      <c r="AE226" s="102" t="s">
        <v>82</v>
      </c>
      <c r="AF226" s="102" t="s">
        <v>1109</v>
      </c>
    </row>
    <row r="227" spans="1:32" ht="75" hidden="1" customHeight="1">
      <c r="A227" s="102" t="s">
        <v>31</v>
      </c>
      <c r="B227" s="102" t="s">
        <v>1112</v>
      </c>
      <c r="C227" s="6" t="s">
        <v>1111</v>
      </c>
      <c r="D227" s="70">
        <v>30000</v>
      </c>
      <c r="E227" s="102" t="s">
        <v>48</v>
      </c>
      <c r="F227" s="102" t="s">
        <v>48</v>
      </c>
      <c r="G227" s="102" t="s">
        <v>48</v>
      </c>
      <c r="H227" s="102" t="s">
        <v>48</v>
      </c>
      <c r="I227" s="102" t="s">
        <v>48</v>
      </c>
      <c r="J227" s="102" t="s">
        <v>48</v>
      </c>
      <c r="K227" s="103" t="s">
        <v>48</v>
      </c>
      <c r="L227" s="103" t="s">
        <v>48</v>
      </c>
      <c r="M227" s="103" t="s">
        <v>48</v>
      </c>
      <c r="N227" s="103" t="s">
        <v>48</v>
      </c>
      <c r="O227" s="103" t="s">
        <v>48</v>
      </c>
      <c r="P227" s="103" t="s">
        <v>48</v>
      </c>
      <c r="Q227" s="102" t="s">
        <v>48</v>
      </c>
      <c r="R227" s="102" t="s">
        <v>48</v>
      </c>
      <c r="S227" s="102" t="s">
        <v>48</v>
      </c>
      <c r="T227" s="102" t="s">
        <v>48</v>
      </c>
      <c r="U227" s="102" t="s">
        <v>48</v>
      </c>
      <c r="V227" s="102" t="s">
        <v>1111</v>
      </c>
      <c r="W227" s="102" t="s">
        <v>1111</v>
      </c>
      <c r="X227" s="102" t="s">
        <v>48</v>
      </c>
      <c r="Y227" s="102" t="s">
        <v>48</v>
      </c>
      <c r="Z227" s="102" t="s">
        <v>48</v>
      </c>
      <c r="AA227" s="102" t="s">
        <v>48</v>
      </c>
      <c r="AB227" s="102" t="s">
        <v>48</v>
      </c>
      <c r="AC227" s="102" t="s">
        <v>944</v>
      </c>
      <c r="AD227" s="102" t="s">
        <v>48</v>
      </c>
      <c r="AE227" s="6" t="s">
        <v>49</v>
      </c>
      <c r="AF227" s="102" t="s">
        <v>1113</v>
      </c>
    </row>
    <row r="228" spans="1:32" ht="75" hidden="1" customHeight="1">
      <c r="A228" s="102" t="s">
        <v>41</v>
      </c>
      <c r="B228" s="102" t="s">
        <v>931</v>
      </c>
      <c r="C228" s="102" t="s">
        <v>927</v>
      </c>
      <c r="D228" s="70">
        <v>15000</v>
      </c>
      <c r="E228" s="102" t="s">
        <v>48</v>
      </c>
      <c r="F228" s="102" t="s">
        <v>48</v>
      </c>
      <c r="G228" s="102" t="s">
        <v>48</v>
      </c>
      <c r="H228" s="102" t="s">
        <v>48</v>
      </c>
      <c r="I228" s="102" t="s">
        <v>48</v>
      </c>
      <c r="J228" s="102" t="s">
        <v>48</v>
      </c>
      <c r="K228" s="103" t="s">
        <v>48</v>
      </c>
      <c r="L228" s="103" t="s">
        <v>48</v>
      </c>
      <c r="M228" s="103" t="s">
        <v>48</v>
      </c>
      <c r="N228" s="103" t="s">
        <v>48</v>
      </c>
      <c r="O228" s="103" t="s">
        <v>48</v>
      </c>
      <c r="P228" s="103" t="s">
        <v>48</v>
      </c>
      <c r="Q228" s="102" t="s">
        <v>48</v>
      </c>
      <c r="R228" s="102" t="s">
        <v>48</v>
      </c>
      <c r="S228" s="102" t="s">
        <v>48</v>
      </c>
      <c r="T228" s="102" t="s">
        <v>48</v>
      </c>
      <c r="U228" s="102" t="s">
        <v>48</v>
      </c>
      <c r="V228" s="102" t="s">
        <v>1694</v>
      </c>
      <c r="W228" s="102" t="s">
        <v>1694</v>
      </c>
      <c r="X228" s="102" t="s">
        <v>1861</v>
      </c>
      <c r="Y228" s="102" t="s">
        <v>1708</v>
      </c>
      <c r="Z228" s="102" t="s">
        <v>1708</v>
      </c>
      <c r="AA228" s="102" t="s">
        <v>1862</v>
      </c>
      <c r="AB228" s="102" t="s">
        <v>595</v>
      </c>
      <c r="AC228" s="102" t="s">
        <v>1687</v>
      </c>
      <c r="AD228" s="102" t="s">
        <v>1863</v>
      </c>
      <c r="AE228" s="102" t="s">
        <v>82</v>
      </c>
      <c r="AF228" s="102" t="s">
        <v>932</v>
      </c>
    </row>
    <row r="229" spans="1:32" ht="75" customHeight="1">
      <c r="A229" s="102" t="s">
        <v>34</v>
      </c>
      <c r="B229" s="102" t="s">
        <v>148</v>
      </c>
      <c r="C229" s="102" t="s">
        <v>539</v>
      </c>
      <c r="D229" s="70">
        <v>15000</v>
      </c>
      <c r="E229" s="102" t="s">
        <v>48</v>
      </c>
      <c r="F229" s="102" t="s">
        <v>48</v>
      </c>
      <c r="G229" s="102" t="s">
        <v>48</v>
      </c>
      <c r="H229" s="102" t="s">
        <v>48</v>
      </c>
      <c r="I229" s="102" t="s">
        <v>48</v>
      </c>
      <c r="J229" s="102" t="s">
        <v>48</v>
      </c>
      <c r="K229" s="103" t="s">
        <v>48</v>
      </c>
      <c r="L229" s="103" t="s">
        <v>48</v>
      </c>
      <c r="M229" s="103" t="s">
        <v>48</v>
      </c>
      <c r="N229" s="103" t="s">
        <v>48</v>
      </c>
      <c r="O229" s="103" t="s">
        <v>48</v>
      </c>
      <c r="P229" s="103" t="s">
        <v>48</v>
      </c>
      <c r="Q229" s="102" t="s">
        <v>48</v>
      </c>
      <c r="R229" s="102" t="s">
        <v>48</v>
      </c>
      <c r="S229" s="102" t="s">
        <v>48</v>
      </c>
      <c r="T229" s="102" t="s">
        <v>48</v>
      </c>
      <c r="U229" s="102" t="s">
        <v>48</v>
      </c>
      <c r="V229" s="7" t="s">
        <v>1256</v>
      </c>
      <c r="W229" s="7" t="s">
        <v>1256</v>
      </c>
      <c r="X229" s="102" t="s">
        <v>1261</v>
      </c>
      <c r="Y229" s="102" t="s">
        <v>1266</v>
      </c>
      <c r="Z229" s="102" t="s">
        <v>1266</v>
      </c>
      <c r="AA229" s="102" t="s">
        <v>1274</v>
      </c>
      <c r="AB229" s="102" t="s">
        <v>1285</v>
      </c>
      <c r="AC229" s="102" t="s">
        <v>1180</v>
      </c>
      <c r="AD229" s="102" t="s">
        <v>1245</v>
      </c>
      <c r="AE229" s="102" t="s">
        <v>82</v>
      </c>
      <c r="AF229" s="102" t="s">
        <v>1145</v>
      </c>
    </row>
    <row r="230" spans="1:32" ht="75" customHeight="1">
      <c r="A230" s="102" t="s">
        <v>34</v>
      </c>
      <c r="B230" s="102" t="s">
        <v>148</v>
      </c>
      <c r="C230" s="102" t="s">
        <v>149</v>
      </c>
      <c r="D230" s="70">
        <v>15000</v>
      </c>
      <c r="E230" s="102" t="s">
        <v>80</v>
      </c>
      <c r="F230" s="102" t="s">
        <v>253</v>
      </c>
      <c r="G230" s="102" t="s">
        <v>505</v>
      </c>
      <c r="H230" s="102" t="s">
        <v>579</v>
      </c>
      <c r="I230" s="102" t="s">
        <v>504</v>
      </c>
      <c r="J230" s="102" t="s">
        <v>471</v>
      </c>
      <c r="K230" s="103" t="s">
        <v>76</v>
      </c>
      <c r="L230" s="103" t="s">
        <v>1146</v>
      </c>
      <c r="M230" s="103" t="s">
        <v>472</v>
      </c>
      <c r="N230" s="103" t="s">
        <v>589</v>
      </c>
      <c r="O230" s="103" t="s">
        <v>259</v>
      </c>
      <c r="P230" s="103" t="s">
        <v>470</v>
      </c>
      <c r="Q230" s="102" t="s">
        <v>48</v>
      </c>
      <c r="R230" s="102" t="s">
        <v>48</v>
      </c>
      <c r="S230" s="102" t="s">
        <v>48</v>
      </c>
      <c r="T230" s="102" t="s">
        <v>48</v>
      </c>
      <c r="U230" s="102" t="s">
        <v>48</v>
      </c>
      <c r="V230" s="7" t="s">
        <v>1256</v>
      </c>
      <c r="W230" s="7" t="s">
        <v>1256</v>
      </c>
      <c r="X230" s="102" t="s">
        <v>1261</v>
      </c>
      <c r="Y230" s="102" t="s">
        <v>1268</v>
      </c>
      <c r="Z230" s="102" t="s">
        <v>1268</v>
      </c>
      <c r="AA230" s="102" t="s">
        <v>1275</v>
      </c>
      <c r="AB230" s="102" t="s">
        <v>1285</v>
      </c>
      <c r="AC230" s="102" t="s">
        <v>1180</v>
      </c>
      <c r="AD230" s="102" t="s">
        <v>1245</v>
      </c>
      <c r="AE230" s="102" t="s">
        <v>82</v>
      </c>
      <c r="AF230" s="102" t="s">
        <v>1147</v>
      </c>
    </row>
    <row r="231" spans="1:32" ht="75" customHeight="1">
      <c r="A231" s="102" t="s">
        <v>34</v>
      </c>
      <c r="B231" s="102" t="s">
        <v>148</v>
      </c>
      <c r="C231" s="102" t="s">
        <v>150</v>
      </c>
      <c r="D231" s="70">
        <v>15000</v>
      </c>
      <c r="E231" s="102" t="s">
        <v>48</v>
      </c>
      <c r="F231" s="102" t="s">
        <v>48</v>
      </c>
      <c r="G231" s="102" t="s">
        <v>48</v>
      </c>
      <c r="H231" s="102" t="s">
        <v>48</v>
      </c>
      <c r="I231" s="102" t="s">
        <v>48</v>
      </c>
      <c r="J231" s="102" t="s">
        <v>48</v>
      </c>
      <c r="K231" s="103" t="s">
        <v>48</v>
      </c>
      <c r="L231" s="103" t="s">
        <v>48</v>
      </c>
      <c r="M231" s="103" t="s">
        <v>48</v>
      </c>
      <c r="N231" s="103" t="s">
        <v>48</v>
      </c>
      <c r="O231" s="103" t="s">
        <v>48</v>
      </c>
      <c r="P231" s="103" t="s">
        <v>48</v>
      </c>
      <c r="Q231" s="102" t="s">
        <v>48</v>
      </c>
      <c r="R231" s="102" t="s">
        <v>48</v>
      </c>
      <c r="S231" s="102" t="s">
        <v>48</v>
      </c>
      <c r="T231" s="102" t="s">
        <v>48</v>
      </c>
      <c r="U231" s="102" t="s">
        <v>48</v>
      </c>
      <c r="V231" s="7" t="s">
        <v>1256</v>
      </c>
      <c r="W231" s="7" t="s">
        <v>1256</v>
      </c>
      <c r="X231" s="102" t="s">
        <v>1262</v>
      </c>
      <c r="Y231" s="102" t="s">
        <v>1267</v>
      </c>
      <c r="Z231" s="102" t="s">
        <v>1267</v>
      </c>
      <c r="AA231" s="102" t="s">
        <v>1284</v>
      </c>
      <c r="AB231" s="102" t="s">
        <v>1286</v>
      </c>
      <c r="AC231" s="102" t="s">
        <v>1120</v>
      </c>
      <c r="AD231" s="102" t="s">
        <v>1244</v>
      </c>
      <c r="AE231" s="102" t="s">
        <v>82</v>
      </c>
      <c r="AF231" s="102" t="s">
        <v>1148</v>
      </c>
    </row>
    <row r="232" spans="1:32" ht="75" hidden="1" customHeight="1">
      <c r="A232" s="102" t="s">
        <v>34</v>
      </c>
      <c r="B232" s="102" t="s">
        <v>151</v>
      </c>
      <c r="C232" s="102" t="s">
        <v>474</v>
      </c>
      <c r="D232" s="70">
        <v>15000</v>
      </c>
      <c r="E232" s="102" t="s">
        <v>48</v>
      </c>
      <c r="F232" s="102" t="s">
        <v>48</v>
      </c>
      <c r="G232" s="102" t="s">
        <v>48</v>
      </c>
      <c r="H232" s="102" t="s">
        <v>48</v>
      </c>
      <c r="I232" s="102" t="s">
        <v>48</v>
      </c>
      <c r="J232" s="102" t="s">
        <v>48</v>
      </c>
      <c r="K232" s="103" t="s">
        <v>80</v>
      </c>
      <c r="L232" s="103" t="s">
        <v>1149</v>
      </c>
      <c r="M232" s="103" t="s">
        <v>48</v>
      </c>
      <c r="N232" s="103" t="s">
        <v>48</v>
      </c>
      <c r="O232" s="103" t="s">
        <v>48</v>
      </c>
      <c r="P232" s="103" t="s">
        <v>48</v>
      </c>
      <c r="Q232" s="102" t="s">
        <v>48</v>
      </c>
      <c r="R232" s="102" t="s">
        <v>48</v>
      </c>
      <c r="S232" s="102" t="s">
        <v>48</v>
      </c>
      <c r="T232" s="102" t="s">
        <v>48</v>
      </c>
      <c r="U232" s="102" t="s">
        <v>48</v>
      </c>
      <c r="V232" s="7" t="s">
        <v>1257</v>
      </c>
      <c r="W232" s="7" t="s">
        <v>1257</v>
      </c>
      <c r="X232" s="102" t="s">
        <v>1263</v>
      </c>
      <c r="Y232" s="102" t="s">
        <v>1269</v>
      </c>
      <c r="Z232" s="102" t="s">
        <v>1269</v>
      </c>
      <c r="AA232" s="102" t="s">
        <v>1276</v>
      </c>
      <c r="AB232" s="102" t="s">
        <v>1287</v>
      </c>
      <c r="AC232" s="102" t="s">
        <v>1119</v>
      </c>
      <c r="AD232" s="102" t="s">
        <v>1244</v>
      </c>
      <c r="AE232" s="102" t="s">
        <v>82</v>
      </c>
      <c r="AF232" s="102"/>
    </row>
    <row r="233" spans="1:32" ht="75" hidden="1" customHeight="1">
      <c r="A233" s="102" t="s">
        <v>34</v>
      </c>
      <c r="B233" s="102" t="s">
        <v>151</v>
      </c>
      <c r="C233" s="102" t="s">
        <v>1121</v>
      </c>
      <c r="D233" s="70">
        <v>15000</v>
      </c>
      <c r="E233" s="102" t="s">
        <v>48</v>
      </c>
      <c r="F233" s="102" t="s">
        <v>48</v>
      </c>
      <c r="G233" s="102" t="s">
        <v>48</v>
      </c>
      <c r="H233" s="102" t="s">
        <v>48</v>
      </c>
      <c r="I233" s="102" t="s">
        <v>48</v>
      </c>
      <c r="J233" s="102" t="s">
        <v>48</v>
      </c>
      <c r="K233" s="103" t="s">
        <v>80</v>
      </c>
      <c r="L233" s="103" t="s">
        <v>1150</v>
      </c>
      <c r="M233" s="103" t="s">
        <v>48</v>
      </c>
      <c r="N233" s="103" t="s">
        <v>48</v>
      </c>
      <c r="O233" s="103" t="s">
        <v>48</v>
      </c>
      <c r="P233" s="103" t="s">
        <v>48</v>
      </c>
      <c r="Q233" s="102" t="s">
        <v>48</v>
      </c>
      <c r="R233" s="102" t="s">
        <v>48</v>
      </c>
      <c r="S233" s="102" t="s">
        <v>48</v>
      </c>
      <c r="T233" s="102" t="s">
        <v>48</v>
      </c>
      <c r="U233" s="102" t="s">
        <v>48</v>
      </c>
      <c r="V233" s="7" t="s">
        <v>1257</v>
      </c>
      <c r="W233" s="7" t="s">
        <v>1257</v>
      </c>
      <c r="X233" s="102" t="s">
        <v>1263</v>
      </c>
      <c r="Y233" s="102" t="s">
        <v>1269</v>
      </c>
      <c r="Z233" s="102" t="s">
        <v>1269</v>
      </c>
      <c r="AA233" s="102" t="s">
        <v>1276</v>
      </c>
      <c r="AB233" s="102" t="s">
        <v>1287</v>
      </c>
      <c r="AC233" s="102" t="s">
        <v>1119</v>
      </c>
      <c r="AD233" s="102" t="s">
        <v>1244</v>
      </c>
      <c r="AE233" s="102" t="s">
        <v>82</v>
      </c>
      <c r="AF233" s="102"/>
    </row>
    <row r="234" spans="1:32" ht="75" hidden="1" customHeight="1">
      <c r="A234" s="102" t="s">
        <v>34</v>
      </c>
      <c r="B234" s="102" t="s">
        <v>151</v>
      </c>
      <c r="C234" s="102" t="s">
        <v>1122</v>
      </c>
      <c r="D234" s="70">
        <v>15000</v>
      </c>
      <c r="E234" s="102" t="s">
        <v>48</v>
      </c>
      <c r="F234" s="102" t="s">
        <v>48</v>
      </c>
      <c r="G234" s="102" t="s">
        <v>48</v>
      </c>
      <c r="H234" s="102" t="s">
        <v>48</v>
      </c>
      <c r="I234" s="102" t="s">
        <v>48</v>
      </c>
      <c r="J234" s="102" t="s">
        <v>48</v>
      </c>
      <c r="K234" s="103" t="s">
        <v>48</v>
      </c>
      <c r="L234" s="103" t="s">
        <v>48</v>
      </c>
      <c r="M234" s="103" t="s">
        <v>48</v>
      </c>
      <c r="N234" s="103" t="s">
        <v>48</v>
      </c>
      <c r="O234" s="103" t="s">
        <v>48</v>
      </c>
      <c r="P234" s="103" t="s">
        <v>48</v>
      </c>
      <c r="Q234" s="102" t="s">
        <v>48</v>
      </c>
      <c r="R234" s="102" t="s">
        <v>48</v>
      </c>
      <c r="S234" s="102" t="s">
        <v>48</v>
      </c>
      <c r="T234" s="102" t="s">
        <v>48</v>
      </c>
      <c r="U234" s="102" t="s">
        <v>48</v>
      </c>
      <c r="V234" s="7" t="s">
        <v>1258</v>
      </c>
      <c r="W234" s="7" t="s">
        <v>1258</v>
      </c>
      <c r="X234" s="102" t="s">
        <v>1264</v>
      </c>
      <c r="Y234" s="102" t="s">
        <v>1270</v>
      </c>
      <c r="Z234" s="102" t="s">
        <v>1270</v>
      </c>
      <c r="AA234" s="102" t="s">
        <v>1277</v>
      </c>
      <c r="AB234" s="102" t="s">
        <v>1288</v>
      </c>
      <c r="AC234" s="102" t="s">
        <v>1197</v>
      </c>
      <c r="AD234" s="102" t="s">
        <v>1244</v>
      </c>
      <c r="AE234" s="102" t="s">
        <v>82</v>
      </c>
      <c r="AF234" s="102"/>
    </row>
    <row r="235" spans="1:32" ht="75" hidden="1" customHeight="1">
      <c r="A235" s="102" t="s">
        <v>34</v>
      </c>
      <c r="B235" s="102" t="s">
        <v>151</v>
      </c>
      <c r="C235" s="102" t="s">
        <v>155</v>
      </c>
      <c r="D235" s="70">
        <v>15000</v>
      </c>
      <c r="E235" s="102" t="s">
        <v>48</v>
      </c>
      <c r="F235" s="102" t="s">
        <v>48</v>
      </c>
      <c r="G235" s="102" t="s">
        <v>48</v>
      </c>
      <c r="H235" s="102" t="s">
        <v>48</v>
      </c>
      <c r="I235" s="102" t="s">
        <v>48</v>
      </c>
      <c r="J235" s="102" t="s">
        <v>48</v>
      </c>
      <c r="K235" s="103" t="s">
        <v>80</v>
      </c>
      <c r="L235" s="103" t="s">
        <v>515</v>
      </c>
      <c r="M235" s="103" t="s">
        <v>1151</v>
      </c>
      <c r="N235" s="103" t="s">
        <v>589</v>
      </c>
      <c r="O235" s="103" t="s">
        <v>259</v>
      </c>
      <c r="P235" s="103" t="s">
        <v>470</v>
      </c>
      <c r="Q235" s="102" t="s">
        <v>48</v>
      </c>
      <c r="R235" s="102" t="s">
        <v>48</v>
      </c>
      <c r="S235" s="102" t="s">
        <v>48</v>
      </c>
      <c r="T235" s="102" t="s">
        <v>48</v>
      </c>
      <c r="U235" s="102" t="s">
        <v>48</v>
      </c>
      <c r="V235" s="7" t="s">
        <v>1257</v>
      </c>
      <c r="W235" s="7" t="s">
        <v>1257</v>
      </c>
      <c r="X235" s="102" t="s">
        <v>1263</v>
      </c>
      <c r="Y235" s="102" t="s">
        <v>1269</v>
      </c>
      <c r="Z235" s="102" t="s">
        <v>1269</v>
      </c>
      <c r="AA235" s="102" t="s">
        <v>1276</v>
      </c>
      <c r="AB235" s="102" t="s">
        <v>1287</v>
      </c>
      <c r="AC235" s="102" t="s">
        <v>1119</v>
      </c>
      <c r="AD235" s="102" t="s">
        <v>1244</v>
      </c>
      <c r="AE235" s="102" t="s">
        <v>82</v>
      </c>
      <c r="AF235" s="102"/>
    </row>
    <row r="236" spans="1:32" ht="75" hidden="1" customHeight="1">
      <c r="A236" s="102" t="s">
        <v>34</v>
      </c>
      <c r="B236" s="102" t="s">
        <v>151</v>
      </c>
      <c r="C236" s="102" t="s">
        <v>536</v>
      </c>
      <c r="D236" s="70">
        <v>15000</v>
      </c>
      <c r="E236" s="102" t="s">
        <v>48</v>
      </c>
      <c r="F236" s="102" t="s">
        <v>48</v>
      </c>
      <c r="G236" s="102" t="s">
        <v>48</v>
      </c>
      <c r="H236" s="102" t="s">
        <v>48</v>
      </c>
      <c r="I236" s="102" t="s">
        <v>48</v>
      </c>
      <c r="J236" s="102" t="s">
        <v>48</v>
      </c>
      <c r="K236" s="103" t="s">
        <v>48</v>
      </c>
      <c r="L236" s="103" t="s">
        <v>48</v>
      </c>
      <c r="M236" s="103" t="s">
        <v>1152</v>
      </c>
      <c r="N236" s="103" t="s">
        <v>48</v>
      </c>
      <c r="O236" s="103" t="s">
        <v>260</v>
      </c>
      <c r="P236" s="103" t="s">
        <v>516</v>
      </c>
      <c r="Q236" s="102" t="s">
        <v>48</v>
      </c>
      <c r="R236" s="102" t="s">
        <v>48</v>
      </c>
      <c r="S236" s="102" t="s">
        <v>48</v>
      </c>
      <c r="T236" s="102" t="s">
        <v>48</v>
      </c>
      <c r="U236" s="102" t="s">
        <v>48</v>
      </c>
      <c r="V236" s="7" t="s">
        <v>1259</v>
      </c>
      <c r="W236" s="7" t="s">
        <v>1259</v>
      </c>
      <c r="X236" s="102" t="s">
        <v>1265</v>
      </c>
      <c r="Y236" s="102" t="s">
        <v>1271</v>
      </c>
      <c r="Z236" s="102" t="s">
        <v>1271</v>
      </c>
      <c r="AA236" s="102" t="s">
        <v>1278</v>
      </c>
      <c r="AB236" s="102" t="s">
        <v>1289</v>
      </c>
      <c r="AC236" s="102" t="s">
        <v>1198</v>
      </c>
      <c r="AD236" s="102" t="s">
        <v>1244</v>
      </c>
      <c r="AE236" s="102" t="s">
        <v>82</v>
      </c>
      <c r="AF236" s="102" t="s">
        <v>1153</v>
      </c>
    </row>
    <row r="237" spans="1:32" ht="75" hidden="1" customHeight="1">
      <c r="A237" s="102" t="s">
        <v>34</v>
      </c>
      <c r="B237" s="102" t="s">
        <v>151</v>
      </c>
      <c r="C237" s="102" t="s">
        <v>537</v>
      </c>
      <c r="D237" s="70">
        <v>15000</v>
      </c>
      <c r="E237" s="102" t="s">
        <v>48</v>
      </c>
      <c r="F237" s="102" t="s">
        <v>48</v>
      </c>
      <c r="G237" s="102" t="s">
        <v>48</v>
      </c>
      <c r="H237" s="102" t="s">
        <v>48</v>
      </c>
      <c r="I237" s="102" t="s">
        <v>48</v>
      </c>
      <c r="J237" s="102" t="s">
        <v>48</v>
      </c>
      <c r="K237" s="103" t="s">
        <v>48</v>
      </c>
      <c r="L237" s="103" t="s">
        <v>48</v>
      </c>
      <c r="M237" s="103" t="s">
        <v>1152</v>
      </c>
      <c r="N237" s="103" t="s">
        <v>48</v>
      </c>
      <c r="O237" s="103" t="s">
        <v>260</v>
      </c>
      <c r="P237" s="103" t="s">
        <v>516</v>
      </c>
      <c r="Q237" s="102" t="s">
        <v>48</v>
      </c>
      <c r="R237" s="102" t="s">
        <v>48</v>
      </c>
      <c r="S237" s="102" t="s">
        <v>48</v>
      </c>
      <c r="T237" s="102" t="s">
        <v>48</v>
      </c>
      <c r="U237" s="102" t="s">
        <v>48</v>
      </c>
      <c r="V237" s="7" t="s">
        <v>1376</v>
      </c>
      <c r="W237" s="7" t="s">
        <v>1376</v>
      </c>
      <c r="X237" s="102" t="s">
        <v>1265</v>
      </c>
      <c r="Y237" s="102" t="s">
        <v>1272</v>
      </c>
      <c r="Z237" s="102" t="s">
        <v>1272</v>
      </c>
      <c r="AA237" s="102" t="s">
        <v>1278</v>
      </c>
      <c r="AB237" s="102" t="s">
        <v>1289</v>
      </c>
      <c r="AC237" s="102" t="s">
        <v>1198</v>
      </c>
      <c r="AD237" s="102" t="s">
        <v>1244</v>
      </c>
      <c r="AE237" s="102" t="s">
        <v>82</v>
      </c>
      <c r="AF237" s="102" t="s">
        <v>1153</v>
      </c>
    </row>
    <row r="238" spans="1:32" ht="75" hidden="1" customHeight="1">
      <c r="A238" s="102" t="s">
        <v>34</v>
      </c>
      <c r="B238" s="102" t="s">
        <v>151</v>
      </c>
      <c r="C238" s="102" t="s">
        <v>1123</v>
      </c>
      <c r="D238" s="70">
        <v>15000</v>
      </c>
      <c r="E238" s="102" t="s">
        <v>48</v>
      </c>
      <c r="F238" s="102" t="s">
        <v>48</v>
      </c>
      <c r="G238" s="102" t="s">
        <v>48</v>
      </c>
      <c r="H238" s="102" t="s">
        <v>48</v>
      </c>
      <c r="I238" s="102" t="s">
        <v>48</v>
      </c>
      <c r="J238" s="102" t="s">
        <v>48</v>
      </c>
      <c r="K238" s="103" t="s">
        <v>48</v>
      </c>
      <c r="L238" s="103" t="s">
        <v>48</v>
      </c>
      <c r="M238" s="103" t="s">
        <v>1154</v>
      </c>
      <c r="N238" s="103" t="s">
        <v>48</v>
      </c>
      <c r="O238" s="103" t="s">
        <v>261</v>
      </c>
      <c r="P238" s="103" t="s">
        <v>517</v>
      </c>
      <c r="Q238" s="102" t="s">
        <v>48</v>
      </c>
      <c r="R238" s="102" t="s">
        <v>48</v>
      </c>
      <c r="S238" s="102" t="s">
        <v>48</v>
      </c>
      <c r="T238" s="102" t="s">
        <v>48</v>
      </c>
      <c r="U238" s="102" t="s">
        <v>48</v>
      </c>
      <c r="V238" s="7" t="s">
        <v>1257</v>
      </c>
      <c r="W238" s="7" t="s">
        <v>1257</v>
      </c>
      <c r="X238" s="102" t="s">
        <v>1263</v>
      </c>
      <c r="Y238" s="102" t="s">
        <v>1269</v>
      </c>
      <c r="Z238" s="102" t="s">
        <v>1269</v>
      </c>
      <c r="AA238" s="102" t="s">
        <v>1276</v>
      </c>
      <c r="AB238" s="102" t="s">
        <v>1287</v>
      </c>
      <c r="AC238" s="102" t="s">
        <v>1119</v>
      </c>
      <c r="AD238" s="102" t="s">
        <v>1244</v>
      </c>
      <c r="AE238" s="102" t="s">
        <v>82</v>
      </c>
      <c r="AF238" s="102"/>
    </row>
    <row r="239" spans="1:32" ht="75" hidden="1" customHeight="1">
      <c r="A239" s="102" t="s">
        <v>34</v>
      </c>
      <c r="B239" s="102" t="s">
        <v>158</v>
      </c>
      <c r="C239" s="102" t="s">
        <v>723</v>
      </c>
      <c r="D239" s="70">
        <v>15000</v>
      </c>
      <c r="E239" s="102" t="s">
        <v>48</v>
      </c>
      <c r="F239" s="102" t="s">
        <v>48</v>
      </c>
      <c r="G239" s="102" t="s">
        <v>48</v>
      </c>
      <c r="H239" s="102" t="s">
        <v>48</v>
      </c>
      <c r="I239" s="102" t="s">
        <v>48</v>
      </c>
      <c r="J239" s="102" t="s">
        <v>48</v>
      </c>
      <c r="K239" s="103" t="s">
        <v>80</v>
      </c>
      <c r="L239" s="103" t="s">
        <v>1155</v>
      </c>
      <c r="M239" s="103" t="s">
        <v>48</v>
      </c>
      <c r="N239" s="103" t="s">
        <v>48</v>
      </c>
      <c r="O239" s="103" t="s">
        <v>48</v>
      </c>
      <c r="P239" s="103" t="s">
        <v>48</v>
      </c>
      <c r="Q239" s="102" t="s">
        <v>48</v>
      </c>
      <c r="R239" s="102" t="s">
        <v>48</v>
      </c>
      <c r="S239" s="102" t="s">
        <v>48</v>
      </c>
      <c r="T239" s="102" t="s">
        <v>48</v>
      </c>
      <c r="U239" s="102" t="s">
        <v>48</v>
      </c>
      <c r="V239" s="7" t="s">
        <v>1257</v>
      </c>
      <c r="W239" s="7" t="s">
        <v>1257</v>
      </c>
      <c r="X239" s="102" t="s">
        <v>1263</v>
      </c>
      <c r="Y239" s="102" t="s">
        <v>1269</v>
      </c>
      <c r="Z239" s="102" t="s">
        <v>1269</v>
      </c>
      <c r="AA239" s="102" t="s">
        <v>1276</v>
      </c>
      <c r="AB239" s="102" t="s">
        <v>1287</v>
      </c>
      <c r="AC239" s="102" t="s">
        <v>1119</v>
      </c>
      <c r="AD239" s="102" t="s">
        <v>1244</v>
      </c>
      <c r="AE239" s="102" t="s">
        <v>82</v>
      </c>
      <c r="AF239" s="102" t="s">
        <v>1156</v>
      </c>
    </row>
    <row r="240" spans="1:32" ht="75" hidden="1" customHeight="1">
      <c r="A240" s="102" t="s">
        <v>34</v>
      </c>
      <c r="B240" s="102" t="s">
        <v>158</v>
      </c>
      <c r="C240" s="102" t="s">
        <v>1124</v>
      </c>
      <c r="D240" s="70">
        <v>15000</v>
      </c>
      <c r="E240" s="102" t="s">
        <v>48</v>
      </c>
      <c r="F240" s="102" t="s">
        <v>48</v>
      </c>
      <c r="G240" s="102" t="s">
        <v>48</v>
      </c>
      <c r="H240" s="102" t="s">
        <v>48</v>
      </c>
      <c r="I240" s="102" t="s">
        <v>48</v>
      </c>
      <c r="J240" s="102" t="s">
        <v>48</v>
      </c>
      <c r="K240" s="103" t="s">
        <v>48</v>
      </c>
      <c r="L240" s="103" t="s">
        <v>48</v>
      </c>
      <c r="M240" s="103" t="s">
        <v>1157</v>
      </c>
      <c r="N240" s="103" t="s">
        <v>48</v>
      </c>
      <c r="O240" s="103" t="s">
        <v>262</v>
      </c>
      <c r="P240" s="103" t="s">
        <v>518</v>
      </c>
      <c r="Q240" s="102" t="s">
        <v>48</v>
      </c>
      <c r="R240" s="102" t="s">
        <v>48</v>
      </c>
      <c r="S240" s="102" t="s">
        <v>48</v>
      </c>
      <c r="T240" s="102" t="s">
        <v>48</v>
      </c>
      <c r="U240" s="102" t="s">
        <v>48</v>
      </c>
      <c r="V240" s="7" t="s">
        <v>1257</v>
      </c>
      <c r="W240" s="7" t="s">
        <v>1257</v>
      </c>
      <c r="X240" s="102" t="s">
        <v>1263</v>
      </c>
      <c r="Y240" s="102" t="s">
        <v>1269</v>
      </c>
      <c r="Z240" s="102" t="s">
        <v>1269</v>
      </c>
      <c r="AA240" s="102" t="s">
        <v>1276</v>
      </c>
      <c r="AB240" s="102" t="s">
        <v>1287</v>
      </c>
      <c r="AC240" s="102" t="s">
        <v>1119</v>
      </c>
      <c r="AD240" s="102" t="s">
        <v>1244</v>
      </c>
      <c r="AE240" s="102" t="s">
        <v>82</v>
      </c>
      <c r="AF240" s="102"/>
    </row>
    <row r="241" spans="1:32" ht="75" hidden="1" customHeight="1">
      <c r="A241" s="102" t="s">
        <v>34</v>
      </c>
      <c r="B241" s="102" t="s">
        <v>158</v>
      </c>
      <c r="C241" s="102" t="s">
        <v>535</v>
      </c>
      <c r="D241" s="70">
        <v>15000</v>
      </c>
      <c r="E241" s="102" t="s">
        <v>48</v>
      </c>
      <c r="F241" s="102" t="s">
        <v>48</v>
      </c>
      <c r="G241" s="102" t="s">
        <v>48</v>
      </c>
      <c r="H241" s="102" t="s">
        <v>48</v>
      </c>
      <c r="I241" s="102" t="s">
        <v>48</v>
      </c>
      <c r="J241" s="102" t="s">
        <v>48</v>
      </c>
      <c r="K241" s="103" t="s">
        <v>48</v>
      </c>
      <c r="L241" s="103" t="s">
        <v>48</v>
      </c>
      <c r="M241" s="103" t="s">
        <v>48</v>
      </c>
      <c r="N241" s="103" t="s">
        <v>48</v>
      </c>
      <c r="O241" s="103" t="s">
        <v>48</v>
      </c>
      <c r="P241" s="103" t="s">
        <v>48</v>
      </c>
      <c r="Q241" s="102" t="s">
        <v>48</v>
      </c>
      <c r="R241" s="102" t="s">
        <v>48</v>
      </c>
      <c r="S241" s="102" t="s">
        <v>48</v>
      </c>
      <c r="T241" s="102" t="s">
        <v>48</v>
      </c>
      <c r="U241" s="102" t="s">
        <v>48</v>
      </c>
      <c r="V241" s="7" t="s">
        <v>1257</v>
      </c>
      <c r="W241" s="7" t="s">
        <v>1257</v>
      </c>
      <c r="X241" s="102" t="s">
        <v>1263</v>
      </c>
      <c r="Y241" s="102" t="s">
        <v>1269</v>
      </c>
      <c r="Z241" s="102" t="s">
        <v>1269</v>
      </c>
      <c r="AA241" s="102" t="s">
        <v>1276</v>
      </c>
      <c r="AB241" s="102" t="s">
        <v>1287</v>
      </c>
      <c r="AC241" s="102" t="s">
        <v>1119</v>
      </c>
      <c r="AD241" s="102" t="s">
        <v>1244</v>
      </c>
      <c r="AE241" s="102" t="s">
        <v>82</v>
      </c>
      <c r="AF241" s="102"/>
    </row>
    <row r="242" spans="1:32" ht="75" customHeight="1">
      <c r="A242" s="102" t="s">
        <v>34</v>
      </c>
      <c r="B242" s="102" t="s">
        <v>148</v>
      </c>
      <c r="C242" s="102" t="s">
        <v>538</v>
      </c>
      <c r="D242" s="70">
        <v>15000</v>
      </c>
      <c r="E242" s="102" t="s">
        <v>48</v>
      </c>
      <c r="F242" s="102" t="s">
        <v>48</v>
      </c>
      <c r="G242" s="102" t="s">
        <v>48</v>
      </c>
      <c r="H242" s="102" t="s">
        <v>48</v>
      </c>
      <c r="I242" s="102" t="s">
        <v>48</v>
      </c>
      <c r="J242" s="102" t="s">
        <v>48</v>
      </c>
      <c r="K242" s="103" t="s">
        <v>48</v>
      </c>
      <c r="L242" s="103" t="s">
        <v>48</v>
      </c>
      <c r="M242" s="103" t="s">
        <v>48</v>
      </c>
      <c r="N242" s="103" t="s">
        <v>48</v>
      </c>
      <c r="O242" s="103" t="s">
        <v>48</v>
      </c>
      <c r="P242" s="103" t="s">
        <v>48</v>
      </c>
      <c r="Q242" s="102" t="s">
        <v>48</v>
      </c>
      <c r="R242" s="102" t="s">
        <v>48</v>
      </c>
      <c r="S242" s="102" t="s">
        <v>48</v>
      </c>
      <c r="T242" s="102" t="s">
        <v>48</v>
      </c>
      <c r="U242" s="102" t="s">
        <v>48</v>
      </c>
      <c r="V242" s="7" t="s">
        <v>1256</v>
      </c>
      <c r="W242" s="7" t="s">
        <v>1256</v>
      </c>
      <c r="X242" s="102" t="s">
        <v>1261</v>
      </c>
      <c r="Y242" s="102" t="s">
        <v>1268</v>
      </c>
      <c r="Z242" s="102" t="s">
        <v>1268</v>
      </c>
      <c r="AA242" s="102" t="s">
        <v>1275</v>
      </c>
      <c r="AB242" s="102" t="s">
        <v>1285</v>
      </c>
      <c r="AC242" s="102" t="s">
        <v>1180</v>
      </c>
      <c r="AD242" s="102" t="s">
        <v>1245</v>
      </c>
      <c r="AE242" s="102" t="s">
        <v>82</v>
      </c>
      <c r="AF242" s="102"/>
    </row>
    <row r="243" spans="1:32" ht="75" hidden="1" customHeight="1">
      <c r="A243" s="102" t="s">
        <v>1118</v>
      </c>
      <c r="B243" s="102" t="s">
        <v>1158</v>
      </c>
      <c r="C243" s="102" t="s">
        <v>1159</v>
      </c>
      <c r="D243" s="70">
        <v>15000</v>
      </c>
      <c r="E243" s="102" t="s">
        <v>48</v>
      </c>
      <c r="F243" s="102" t="s">
        <v>48</v>
      </c>
      <c r="G243" s="102" t="s">
        <v>48</v>
      </c>
      <c r="H243" s="102" t="s">
        <v>48</v>
      </c>
      <c r="I243" s="102" t="s">
        <v>48</v>
      </c>
      <c r="J243" s="102" t="s">
        <v>48</v>
      </c>
      <c r="K243" s="103" t="s">
        <v>48</v>
      </c>
      <c r="L243" s="103" t="s">
        <v>48</v>
      </c>
      <c r="M243" s="103" t="s">
        <v>48</v>
      </c>
      <c r="N243" s="103" t="s">
        <v>48</v>
      </c>
      <c r="O243" s="103" t="s">
        <v>48</v>
      </c>
      <c r="P243" s="103" t="s">
        <v>48</v>
      </c>
      <c r="Q243" s="102" t="s">
        <v>48</v>
      </c>
      <c r="R243" s="102" t="s">
        <v>48</v>
      </c>
      <c r="S243" s="102" t="s">
        <v>48</v>
      </c>
      <c r="T243" s="102" t="s">
        <v>48</v>
      </c>
      <c r="U243" s="102" t="s">
        <v>48</v>
      </c>
      <c r="V243" s="7" t="s">
        <v>1199</v>
      </c>
      <c r="W243" s="7" t="s">
        <v>1199</v>
      </c>
      <c r="X243" s="102" t="s">
        <v>1308</v>
      </c>
      <c r="Y243" s="102" t="s">
        <v>1178</v>
      </c>
      <c r="Z243" s="102" t="s">
        <v>1178</v>
      </c>
      <c r="AA243" s="102" t="s">
        <v>1182</v>
      </c>
      <c r="AB243" s="102" t="s">
        <v>1179</v>
      </c>
      <c r="AC243" s="102" t="s">
        <v>1180</v>
      </c>
      <c r="AD243" s="102" t="s">
        <v>1245</v>
      </c>
      <c r="AE243" s="102" t="s">
        <v>82</v>
      </c>
      <c r="AF243" s="102"/>
    </row>
    <row r="244" spans="1:32" ht="75" hidden="1" customHeight="1">
      <c r="A244" s="102" t="s">
        <v>1118</v>
      </c>
      <c r="B244" s="102" t="s">
        <v>1160</v>
      </c>
      <c r="C244" s="102" t="s">
        <v>1161</v>
      </c>
      <c r="D244" s="70">
        <v>15000</v>
      </c>
      <c r="E244" s="102" t="s">
        <v>48</v>
      </c>
      <c r="F244" s="102" t="s">
        <v>48</v>
      </c>
      <c r="G244" s="102" t="s">
        <v>48</v>
      </c>
      <c r="H244" s="102" t="s">
        <v>48</v>
      </c>
      <c r="I244" s="102" t="s">
        <v>48</v>
      </c>
      <c r="J244" s="102" t="s">
        <v>48</v>
      </c>
      <c r="K244" s="103" t="s">
        <v>48</v>
      </c>
      <c r="L244" s="103" t="s">
        <v>48</v>
      </c>
      <c r="M244" s="103" t="s">
        <v>48</v>
      </c>
      <c r="N244" s="103" t="s">
        <v>48</v>
      </c>
      <c r="O244" s="103" t="s">
        <v>48</v>
      </c>
      <c r="P244" s="103" t="s">
        <v>48</v>
      </c>
      <c r="Q244" s="102" t="s">
        <v>48</v>
      </c>
      <c r="R244" s="102" t="s">
        <v>48</v>
      </c>
      <c r="S244" s="102" t="s">
        <v>48</v>
      </c>
      <c r="T244" s="102" t="s">
        <v>48</v>
      </c>
      <c r="U244" s="102" t="s">
        <v>48</v>
      </c>
      <c r="V244" s="7" t="s">
        <v>1199</v>
      </c>
      <c r="W244" s="7" t="s">
        <v>1199</v>
      </c>
      <c r="X244" s="102" t="s">
        <v>1308</v>
      </c>
      <c r="Y244" s="102" t="s">
        <v>1178</v>
      </c>
      <c r="Z244" s="102" t="s">
        <v>1178</v>
      </c>
      <c r="AA244" s="102" t="s">
        <v>1182</v>
      </c>
      <c r="AB244" s="102" t="s">
        <v>1179</v>
      </c>
      <c r="AC244" s="102" t="s">
        <v>1180</v>
      </c>
      <c r="AD244" s="102" t="s">
        <v>1245</v>
      </c>
      <c r="AE244" s="102" t="s">
        <v>82</v>
      </c>
      <c r="AF244" s="102"/>
    </row>
    <row r="245" spans="1:32" ht="75" hidden="1" customHeight="1">
      <c r="A245" s="102" t="s">
        <v>1118</v>
      </c>
      <c r="B245" s="102" t="s">
        <v>1162</v>
      </c>
      <c r="C245" s="102" t="s">
        <v>1163</v>
      </c>
      <c r="D245" s="70">
        <v>15000</v>
      </c>
      <c r="E245" s="102" t="s">
        <v>48</v>
      </c>
      <c r="F245" s="102" t="s">
        <v>48</v>
      </c>
      <c r="G245" s="102" t="s">
        <v>48</v>
      </c>
      <c r="H245" s="102" t="s">
        <v>48</v>
      </c>
      <c r="I245" s="102" t="s">
        <v>48</v>
      </c>
      <c r="J245" s="102" t="s">
        <v>48</v>
      </c>
      <c r="K245" s="103" t="s">
        <v>48</v>
      </c>
      <c r="L245" s="103" t="s">
        <v>48</v>
      </c>
      <c r="M245" s="103" t="s">
        <v>48</v>
      </c>
      <c r="N245" s="103" t="s">
        <v>48</v>
      </c>
      <c r="O245" s="103" t="s">
        <v>48</v>
      </c>
      <c r="P245" s="103" t="s">
        <v>48</v>
      </c>
      <c r="Q245" s="102" t="s">
        <v>48</v>
      </c>
      <c r="R245" s="102" t="s">
        <v>48</v>
      </c>
      <c r="S245" s="102" t="s">
        <v>48</v>
      </c>
      <c r="T245" s="102" t="s">
        <v>48</v>
      </c>
      <c r="U245" s="102" t="s">
        <v>48</v>
      </c>
      <c r="V245" s="7" t="s">
        <v>1199</v>
      </c>
      <c r="W245" s="7" t="s">
        <v>1199</v>
      </c>
      <c r="X245" s="102" t="s">
        <v>1308</v>
      </c>
      <c r="Y245" s="102" t="s">
        <v>1178</v>
      </c>
      <c r="Z245" s="102" t="s">
        <v>1178</v>
      </c>
      <c r="AA245" s="102" t="s">
        <v>1182</v>
      </c>
      <c r="AB245" s="102" t="s">
        <v>1179</v>
      </c>
      <c r="AC245" s="102" t="s">
        <v>1180</v>
      </c>
      <c r="AD245" s="102" t="s">
        <v>1245</v>
      </c>
      <c r="AE245" s="102" t="s">
        <v>82</v>
      </c>
      <c r="AF245" s="102"/>
    </row>
    <row r="246" spans="1:32" ht="75" hidden="1" customHeight="1">
      <c r="A246" s="102" t="s">
        <v>1118</v>
      </c>
      <c r="B246" s="102" t="s">
        <v>1164</v>
      </c>
      <c r="C246" s="102" t="s">
        <v>1165</v>
      </c>
      <c r="D246" s="70">
        <v>15000</v>
      </c>
      <c r="E246" s="102" t="s">
        <v>48</v>
      </c>
      <c r="F246" s="102" t="s">
        <v>48</v>
      </c>
      <c r="G246" s="102" t="s">
        <v>48</v>
      </c>
      <c r="H246" s="102" t="s">
        <v>48</v>
      </c>
      <c r="I246" s="102" t="s">
        <v>48</v>
      </c>
      <c r="J246" s="102" t="s">
        <v>48</v>
      </c>
      <c r="K246" s="103" t="s">
        <v>48</v>
      </c>
      <c r="L246" s="103" t="s">
        <v>48</v>
      </c>
      <c r="M246" s="103" t="s">
        <v>48</v>
      </c>
      <c r="N246" s="103" t="s">
        <v>48</v>
      </c>
      <c r="O246" s="103" t="s">
        <v>48</v>
      </c>
      <c r="P246" s="103" t="s">
        <v>48</v>
      </c>
      <c r="Q246" s="102" t="s">
        <v>48</v>
      </c>
      <c r="R246" s="102" t="s">
        <v>48</v>
      </c>
      <c r="S246" s="102" t="s">
        <v>48</v>
      </c>
      <c r="T246" s="102" t="s">
        <v>48</v>
      </c>
      <c r="U246" s="102" t="s">
        <v>48</v>
      </c>
      <c r="V246" s="7" t="s">
        <v>1199</v>
      </c>
      <c r="W246" s="7" t="s">
        <v>1199</v>
      </c>
      <c r="X246" s="102" t="s">
        <v>1308</v>
      </c>
      <c r="Y246" s="102" t="s">
        <v>1178</v>
      </c>
      <c r="Z246" s="102" t="s">
        <v>1178</v>
      </c>
      <c r="AA246" s="102" t="s">
        <v>1182</v>
      </c>
      <c r="AB246" s="102" t="s">
        <v>1179</v>
      </c>
      <c r="AC246" s="102" t="s">
        <v>1180</v>
      </c>
      <c r="AD246" s="102" t="s">
        <v>1245</v>
      </c>
      <c r="AE246" s="102" t="s">
        <v>82</v>
      </c>
      <c r="AF246" s="102"/>
    </row>
    <row r="247" spans="1:32" ht="75" hidden="1" customHeight="1">
      <c r="A247" s="102" t="s">
        <v>1118</v>
      </c>
      <c r="B247" s="102" t="s">
        <v>1166</v>
      </c>
      <c r="C247" s="102" t="s">
        <v>903</v>
      </c>
      <c r="D247" s="70">
        <v>15000</v>
      </c>
      <c r="E247" s="102" t="s">
        <v>80</v>
      </c>
      <c r="F247" s="102" t="s">
        <v>196</v>
      </c>
      <c r="G247" s="102" t="s">
        <v>509</v>
      </c>
      <c r="H247" s="102" t="s">
        <v>583</v>
      </c>
      <c r="I247" s="102" t="s">
        <v>511</v>
      </c>
      <c r="J247" s="102" t="s">
        <v>510</v>
      </c>
      <c r="K247" s="103" t="s">
        <v>48</v>
      </c>
      <c r="L247" s="103" t="s">
        <v>48</v>
      </c>
      <c r="M247" s="103" t="s">
        <v>48</v>
      </c>
      <c r="N247" s="103" t="s">
        <v>48</v>
      </c>
      <c r="O247" s="103" t="s">
        <v>48</v>
      </c>
      <c r="P247" s="103" t="s">
        <v>48</v>
      </c>
      <c r="Q247" s="102" t="s">
        <v>48</v>
      </c>
      <c r="R247" s="102" t="s">
        <v>48</v>
      </c>
      <c r="S247" s="102" t="s">
        <v>48</v>
      </c>
      <c r="T247" s="102" t="s">
        <v>48</v>
      </c>
      <c r="U247" s="102" t="s">
        <v>48</v>
      </c>
      <c r="V247" s="7" t="s">
        <v>1199</v>
      </c>
      <c r="W247" s="7" t="s">
        <v>1199</v>
      </c>
      <c r="X247" s="102" t="s">
        <v>1308</v>
      </c>
      <c r="Y247" s="102" t="s">
        <v>1178</v>
      </c>
      <c r="Z247" s="102" t="s">
        <v>1178</v>
      </c>
      <c r="AA247" s="102" t="s">
        <v>1182</v>
      </c>
      <c r="AB247" s="102" t="s">
        <v>1179</v>
      </c>
      <c r="AC247" s="102" t="s">
        <v>1180</v>
      </c>
      <c r="AD247" s="102" t="s">
        <v>1245</v>
      </c>
      <c r="AE247" s="102" t="s">
        <v>82</v>
      </c>
      <c r="AF247" s="102"/>
    </row>
    <row r="248" spans="1:32" ht="75" hidden="1" customHeight="1">
      <c r="A248" s="102" t="s">
        <v>1118</v>
      </c>
      <c r="B248" s="102" t="s">
        <v>1167</v>
      </c>
      <c r="C248" s="102" t="s">
        <v>729</v>
      </c>
      <c r="D248" s="70">
        <v>15000</v>
      </c>
      <c r="E248" s="102" t="s">
        <v>48</v>
      </c>
      <c r="F248" s="102" t="s">
        <v>48</v>
      </c>
      <c r="G248" s="102" t="s">
        <v>48</v>
      </c>
      <c r="H248" s="102" t="s">
        <v>48</v>
      </c>
      <c r="I248" s="102" t="s">
        <v>48</v>
      </c>
      <c r="J248" s="102" t="s">
        <v>48</v>
      </c>
      <c r="K248" s="103" t="s">
        <v>48</v>
      </c>
      <c r="L248" s="103" t="s">
        <v>48</v>
      </c>
      <c r="M248" s="103" t="s">
        <v>48</v>
      </c>
      <c r="N248" s="103" t="s">
        <v>48</v>
      </c>
      <c r="O248" s="103" t="s">
        <v>48</v>
      </c>
      <c r="P248" s="103" t="s">
        <v>48</v>
      </c>
      <c r="Q248" s="102" t="s">
        <v>48</v>
      </c>
      <c r="R248" s="102" t="s">
        <v>48</v>
      </c>
      <c r="S248" s="102" t="s">
        <v>48</v>
      </c>
      <c r="T248" s="102" t="s">
        <v>48</v>
      </c>
      <c r="U248" s="102" t="s">
        <v>48</v>
      </c>
      <c r="V248" s="102" t="s">
        <v>1117</v>
      </c>
      <c r="W248" s="102" t="s">
        <v>1117</v>
      </c>
      <c r="X248" s="102" t="s">
        <v>1135</v>
      </c>
      <c r="Y248" s="102">
        <v>44296</v>
      </c>
      <c r="Z248" s="102">
        <v>44296</v>
      </c>
      <c r="AA248" s="102">
        <v>5836176</v>
      </c>
      <c r="AB248" s="102" t="s">
        <v>475</v>
      </c>
      <c r="AC248" s="102" t="s">
        <v>1119</v>
      </c>
      <c r="AD248" s="102" t="s">
        <v>1244</v>
      </c>
      <c r="AE248" s="102" t="s">
        <v>82</v>
      </c>
      <c r="AF248" s="102" t="s">
        <v>947</v>
      </c>
    </row>
    <row r="249" spans="1:32" ht="75" hidden="1" customHeight="1">
      <c r="A249" s="102" t="s">
        <v>1118</v>
      </c>
      <c r="B249" s="102" t="s">
        <v>1167</v>
      </c>
      <c r="C249" s="102" t="s">
        <v>197</v>
      </c>
      <c r="D249" s="70">
        <v>15000</v>
      </c>
      <c r="E249" s="102" t="s">
        <v>48</v>
      </c>
      <c r="F249" s="102" t="s">
        <v>48</v>
      </c>
      <c r="G249" s="102" t="s">
        <v>48</v>
      </c>
      <c r="H249" s="102" t="s">
        <v>48</v>
      </c>
      <c r="I249" s="102" t="s">
        <v>48</v>
      </c>
      <c r="J249" s="102" t="s">
        <v>48</v>
      </c>
      <c r="K249" s="103" t="s">
        <v>48</v>
      </c>
      <c r="L249" s="103" t="s">
        <v>48</v>
      </c>
      <c r="M249" s="103" t="s">
        <v>48</v>
      </c>
      <c r="N249" s="103" t="s">
        <v>48</v>
      </c>
      <c r="O249" s="103" t="s">
        <v>48</v>
      </c>
      <c r="P249" s="103" t="s">
        <v>48</v>
      </c>
      <c r="Q249" s="102" t="s">
        <v>48</v>
      </c>
      <c r="R249" s="102" t="s">
        <v>48</v>
      </c>
      <c r="S249" s="102" t="s">
        <v>48</v>
      </c>
      <c r="T249" s="102" t="s">
        <v>48</v>
      </c>
      <c r="U249" s="102" t="s">
        <v>48</v>
      </c>
      <c r="V249" s="7" t="s">
        <v>1200</v>
      </c>
      <c r="W249" s="7" t="s">
        <v>1200</v>
      </c>
      <c r="X249" s="102" t="s">
        <v>1309</v>
      </c>
      <c r="Y249" s="102" t="s">
        <v>1136</v>
      </c>
      <c r="Z249" s="102" t="s">
        <v>1134</v>
      </c>
      <c r="AA249" s="102" t="s">
        <v>1137</v>
      </c>
      <c r="AB249" s="102" t="s">
        <v>1181</v>
      </c>
      <c r="AC249" s="102" t="s">
        <v>1201</v>
      </c>
      <c r="AD249" s="102" t="s">
        <v>1244</v>
      </c>
      <c r="AE249" s="102" t="s">
        <v>82</v>
      </c>
      <c r="AF249" s="102" t="s">
        <v>947</v>
      </c>
    </row>
    <row r="250" spans="1:32" ht="75" hidden="1" customHeight="1">
      <c r="A250" s="102" t="s">
        <v>1118</v>
      </c>
      <c r="B250" s="102" t="s">
        <v>1168</v>
      </c>
      <c r="C250" s="102" t="s">
        <v>1169</v>
      </c>
      <c r="D250" s="70">
        <v>15000</v>
      </c>
      <c r="E250" s="102" t="s">
        <v>48</v>
      </c>
      <c r="F250" s="102" t="s">
        <v>48</v>
      </c>
      <c r="G250" s="102" t="s">
        <v>48</v>
      </c>
      <c r="H250" s="102" t="s">
        <v>48</v>
      </c>
      <c r="I250" s="102" t="s">
        <v>48</v>
      </c>
      <c r="J250" s="102" t="s">
        <v>48</v>
      </c>
      <c r="K250" s="103" t="s">
        <v>48</v>
      </c>
      <c r="L250" s="103" t="s">
        <v>48</v>
      </c>
      <c r="M250" s="103" t="s">
        <v>48</v>
      </c>
      <c r="N250" s="103" t="s">
        <v>48</v>
      </c>
      <c r="O250" s="103" t="s">
        <v>48</v>
      </c>
      <c r="P250" s="103" t="s">
        <v>48</v>
      </c>
      <c r="Q250" s="102" t="s">
        <v>48</v>
      </c>
      <c r="R250" s="102" t="s">
        <v>48</v>
      </c>
      <c r="S250" s="102" t="s">
        <v>48</v>
      </c>
      <c r="T250" s="102" t="s">
        <v>48</v>
      </c>
      <c r="U250" s="102" t="s">
        <v>48</v>
      </c>
      <c r="V250" s="7" t="s">
        <v>1202</v>
      </c>
      <c r="W250" s="7" t="s">
        <v>1202</v>
      </c>
      <c r="X250" s="102" t="s">
        <v>1310</v>
      </c>
      <c r="Y250" s="102" t="s">
        <v>1136</v>
      </c>
      <c r="Z250" s="102" t="s">
        <v>1134</v>
      </c>
      <c r="AA250" s="102" t="s">
        <v>1138</v>
      </c>
      <c r="AB250" s="102" t="s">
        <v>1181</v>
      </c>
      <c r="AC250" s="102" t="s">
        <v>1203</v>
      </c>
      <c r="AD250" s="102" t="s">
        <v>1244</v>
      </c>
      <c r="AE250" s="102" t="s">
        <v>82</v>
      </c>
      <c r="AF250" s="102" t="s">
        <v>947</v>
      </c>
    </row>
    <row r="251" spans="1:32" ht="75" hidden="1" customHeight="1">
      <c r="A251" s="102" t="s">
        <v>1118</v>
      </c>
      <c r="B251" s="102" t="s">
        <v>1170</v>
      </c>
      <c r="C251" s="102" t="s">
        <v>1125</v>
      </c>
      <c r="D251" s="70">
        <v>15000</v>
      </c>
      <c r="E251" s="102" t="s">
        <v>48</v>
      </c>
      <c r="F251" s="102" t="s">
        <v>48</v>
      </c>
      <c r="G251" s="102" t="s">
        <v>48</v>
      </c>
      <c r="H251" s="102" t="s">
        <v>48</v>
      </c>
      <c r="I251" s="102" t="s">
        <v>48</v>
      </c>
      <c r="J251" s="102" t="s">
        <v>48</v>
      </c>
      <c r="K251" s="103" t="s">
        <v>48</v>
      </c>
      <c r="L251" s="103" t="s">
        <v>48</v>
      </c>
      <c r="M251" s="103" t="s">
        <v>48</v>
      </c>
      <c r="N251" s="103" t="s">
        <v>48</v>
      </c>
      <c r="O251" s="103" t="s">
        <v>48</v>
      </c>
      <c r="P251" s="103" t="s">
        <v>48</v>
      </c>
      <c r="Q251" s="102" t="s">
        <v>48</v>
      </c>
      <c r="R251" s="102" t="s">
        <v>48</v>
      </c>
      <c r="S251" s="102" t="s">
        <v>48</v>
      </c>
      <c r="T251" s="102" t="s">
        <v>48</v>
      </c>
      <c r="U251" s="102" t="s">
        <v>48</v>
      </c>
      <c r="V251" s="7" t="s">
        <v>1204</v>
      </c>
      <c r="W251" s="7" t="s">
        <v>1204</v>
      </c>
      <c r="X251" s="102" t="s">
        <v>1312</v>
      </c>
      <c r="Y251" s="102" t="s">
        <v>1139</v>
      </c>
      <c r="Z251" s="102" t="s">
        <v>1134</v>
      </c>
      <c r="AA251" s="102" t="s">
        <v>1140</v>
      </c>
      <c r="AB251" s="102" t="s">
        <v>1181</v>
      </c>
      <c r="AC251" s="102" t="s">
        <v>1205</v>
      </c>
      <c r="AD251" s="102" t="s">
        <v>1244</v>
      </c>
      <c r="AE251" s="102" t="s">
        <v>82</v>
      </c>
      <c r="AF251" s="102"/>
    </row>
    <row r="252" spans="1:32" ht="75" hidden="1" customHeight="1">
      <c r="A252" s="102" t="s">
        <v>1118</v>
      </c>
      <c r="B252" s="102" t="s">
        <v>787</v>
      </c>
      <c r="C252" s="102" t="s">
        <v>786</v>
      </c>
      <c r="D252" s="70">
        <v>15000</v>
      </c>
      <c r="E252" s="102" t="s">
        <v>48</v>
      </c>
      <c r="F252" s="102" t="s">
        <v>48</v>
      </c>
      <c r="G252" s="102" t="s">
        <v>48</v>
      </c>
      <c r="H252" s="102" t="s">
        <v>48</v>
      </c>
      <c r="I252" s="102" t="s">
        <v>48</v>
      </c>
      <c r="J252" s="102" t="s">
        <v>48</v>
      </c>
      <c r="K252" s="103" t="s">
        <v>48</v>
      </c>
      <c r="L252" s="103" t="s">
        <v>48</v>
      </c>
      <c r="M252" s="103" t="s">
        <v>48</v>
      </c>
      <c r="N252" s="103" t="s">
        <v>48</v>
      </c>
      <c r="O252" s="103" t="s">
        <v>48</v>
      </c>
      <c r="P252" s="103" t="s">
        <v>48</v>
      </c>
      <c r="Q252" s="102" t="s">
        <v>48</v>
      </c>
      <c r="R252" s="102" t="s">
        <v>48</v>
      </c>
      <c r="S252" s="102" t="s">
        <v>48</v>
      </c>
      <c r="T252" s="102" t="s">
        <v>48</v>
      </c>
      <c r="U252" s="102" t="s">
        <v>48</v>
      </c>
      <c r="V252" s="102" t="s">
        <v>1834</v>
      </c>
      <c r="W252" s="102" t="s">
        <v>1834</v>
      </c>
      <c r="X252" s="102" t="s">
        <v>1837</v>
      </c>
      <c r="Y252" s="102" t="s">
        <v>1708</v>
      </c>
      <c r="Z252" s="102" t="s">
        <v>1708</v>
      </c>
      <c r="AA252" s="102" t="s">
        <v>1838</v>
      </c>
      <c r="AB252" s="102" t="s">
        <v>595</v>
      </c>
      <c r="AC252" s="102" t="s">
        <v>1687</v>
      </c>
      <c r="AD252" s="109" t="s">
        <v>1893</v>
      </c>
      <c r="AE252" s="102" t="s">
        <v>82</v>
      </c>
      <c r="AF252" s="102" t="s">
        <v>1836</v>
      </c>
    </row>
    <row r="253" spans="1:32" ht="75" hidden="1" customHeight="1">
      <c r="A253" s="102" t="s">
        <v>34</v>
      </c>
      <c r="B253" s="102" t="s">
        <v>1170</v>
      </c>
      <c r="C253" s="102" t="s">
        <v>1126</v>
      </c>
      <c r="D253" s="70">
        <v>15000</v>
      </c>
      <c r="E253" s="102" t="s">
        <v>48</v>
      </c>
      <c r="F253" s="102" t="s">
        <v>48</v>
      </c>
      <c r="G253" s="102" t="s">
        <v>48</v>
      </c>
      <c r="H253" s="102" t="s">
        <v>48</v>
      </c>
      <c r="I253" s="102" t="s">
        <v>48</v>
      </c>
      <c r="J253" s="102" t="s">
        <v>48</v>
      </c>
      <c r="K253" s="103" t="s">
        <v>48</v>
      </c>
      <c r="L253" s="103" t="s">
        <v>48</v>
      </c>
      <c r="M253" s="103" t="s">
        <v>48</v>
      </c>
      <c r="N253" s="103" t="s">
        <v>48</v>
      </c>
      <c r="O253" s="103" t="s">
        <v>48</v>
      </c>
      <c r="P253" s="103" t="s">
        <v>48</v>
      </c>
      <c r="Q253" s="102" t="s">
        <v>48</v>
      </c>
      <c r="R253" s="102" t="s">
        <v>48</v>
      </c>
      <c r="S253" s="102" t="s">
        <v>48</v>
      </c>
      <c r="T253" s="102" t="s">
        <v>48</v>
      </c>
      <c r="U253" s="102" t="s">
        <v>48</v>
      </c>
      <c r="V253" s="7" t="s">
        <v>1336</v>
      </c>
      <c r="W253" s="7" t="s">
        <v>1337</v>
      </c>
      <c r="X253" s="102" t="s">
        <v>1314</v>
      </c>
      <c r="Y253" s="102" t="s">
        <v>1272</v>
      </c>
      <c r="Z253" s="102" t="s">
        <v>1272</v>
      </c>
      <c r="AA253" s="102" t="s">
        <v>1315</v>
      </c>
      <c r="AB253" s="102" t="s">
        <v>1338</v>
      </c>
      <c r="AC253" s="102" t="s">
        <v>1206</v>
      </c>
      <c r="AD253" s="102" t="s">
        <v>1244</v>
      </c>
      <c r="AE253" s="102" t="s">
        <v>82</v>
      </c>
      <c r="AF253" s="102"/>
    </row>
    <row r="254" spans="1:32" ht="75" hidden="1" customHeight="1">
      <c r="A254" s="102" t="s">
        <v>34</v>
      </c>
      <c r="B254" s="102" t="s">
        <v>1170</v>
      </c>
      <c r="C254" s="102" t="s">
        <v>1127</v>
      </c>
      <c r="D254" s="70">
        <v>15000</v>
      </c>
      <c r="E254" s="102" t="s">
        <v>48</v>
      </c>
      <c r="F254" s="102" t="s">
        <v>48</v>
      </c>
      <c r="G254" s="102" t="s">
        <v>48</v>
      </c>
      <c r="H254" s="102" t="s">
        <v>48</v>
      </c>
      <c r="I254" s="102" t="s">
        <v>48</v>
      </c>
      <c r="J254" s="102" t="s">
        <v>48</v>
      </c>
      <c r="K254" s="103" t="s">
        <v>48</v>
      </c>
      <c r="L254" s="103" t="s">
        <v>48</v>
      </c>
      <c r="M254" s="103" t="s">
        <v>48</v>
      </c>
      <c r="N254" s="103" t="s">
        <v>48</v>
      </c>
      <c r="O254" s="103" t="s">
        <v>48</v>
      </c>
      <c r="P254" s="103" t="s">
        <v>48</v>
      </c>
      <c r="Q254" s="102" t="s">
        <v>48</v>
      </c>
      <c r="R254" s="102" t="s">
        <v>48</v>
      </c>
      <c r="S254" s="102" t="s">
        <v>48</v>
      </c>
      <c r="T254" s="102" t="s">
        <v>48</v>
      </c>
      <c r="U254" s="102" t="s">
        <v>48</v>
      </c>
      <c r="V254" s="7" t="s">
        <v>1246</v>
      </c>
      <c r="W254" s="7" t="s">
        <v>1246</v>
      </c>
      <c r="X254" s="102" t="s">
        <v>1247</v>
      </c>
      <c r="Y254" s="102" t="s">
        <v>1134</v>
      </c>
      <c r="Z254" s="102" t="s">
        <v>1134</v>
      </c>
      <c r="AA254" s="102" t="s">
        <v>1248</v>
      </c>
      <c r="AB254" s="102" t="s">
        <v>1181</v>
      </c>
      <c r="AC254" s="102" t="s">
        <v>1207</v>
      </c>
      <c r="AD254" s="102" t="s">
        <v>1244</v>
      </c>
      <c r="AE254" s="102" t="s">
        <v>82</v>
      </c>
      <c r="AF254" s="102"/>
    </row>
    <row r="255" spans="1:32" ht="75" hidden="1" customHeight="1">
      <c r="A255" s="102" t="s">
        <v>34</v>
      </c>
      <c r="B255" s="102" t="s">
        <v>1170</v>
      </c>
      <c r="C255" s="102" t="s">
        <v>1128</v>
      </c>
      <c r="D255" s="70">
        <v>15000</v>
      </c>
      <c r="E255" s="102" t="s">
        <v>48</v>
      </c>
      <c r="F255" s="102" t="s">
        <v>48</v>
      </c>
      <c r="G255" s="102" t="s">
        <v>48</v>
      </c>
      <c r="H255" s="102" t="s">
        <v>48</v>
      </c>
      <c r="I255" s="102" t="s">
        <v>48</v>
      </c>
      <c r="J255" s="102" t="s">
        <v>48</v>
      </c>
      <c r="K255" s="103" t="s">
        <v>48</v>
      </c>
      <c r="L255" s="103" t="s">
        <v>48</v>
      </c>
      <c r="M255" s="103" t="s">
        <v>48</v>
      </c>
      <c r="N255" s="103" t="s">
        <v>48</v>
      </c>
      <c r="O255" s="103" t="s">
        <v>48</v>
      </c>
      <c r="P255" s="103" t="s">
        <v>48</v>
      </c>
      <c r="Q255" s="102" t="s">
        <v>48</v>
      </c>
      <c r="R255" s="102" t="s">
        <v>48</v>
      </c>
      <c r="S255" s="102" t="s">
        <v>48</v>
      </c>
      <c r="T255" s="102" t="s">
        <v>48</v>
      </c>
      <c r="U255" s="102" t="s">
        <v>48</v>
      </c>
      <c r="V255" s="7" t="s">
        <v>1254</v>
      </c>
      <c r="W255" s="7" t="s">
        <v>906</v>
      </c>
      <c r="X255" s="102" t="s">
        <v>1238</v>
      </c>
      <c r="Y255" s="102" t="s">
        <v>1134</v>
      </c>
      <c r="Z255" s="102" t="s">
        <v>1134</v>
      </c>
      <c r="AA255" s="102" t="s">
        <v>1240</v>
      </c>
      <c r="AB255" s="102" t="s">
        <v>1181</v>
      </c>
      <c r="AC255" s="102" t="s">
        <v>1208</v>
      </c>
      <c r="AD255" s="102" t="s">
        <v>1244</v>
      </c>
      <c r="AE255" s="102" t="s">
        <v>82</v>
      </c>
      <c r="AF255" s="102"/>
    </row>
    <row r="256" spans="1:32" ht="75" hidden="1" customHeight="1">
      <c r="A256" s="102" t="s">
        <v>1118</v>
      </c>
      <c r="B256" s="102" t="s">
        <v>449</v>
      </c>
      <c r="C256" s="102" t="s">
        <v>450</v>
      </c>
      <c r="D256" s="70">
        <v>15000</v>
      </c>
      <c r="E256" s="102" t="s">
        <v>48</v>
      </c>
      <c r="F256" s="102" t="s">
        <v>48</v>
      </c>
      <c r="G256" s="102" t="s">
        <v>48</v>
      </c>
      <c r="H256" s="102" t="s">
        <v>48</v>
      </c>
      <c r="I256" s="102" t="s">
        <v>48</v>
      </c>
      <c r="J256" s="102" t="s">
        <v>48</v>
      </c>
      <c r="K256" s="103" t="s">
        <v>48</v>
      </c>
      <c r="L256" s="103" t="s">
        <v>48</v>
      </c>
      <c r="M256" s="103" t="s">
        <v>48</v>
      </c>
      <c r="N256" s="103" t="s">
        <v>48</v>
      </c>
      <c r="O256" s="103" t="s">
        <v>48</v>
      </c>
      <c r="P256" s="103" t="s">
        <v>48</v>
      </c>
      <c r="Q256" s="102" t="s">
        <v>48</v>
      </c>
      <c r="R256" s="102" t="s">
        <v>48</v>
      </c>
      <c r="S256" s="102" t="s">
        <v>48</v>
      </c>
      <c r="T256" s="102" t="s">
        <v>48</v>
      </c>
      <c r="U256" s="102" t="s">
        <v>48</v>
      </c>
      <c r="V256" s="7" t="s">
        <v>1209</v>
      </c>
      <c r="W256" s="7" t="s">
        <v>1209</v>
      </c>
      <c r="X256" s="102" t="s">
        <v>1313</v>
      </c>
      <c r="Y256" s="102" t="s">
        <v>1141</v>
      </c>
      <c r="Z256" s="102" t="s">
        <v>1134</v>
      </c>
      <c r="AA256" s="102" t="s">
        <v>1142</v>
      </c>
      <c r="AB256" s="102" t="s">
        <v>1181</v>
      </c>
      <c r="AC256" s="102" t="s">
        <v>1210</v>
      </c>
      <c r="AD256" s="102" t="s">
        <v>1244</v>
      </c>
      <c r="AE256" s="102" t="s">
        <v>82</v>
      </c>
      <c r="AF256" s="102" t="s">
        <v>451</v>
      </c>
    </row>
    <row r="257" spans="1:32" ht="75" hidden="1" customHeight="1">
      <c r="A257" s="102" t="s">
        <v>34</v>
      </c>
      <c r="B257" s="102" t="s">
        <v>449</v>
      </c>
      <c r="C257" s="102" t="s">
        <v>981</v>
      </c>
      <c r="D257" s="70">
        <v>15000</v>
      </c>
      <c r="E257" s="102" t="s">
        <v>48</v>
      </c>
      <c r="F257" s="102" t="s">
        <v>48</v>
      </c>
      <c r="G257" s="102" t="s">
        <v>48</v>
      </c>
      <c r="H257" s="102" t="s">
        <v>48</v>
      </c>
      <c r="I257" s="102" t="s">
        <v>48</v>
      </c>
      <c r="J257" s="102" t="s">
        <v>48</v>
      </c>
      <c r="K257" s="103" t="s">
        <v>48</v>
      </c>
      <c r="L257" s="103" t="s">
        <v>48</v>
      </c>
      <c r="M257" s="103" t="s">
        <v>48</v>
      </c>
      <c r="N257" s="103" t="s">
        <v>48</v>
      </c>
      <c r="O257" s="103" t="s">
        <v>48</v>
      </c>
      <c r="P257" s="103" t="s">
        <v>48</v>
      </c>
      <c r="Q257" s="102" t="s">
        <v>48</v>
      </c>
      <c r="R257" s="102" t="s">
        <v>48</v>
      </c>
      <c r="S257" s="102" t="s">
        <v>48</v>
      </c>
      <c r="T257" s="102" t="s">
        <v>48</v>
      </c>
      <c r="U257" s="102" t="s">
        <v>48</v>
      </c>
      <c r="V257" s="7" t="s">
        <v>1329</v>
      </c>
      <c r="W257" s="7" t="s">
        <v>1329</v>
      </c>
      <c r="X257" s="102" t="s">
        <v>1316</v>
      </c>
      <c r="Y257" s="102" t="s">
        <v>1272</v>
      </c>
      <c r="Z257" s="102" t="s">
        <v>1272</v>
      </c>
      <c r="AA257" s="102" t="s">
        <v>1330</v>
      </c>
      <c r="AB257" s="102" t="s">
        <v>1317</v>
      </c>
      <c r="AC257" s="102" t="s">
        <v>1211</v>
      </c>
      <c r="AD257" s="102" t="s">
        <v>1244</v>
      </c>
      <c r="AE257" s="102" t="s">
        <v>82</v>
      </c>
      <c r="AF257" s="102"/>
    </row>
    <row r="258" spans="1:32" ht="75" hidden="1" customHeight="1">
      <c r="A258" s="102" t="s">
        <v>34</v>
      </c>
      <c r="B258" s="102" t="s">
        <v>449</v>
      </c>
      <c r="C258" s="102" t="s">
        <v>980</v>
      </c>
      <c r="D258" s="70">
        <v>15000</v>
      </c>
      <c r="E258" s="102" t="s">
        <v>48</v>
      </c>
      <c r="F258" s="102" t="s">
        <v>48</v>
      </c>
      <c r="G258" s="102" t="s">
        <v>48</v>
      </c>
      <c r="H258" s="102" t="s">
        <v>48</v>
      </c>
      <c r="I258" s="102" t="s">
        <v>48</v>
      </c>
      <c r="J258" s="102" t="s">
        <v>48</v>
      </c>
      <c r="K258" s="103" t="s">
        <v>48</v>
      </c>
      <c r="L258" s="103" t="s">
        <v>48</v>
      </c>
      <c r="M258" s="103" t="s">
        <v>48</v>
      </c>
      <c r="N258" s="103" t="s">
        <v>48</v>
      </c>
      <c r="O258" s="103" t="s">
        <v>48</v>
      </c>
      <c r="P258" s="103" t="s">
        <v>48</v>
      </c>
      <c r="Q258" s="102" t="s">
        <v>48</v>
      </c>
      <c r="R258" s="102" t="s">
        <v>48</v>
      </c>
      <c r="S258" s="102" t="s">
        <v>48</v>
      </c>
      <c r="T258" s="102" t="s">
        <v>48</v>
      </c>
      <c r="U258" s="102" t="s">
        <v>48</v>
      </c>
      <c r="V258" s="7" t="s">
        <v>1331</v>
      </c>
      <c r="W258" s="7" t="s">
        <v>1331</v>
      </c>
      <c r="X258" s="102" t="s">
        <v>1332</v>
      </c>
      <c r="Y258" s="102" t="s">
        <v>1333</v>
      </c>
      <c r="Z258" s="102" t="s">
        <v>1134</v>
      </c>
      <c r="AA258" s="102" t="s">
        <v>1334</v>
      </c>
      <c r="AB258" s="102" t="s">
        <v>1335</v>
      </c>
      <c r="AC258" s="102" t="s">
        <v>1212</v>
      </c>
      <c r="AD258" s="102" t="s">
        <v>1244</v>
      </c>
      <c r="AE258" s="102" t="s">
        <v>82</v>
      </c>
      <c r="AF258" s="102"/>
    </row>
    <row r="259" spans="1:32" ht="75" hidden="1" customHeight="1">
      <c r="A259" s="102" t="s">
        <v>34</v>
      </c>
      <c r="B259" s="102" t="s">
        <v>449</v>
      </c>
      <c r="C259" s="102" t="s">
        <v>979</v>
      </c>
      <c r="D259" s="70">
        <v>15000</v>
      </c>
      <c r="E259" s="102" t="s">
        <v>48</v>
      </c>
      <c r="F259" s="102" t="s">
        <v>48</v>
      </c>
      <c r="G259" s="102" t="s">
        <v>48</v>
      </c>
      <c r="H259" s="102" t="s">
        <v>48</v>
      </c>
      <c r="I259" s="102" t="s">
        <v>48</v>
      </c>
      <c r="J259" s="102" t="s">
        <v>48</v>
      </c>
      <c r="K259" s="103" t="s">
        <v>48</v>
      </c>
      <c r="L259" s="103" t="s">
        <v>48</v>
      </c>
      <c r="M259" s="103" t="s">
        <v>48</v>
      </c>
      <c r="N259" s="103" t="s">
        <v>48</v>
      </c>
      <c r="O259" s="103" t="s">
        <v>48</v>
      </c>
      <c r="P259" s="103" t="s">
        <v>48</v>
      </c>
      <c r="Q259" s="102" t="s">
        <v>48</v>
      </c>
      <c r="R259" s="102" t="s">
        <v>48</v>
      </c>
      <c r="S259" s="102" t="s">
        <v>48</v>
      </c>
      <c r="T259" s="102" t="s">
        <v>48</v>
      </c>
      <c r="U259" s="102" t="s">
        <v>48</v>
      </c>
      <c r="V259" s="7" t="s">
        <v>1255</v>
      </c>
      <c r="W259" s="7" t="s">
        <v>1340</v>
      </c>
      <c r="X259" s="102" t="s">
        <v>1239</v>
      </c>
      <c r="Y259" s="102" t="s">
        <v>1134</v>
      </c>
      <c r="Z259" s="102" t="s">
        <v>1134</v>
      </c>
      <c r="AA259" s="102" t="s">
        <v>1241</v>
      </c>
      <c r="AB259" s="102" t="s">
        <v>1181</v>
      </c>
      <c r="AC259" s="102" t="s">
        <v>1213</v>
      </c>
      <c r="AD259" s="102" t="s">
        <v>1244</v>
      </c>
      <c r="AE259" s="102" t="s">
        <v>82</v>
      </c>
      <c r="AF259" s="102"/>
    </row>
    <row r="260" spans="1:32" ht="75" hidden="1" customHeight="1">
      <c r="A260" s="102" t="s">
        <v>1118</v>
      </c>
      <c r="B260" s="102" t="s">
        <v>1171</v>
      </c>
      <c r="C260" s="102" t="s">
        <v>448</v>
      </c>
      <c r="D260" s="70">
        <v>15000</v>
      </c>
      <c r="E260" s="102" t="s">
        <v>48</v>
      </c>
      <c r="F260" s="102" t="s">
        <v>48</v>
      </c>
      <c r="G260" s="102" t="s">
        <v>48</v>
      </c>
      <c r="H260" s="102" t="s">
        <v>48</v>
      </c>
      <c r="I260" s="102" t="s">
        <v>48</v>
      </c>
      <c r="J260" s="102" t="s">
        <v>48</v>
      </c>
      <c r="K260" s="103" t="s">
        <v>48</v>
      </c>
      <c r="L260" s="103" t="s">
        <v>48</v>
      </c>
      <c r="M260" s="103" t="s">
        <v>48</v>
      </c>
      <c r="N260" s="103" t="s">
        <v>48</v>
      </c>
      <c r="O260" s="103" t="s">
        <v>48</v>
      </c>
      <c r="P260" s="103" t="s">
        <v>48</v>
      </c>
      <c r="Q260" s="102" t="s">
        <v>48</v>
      </c>
      <c r="R260" s="102" t="s">
        <v>48</v>
      </c>
      <c r="S260" s="102" t="s">
        <v>48</v>
      </c>
      <c r="T260" s="102" t="s">
        <v>48</v>
      </c>
      <c r="U260" s="102" t="s">
        <v>48</v>
      </c>
      <c r="V260" s="102" t="s">
        <v>1819</v>
      </c>
      <c r="W260" s="102" t="s">
        <v>1819</v>
      </c>
      <c r="X260" s="102" t="s">
        <v>1821</v>
      </c>
      <c r="Y260" s="102" t="s">
        <v>1708</v>
      </c>
      <c r="Z260" s="102" t="s">
        <v>1708</v>
      </c>
      <c r="AA260" s="102" t="s">
        <v>1823</v>
      </c>
      <c r="AB260" s="102" t="s">
        <v>595</v>
      </c>
      <c r="AC260" s="102" t="s">
        <v>1687</v>
      </c>
      <c r="AD260" s="102" t="s">
        <v>1811</v>
      </c>
      <c r="AE260" s="102" t="s">
        <v>82</v>
      </c>
      <c r="AF260" s="102" t="s">
        <v>1822</v>
      </c>
    </row>
    <row r="261" spans="1:32" ht="75" hidden="1" customHeight="1">
      <c r="A261" s="102" t="s">
        <v>1118</v>
      </c>
      <c r="B261" s="102" t="s">
        <v>1171</v>
      </c>
      <c r="C261" s="102" t="s">
        <v>725</v>
      </c>
      <c r="D261" s="70">
        <v>15000</v>
      </c>
      <c r="E261" s="102" t="s">
        <v>48</v>
      </c>
      <c r="F261" s="102" t="s">
        <v>48</v>
      </c>
      <c r="G261" s="102" t="s">
        <v>48</v>
      </c>
      <c r="H261" s="102" t="s">
        <v>48</v>
      </c>
      <c r="I261" s="102" t="s">
        <v>48</v>
      </c>
      <c r="J261" s="102" t="s">
        <v>48</v>
      </c>
      <c r="K261" s="103" t="s">
        <v>48</v>
      </c>
      <c r="L261" s="103" t="s">
        <v>48</v>
      </c>
      <c r="M261" s="103" t="s">
        <v>48</v>
      </c>
      <c r="N261" s="103" t="s">
        <v>48</v>
      </c>
      <c r="O261" s="103" t="s">
        <v>48</v>
      </c>
      <c r="P261" s="103" t="s">
        <v>48</v>
      </c>
      <c r="Q261" s="102" t="s">
        <v>48</v>
      </c>
      <c r="R261" s="102" t="s">
        <v>48</v>
      </c>
      <c r="S261" s="102" t="s">
        <v>48</v>
      </c>
      <c r="T261" s="102" t="s">
        <v>48</v>
      </c>
      <c r="U261" s="102" t="s">
        <v>48</v>
      </c>
      <c r="V261" s="102" t="s">
        <v>1819</v>
      </c>
      <c r="W261" s="102" t="s">
        <v>1819</v>
      </c>
      <c r="X261" s="102" t="s">
        <v>1821</v>
      </c>
      <c r="Y261" s="102" t="s">
        <v>1708</v>
      </c>
      <c r="Z261" s="102" t="s">
        <v>1708</v>
      </c>
      <c r="AA261" s="102" t="s">
        <v>1823</v>
      </c>
      <c r="AB261" s="102" t="s">
        <v>595</v>
      </c>
      <c r="AC261" s="102" t="s">
        <v>1687</v>
      </c>
      <c r="AD261" s="102" t="s">
        <v>1811</v>
      </c>
      <c r="AE261" s="102" t="s">
        <v>82</v>
      </c>
      <c r="AF261" s="102" t="s">
        <v>1822</v>
      </c>
    </row>
    <row r="262" spans="1:32" ht="75" hidden="1" customHeight="1">
      <c r="A262" s="102" t="s">
        <v>1118</v>
      </c>
      <c r="B262" s="102" t="s">
        <v>1171</v>
      </c>
      <c r="C262" s="102" t="s">
        <v>531</v>
      </c>
      <c r="D262" s="70">
        <v>15000</v>
      </c>
      <c r="E262" s="102" t="s">
        <v>48</v>
      </c>
      <c r="F262" s="102" t="s">
        <v>48</v>
      </c>
      <c r="G262" s="102" t="s">
        <v>48</v>
      </c>
      <c r="H262" s="102" t="s">
        <v>48</v>
      </c>
      <c r="I262" s="102" t="s">
        <v>48</v>
      </c>
      <c r="J262" s="102" t="s">
        <v>48</v>
      </c>
      <c r="K262" s="103" t="s">
        <v>48</v>
      </c>
      <c r="L262" s="103" t="s">
        <v>48</v>
      </c>
      <c r="M262" s="103" t="s">
        <v>48</v>
      </c>
      <c r="N262" s="103" t="s">
        <v>48</v>
      </c>
      <c r="O262" s="103" t="s">
        <v>48</v>
      </c>
      <c r="P262" s="103" t="s">
        <v>48</v>
      </c>
      <c r="Q262" s="102" t="s">
        <v>48</v>
      </c>
      <c r="R262" s="102" t="s">
        <v>48</v>
      </c>
      <c r="S262" s="102" t="s">
        <v>48</v>
      </c>
      <c r="T262" s="102" t="s">
        <v>48</v>
      </c>
      <c r="U262" s="102" t="s">
        <v>48</v>
      </c>
      <c r="V262" s="102" t="s">
        <v>1819</v>
      </c>
      <c r="W262" s="102" t="s">
        <v>1819</v>
      </c>
      <c r="X262" s="102" t="s">
        <v>1821</v>
      </c>
      <c r="Y262" s="102" t="s">
        <v>1708</v>
      </c>
      <c r="Z262" s="102" t="s">
        <v>1708</v>
      </c>
      <c r="AA262" s="102" t="s">
        <v>1823</v>
      </c>
      <c r="AB262" s="102" t="s">
        <v>595</v>
      </c>
      <c r="AC262" s="102" t="s">
        <v>1687</v>
      </c>
      <c r="AD262" s="102" t="s">
        <v>1811</v>
      </c>
      <c r="AE262" s="102" t="s">
        <v>82</v>
      </c>
      <c r="AF262" s="102" t="s">
        <v>1822</v>
      </c>
    </row>
    <row r="263" spans="1:32" ht="75" hidden="1" customHeight="1">
      <c r="A263" s="102" t="s">
        <v>1118</v>
      </c>
      <c r="B263" s="102" t="s">
        <v>1171</v>
      </c>
      <c r="C263" s="102" t="s">
        <v>1129</v>
      </c>
      <c r="D263" s="70">
        <v>15000</v>
      </c>
      <c r="E263" s="102" t="s">
        <v>48</v>
      </c>
      <c r="F263" s="102" t="s">
        <v>48</v>
      </c>
      <c r="G263" s="102" t="s">
        <v>48</v>
      </c>
      <c r="H263" s="102" t="s">
        <v>48</v>
      </c>
      <c r="I263" s="102" t="s">
        <v>48</v>
      </c>
      <c r="J263" s="102" t="s">
        <v>48</v>
      </c>
      <c r="K263" s="103" t="s">
        <v>48</v>
      </c>
      <c r="L263" s="103" t="s">
        <v>48</v>
      </c>
      <c r="M263" s="103" t="s">
        <v>48</v>
      </c>
      <c r="N263" s="103" t="s">
        <v>48</v>
      </c>
      <c r="O263" s="103" t="s">
        <v>48</v>
      </c>
      <c r="P263" s="103" t="s">
        <v>48</v>
      </c>
      <c r="Q263" s="102" t="s">
        <v>48</v>
      </c>
      <c r="R263" s="102" t="s">
        <v>48</v>
      </c>
      <c r="S263" s="102" t="s">
        <v>48</v>
      </c>
      <c r="T263" s="102" t="s">
        <v>48</v>
      </c>
      <c r="U263" s="102" t="s">
        <v>48</v>
      </c>
      <c r="V263" s="102" t="s">
        <v>1819</v>
      </c>
      <c r="W263" s="102" t="s">
        <v>1819</v>
      </c>
      <c r="X263" s="102" t="s">
        <v>1821</v>
      </c>
      <c r="Y263" s="102" t="s">
        <v>1708</v>
      </c>
      <c r="Z263" s="102" t="s">
        <v>1708</v>
      </c>
      <c r="AA263" s="102" t="s">
        <v>1823</v>
      </c>
      <c r="AB263" s="102" t="s">
        <v>595</v>
      </c>
      <c r="AC263" s="102" t="s">
        <v>1687</v>
      </c>
      <c r="AD263" s="102" t="s">
        <v>1811</v>
      </c>
      <c r="AE263" s="102" t="s">
        <v>82</v>
      </c>
      <c r="AF263" s="102" t="s">
        <v>1822</v>
      </c>
    </row>
    <row r="264" spans="1:32" ht="75" hidden="1" customHeight="1">
      <c r="A264" s="102" t="s">
        <v>1118</v>
      </c>
      <c r="B264" s="102" t="s">
        <v>1171</v>
      </c>
      <c r="C264" s="102" t="s">
        <v>1131</v>
      </c>
      <c r="D264" s="70">
        <v>15000</v>
      </c>
      <c r="E264" s="102" t="s">
        <v>48</v>
      </c>
      <c r="F264" s="102" t="s">
        <v>48</v>
      </c>
      <c r="G264" s="102" t="s">
        <v>48</v>
      </c>
      <c r="H264" s="102" t="s">
        <v>48</v>
      </c>
      <c r="I264" s="102" t="s">
        <v>48</v>
      </c>
      <c r="J264" s="102" t="s">
        <v>48</v>
      </c>
      <c r="K264" s="103" t="s">
        <v>48</v>
      </c>
      <c r="L264" s="103" t="s">
        <v>48</v>
      </c>
      <c r="M264" s="103" t="s">
        <v>48</v>
      </c>
      <c r="N264" s="103" t="s">
        <v>48</v>
      </c>
      <c r="O264" s="103" t="s">
        <v>48</v>
      </c>
      <c r="P264" s="103" t="s">
        <v>48</v>
      </c>
      <c r="Q264" s="102" t="s">
        <v>48</v>
      </c>
      <c r="R264" s="102" t="s">
        <v>48</v>
      </c>
      <c r="S264" s="102" t="s">
        <v>48</v>
      </c>
      <c r="T264" s="102" t="s">
        <v>48</v>
      </c>
      <c r="U264" s="102" t="s">
        <v>48</v>
      </c>
      <c r="V264" s="102" t="s">
        <v>1819</v>
      </c>
      <c r="W264" s="102" t="s">
        <v>1819</v>
      </c>
      <c r="X264" s="102" t="s">
        <v>1821</v>
      </c>
      <c r="Y264" s="102" t="s">
        <v>1708</v>
      </c>
      <c r="Z264" s="102" t="s">
        <v>1708</v>
      </c>
      <c r="AA264" s="102" t="s">
        <v>1823</v>
      </c>
      <c r="AB264" s="102" t="s">
        <v>595</v>
      </c>
      <c r="AC264" s="102" t="s">
        <v>1687</v>
      </c>
      <c r="AD264" s="102" t="s">
        <v>1811</v>
      </c>
      <c r="AE264" s="102" t="s">
        <v>82</v>
      </c>
      <c r="AF264" s="102" t="s">
        <v>1822</v>
      </c>
    </row>
    <row r="265" spans="1:32" ht="75" hidden="1" customHeight="1">
      <c r="A265" s="102" t="s">
        <v>1118</v>
      </c>
      <c r="B265" s="102" t="s">
        <v>1171</v>
      </c>
      <c r="C265" s="102" t="s">
        <v>1132</v>
      </c>
      <c r="D265" s="70">
        <v>15000</v>
      </c>
      <c r="E265" s="102" t="s">
        <v>48</v>
      </c>
      <c r="F265" s="102" t="s">
        <v>48</v>
      </c>
      <c r="G265" s="102" t="s">
        <v>48</v>
      </c>
      <c r="H265" s="102" t="s">
        <v>48</v>
      </c>
      <c r="I265" s="102" t="s">
        <v>48</v>
      </c>
      <c r="J265" s="102" t="s">
        <v>48</v>
      </c>
      <c r="K265" s="103" t="s">
        <v>48</v>
      </c>
      <c r="L265" s="103" t="s">
        <v>48</v>
      </c>
      <c r="M265" s="103" t="s">
        <v>48</v>
      </c>
      <c r="N265" s="103" t="s">
        <v>48</v>
      </c>
      <c r="O265" s="103" t="s">
        <v>48</v>
      </c>
      <c r="P265" s="103" t="s">
        <v>48</v>
      </c>
      <c r="Q265" s="102" t="s">
        <v>48</v>
      </c>
      <c r="R265" s="102" t="s">
        <v>48</v>
      </c>
      <c r="S265" s="102" t="s">
        <v>48</v>
      </c>
      <c r="T265" s="102" t="s">
        <v>48</v>
      </c>
      <c r="U265" s="102" t="s">
        <v>48</v>
      </c>
      <c r="V265" s="102" t="s">
        <v>1819</v>
      </c>
      <c r="W265" s="102" t="s">
        <v>1819</v>
      </c>
      <c r="X265" s="102" t="s">
        <v>1821</v>
      </c>
      <c r="Y265" s="102" t="s">
        <v>1708</v>
      </c>
      <c r="Z265" s="102" t="s">
        <v>1708</v>
      </c>
      <c r="AA265" s="102" t="s">
        <v>1823</v>
      </c>
      <c r="AB265" s="102" t="s">
        <v>595</v>
      </c>
      <c r="AC265" s="102" t="s">
        <v>1687</v>
      </c>
      <c r="AD265" s="102" t="s">
        <v>1811</v>
      </c>
      <c r="AE265" s="102" t="s">
        <v>82</v>
      </c>
      <c r="AF265" s="102" t="s">
        <v>1822</v>
      </c>
    </row>
    <row r="266" spans="1:32" ht="75" hidden="1" customHeight="1">
      <c r="A266" s="102" t="s">
        <v>1118</v>
      </c>
      <c r="B266" s="102" t="s">
        <v>1171</v>
      </c>
      <c r="C266" s="102" t="s">
        <v>1133</v>
      </c>
      <c r="D266" s="70">
        <v>15000</v>
      </c>
      <c r="E266" s="102" t="s">
        <v>48</v>
      </c>
      <c r="F266" s="102" t="s">
        <v>48</v>
      </c>
      <c r="G266" s="102" t="s">
        <v>48</v>
      </c>
      <c r="H266" s="102" t="s">
        <v>48</v>
      </c>
      <c r="I266" s="102" t="s">
        <v>48</v>
      </c>
      <c r="J266" s="102" t="s">
        <v>48</v>
      </c>
      <c r="K266" s="103" t="s">
        <v>48</v>
      </c>
      <c r="L266" s="103" t="s">
        <v>48</v>
      </c>
      <c r="M266" s="103">
        <v>67926</v>
      </c>
      <c r="N266" s="103" t="s">
        <v>48</v>
      </c>
      <c r="O266" s="103" t="s">
        <v>267</v>
      </c>
      <c r="P266" s="103" t="s">
        <v>519</v>
      </c>
      <c r="Q266" s="102" t="s">
        <v>48</v>
      </c>
      <c r="R266" s="102" t="s">
        <v>48</v>
      </c>
      <c r="S266" s="102" t="s">
        <v>48</v>
      </c>
      <c r="T266" s="102" t="s">
        <v>48</v>
      </c>
      <c r="U266" s="102" t="s">
        <v>48</v>
      </c>
      <c r="V266" s="102" t="s">
        <v>1819</v>
      </c>
      <c r="W266" s="102" t="s">
        <v>1819</v>
      </c>
      <c r="X266" s="102" t="s">
        <v>1821</v>
      </c>
      <c r="Y266" s="102" t="s">
        <v>1708</v>
      </c>
      <c r="Z266" s="102" t="s">
        <v>1708</v>
      </c>
      <c r="AA266" s="102" t="s">
        <v>1823</v>
      </c>
      <c r="AB266" s="102" t="s">
        <v>595</v>
      </c>
      <c r="AC266" s="102" t="s">
        <v>1687</v>
      </c>
      <c r="AD266" s="102" t="s">
        <v>1811</v>
      </c>
      <c r="AE266" s="102" t="s">
        <v>82</v>
      </c>
      <c r="AF266" s="102" t="s">
        <v>1822</v>
      </c>
    </row>
    <row r="267" spans="1:32" ht="75" hidden="1" customHeight="1">
      <c r="A267" s="102" t="s">
        <v>1118</v>
      </c>
      <c r="B267" s="102" t="s">
        <v>1171</v>
      </c>
      <c r="C267" s="102" t="s">
        <v>1130</v>
      </c>
      <c r="D267" s="70">
        <v>15000</v>
      </c>
      <c r="E267" s="102" t="s">
        <v>48</v>
      </c>
      <c r="F267" s="102" t="s">
        <v>48</v>
      </c>
      <c r="G267" s="102" t="s">
        <v>48</v>
      </c>
      <c r="H267" s="102" t="s">
        <v>48</v>
      </c>
      <c r="I267" s="102" t="s">
        <v>48</v>
      </c>
      <c r="J267" s="102" t="s">
        <v>48</v>
      </c>
      <c r="K267" s="103" t="s">
        <v>48</v>
      </c>
      <c r="L267" s="103" t="s">
        <v>48</v>
      </c>
      <c r="M267" s="103" t="s">
        <v>48</v>
      </c>
      <c r="N267" s="103" t="s">
        <v>48</v>
      </c>
      <c r="O267" s="103" t="s">
        <v>48</v>
      </c>
      <c r="P267" s="103" t="s">
        <v>48</v>
      </c>
      <c r="Q267" s="102" t="s">
        <v>48</v>
      </c>
      <c r="R267" s="102" t="s">
        <v>48</v>
      </c>
      <c r="S267" s="102" t="s">
        <v>48</v>
      </c>
      <c r="T267" s="102" t="s">
        <v>48</v>
      </c>
      <c r="U267" s="102" t="s">
        <v>48</v>
      </c>
      <c r="V267" s="102" t="s">
        <v>1819</v>
      </c>
      <c r="W267" s="102" t="s">
        <v>1819</v>
      </c>
      <c r="X267" s="102" t="s">
        <v>1821</v>
      </c>
      <c r="Y267" s="102" t="s">
        <v>1708</v>
      </c>
      <c r="Z267" s="102" t="s">
        <v>1708</v>
      </c>
      <c r="AA267" s="102" t="s">
        <v>1823</v>
      </c>
      <c r="AB267" s="102" t="s">
        <v>595</v>
      </c>
      <c r="AC267" s="102" t="s">
        <v>1687</v>
      </c>
      <c r="AD267" s="102" t="s">
        <v>1811</v>
      </c>
      <c r="AE267" s="102" t="s">
        <v>82</v>
      </c>
      <c r="AF267" s="102" t="s">
        <v>1822</v>
      </c>
    </row>
    <row r="268" spans="1:32" ht="75" hidden="1" customHeight="1">
      <c r="A268" s="102" t="s">
        <v>1118</v>
      </c>
      <c r="B268" s="102" t="s">
        <v>787</v>
      </c>
      <c r="C268" s="102" t="s">
        <v>727</v>
      </c>
      <c r="D268" s="70">
        <v>15000</v>
      </c>
      <c r="E268" s="102" t="s">
        <v>48</v>
      </c>
      <c r="F268" s="102" t="s">
        <v>48</v>
      </c>
      <c r="G268" s="102" t="s">
        <v>48</v>
      </c>
      <c r="H268" s="102" t="s">
        <v>48</v>
      </c>
      <c r="I268" s="102" t="s">
        <v>48</v>
      </c>
      <c r="J268" s="102" t="s">
        <v>48</v>
      </c>
      <c r="K268" s="103" t="s">
        <v>48</v>
      </c>
      <c r="L268" s="103" t="s">
        <v>48</v>
      </c>
      <c r="M268" s="103" t="s">
        <v>48</v>
      </c>
      <c r="N268" s="103" t="s">
        <v>48</v>
      </c>
      <c r="O268" s="103" t="s">
        <v>48</v>
      </c>
      <c r="P268" s="103" t="s">
        <v>48</v>
      </c>
      <c r="Q268" s="102" t="s">
        <v>48</v>
      </c>
      <c r="R268" s="102" t="s">
        <v>48</v>
      </c>
      <c r="S268" s="102" t="s">
        <v>48</v>
      </c>
      <c r="T268" s="102" t="s">
        <v>48</v>
      </c>
      <c r="U268" s="102" t="s">
        <v>48</v>
      </c>
      <c r="V268" s="102" t="s">
        <v>1834</v>
      </c>
      <c r="W268" s="102" t="s">
        <v>1834</v>
      </c>
      <c r="X268" s="102" t="s">
        <v>1837</v>
      </c>
      <c r="Y268" s="102" t="s">
        <v>1708</v>
      </c>
      <c r="Z268" s="102" t="s">
        <v>1708</v>
      </c>
      <c r="AA268" s="102" t="s">
        <v>1838</v>
      </c>
      <c r="AB268" s="102" t="s">
        <v>595</v>
      </c>
      <c r="AC268" s="102" t="s">
        <v>1687</v>
      </c>
      <c r="AD268" s="109" t="s">
        <v>1893</v>
      </c>
      <c r="AE268" s="102" t="s">
        <v>82</v>
      </c>
      <c r="AF268" s="102" t="s">
        <v>1836</v>
      </c>
    </row>
    <row r="269" spans="1:32" ht="75" hidden="1" customHeight="1">
      <c r="A269" s="102" t="s">
        <v>1118</v>
      </c>
      <c r="B269" s="102" t="s">
        <v>1168</v>
      </c>
      <c r="C269" s="102" t="s">
        <v>532</v>
      </c>
      <c r="D269" s="70">
        <v>15000</v>
      </c>
      <c r="E269" s="102" t="s">
        <v>48</v>
      </c>
      <c r="F269" s="102" t="s">
        <v>48</v>
      </c>
      <c r="G269" s="102" t="s">
        <v>48</v>
      </c>
      <c r="H269" s="102" t="s">
        <v>48</v>
      </c>
      <c r="I269" s="102" t="s">
        <v>48</v>
      </c>
      <c r="J269" s="102" t="s">
        <v>48</v>
      </c>
      <c r="K269" s="103" t="s">
        <v>48</v>
      </c>
      <c r="L269" s="103" t="s">
        <v>48</v>
      </c>
      <c r="M269" s="103" t="s">
        <v>48</v>
      </c>
      <c r="N269" s="103" t="s">
        <v>48</v>
      </c>
      <c r="O269" s="103" t="s">
        <v>48</v>
      </c>
      <c r="P269" s="103" t="s">
        <v>48</v>
      </c>
      <c r="Q269" s="102" t="s">
        <v>48</v>
      </c>
      <c r="R269" s="102" t="s">
        <v>48</v>
      </c>
      <c r="S269" s="102" t="s">
        <v>48</v>
      </c>
      <c r="T269" s="102" t="s">
        <v>48</v>
      </c>
      <c r="U269" s="102" t="s">
        <v>48</v>
      </c>
      <c r="V269" s="7" t="s">
        <v>1214</v>
      </c>
      <c r="W269" s="7" t="s">
        <v>1214</v>
      </c>
      <c r="X269" s="102" t="s">
        <v>1309</v>
      </c>
      <c r="Y269" s="102" t="s">
        <v>1136</v>
      </c>
      <c r="Z269" s="102" t="s">
        <v>1134</v>
      </c>
      <c r="AA269" s="102" t="s">
        <v>1137</v>
      </c>
      <c r="AB269" s="102" t="s">
        <v>1181</v>
      </c>
      <c r="AC269" s="102" t="s">
        <v>1201</v>
      </c>
      <c r="AD269" s="102" t="s">
        <v>1244</v>
      </c>
      <c r="AE269" s="102" t="s">
        <v>82</v>
      </c>
      <c r="AF269" s="102" t="s">
        <v>947</v>
      </c>
    </row>
    <row r="270" spans="1:32" ht="75" hidden="1" customHeight="1">
      <c r="A270" s="102" t="s">
        <v>1118</v>
      </c>
      <c r="B270" s="102" t="s">
        <v>1168</v>
      </c>
      <c r="C270" s="102" t="s">
        <v>533</v>
      </c>
      <c r="D270" s="70">
        <v>15000</v>
      </c>
      <c r="E270" s="102" t="s">
        <v>48</v>
      </c>
      <c r="F270" s="102" t="s">
        <v>48</v>
      </c>
      <c r="G270" s="102" t="s">
        <v>48</v>
      </c>
      <c r="H270" s="102" t="s">
        <v>48</v>
      </c>
      <c r="I270" s="102" t="s">
        <v>48</v>
      </c>
      <c r="J270" s="102" t="s">
        <v>48</v>
      </c>
      <c r="K270" s="103" t="s">
        <v>48</v>
      </c>
      <c r="L270" s="103" t="s">
        <v>48</v>
      </c>
      <c r="M270" s="103" t="s">
        <v>48</v>
      </c>
      <c r="N270" s="103" t="s">
        <v>48</v>
      </c>
      <c r="O270" s="103" t="s">
        <v>48</v>
      </c>
      <c r="P270" s="103" t="s">
        <v>48</v>
      </c>
      <c r="Q270" s="102" t="s">
        <v>48</v>
      </c>
      <c r="R270" s="102" t="s">
        <v>48</v>
      </c>
      <c r="S270" s="102" t="s">
        <v>48</v>
      </c>
      <c r="T270" s="102" t="s">
        <v>48</v>
      </c>
      <c r="U270" s="102" t="s">
        <v>48</v>
      </c>
      <c r="V270" s="7" t="s">
        <v>1202</v>
      </c>
      <c r="W270" s="7" t="s">
        <v>1202</v>
      </c>
      <c r="X270" s="102" t="s">
        <v>1310</v>
      </c>
      <c r="Y270" s="102" t="s">
        <v>1136</v>
      </c>
      <c r="Z270" s="102" t="s">
        <v>1134</v>
      </c>
      <c r="AA270" s="102" t="s">
        <v>1143</v>
      </c>
      <c r="AB270" s="102" t="s">
        <v>1181</v>
      </c>
      <c r="AC270" s="102" t="s">
        <v>1203</v>
      </c>
      <c r="AD270" s="102" t="s">
        <v>1244</v>
      </c>
      <c r="AE270" s="102" t="s">
        <v>82</v>
      </c>
      <c r="AF270" s="102" t="s">
        <v>947</v>
      </c>
    </row>
    <row r="271" spans="1:32" ht="75" hidden="1" customHeight="1">
      <c r="A271" s="102" t="s">
        <v>1118</v>
      </c>
      <c r="B271" s="102" t="s">
        <v>1168</v>
      </c>
      <c r="C271" s="102" t="s">
        <v>534</v>
      </c>
      <c r="D271" s="70">
        <v>15000</v>
      </c>
      <c r="E271" s="102" t="s">
        <v>48</v>
      </c>
      <c r="F271" s="102" t="s">
        <v>48</v>
      </c>
      <c r="G271" s="102" t="s">
        <v>48</v>
      </c>
      <c r="H271" s="102" t="s">
        <v>48</v>
      </c>
      <c r="I271" s="102" t="s">
        <v>48</v>
      </c>
      <c r="J271" s="102" t="s">
        <v>48</v>
      </c>
      <c r="K271" s="103" t="s">
        <v>48</v>
      </c>
      <c r="L271" s="103" t="s">
        <v>48</v>
      </c>
      <c r="M271" s="103" t="s">
        <v>48</v>
      </c>
      <c r="N271" s="103" t="s">
        <v>48</v>
      </c>
      <c r="O271" s="103" t="s">
        <v>48</v>
      </c>
      <c r="P271" s="103" t="s">
        <v>48</v>
      </c>
      <c r="Q271" s="102" t="s">
        <v>48</v>
      </c>
      <c r="R271" s="102" t="s">
        <v>48</v>
      </c>
      <c r="S271" s="102" t="s">
        <v>48</v>
      </c>
      <c r="T271" s="102" t="s">
        <v>48</v>
      </c>
      <c r="U271" s="102" t="s">
        <v>48</v>
      </c>
      <c r="V271" s="7" t="s">
        <v>1215</v>
      </c>
      <c r="W271" s="7" t="s">
        <v>1215</v>
      </c>
      <c r="X271" s="102" t="s">
        <v>1311</v>
      </c>
      <c r="Y271" s="102" t="s">
        <v>1136</v>
      </c>
      <c r="Z271" s="102" t="s">
        <v>1134</v>
      </c>
      <c r="AA271" s="102" t="s">
        <v>1144</v>
      </c>
      <c r="AB271" s="102" t="s">
        <v>1181</v>
      </c>
      <c r="AC271" s="102" t="s">
        <v>1216</v>
      </c>
      <c r="AD271" s="102" t="s">
        <v>1244</v>
      </c>
      <c r="AE271" s="102" t="s">
        <v>82</v>
      </c>
      <c r="AF271" s="102" t="s">
        <v>947</v>
      </c>
    </row>
    <row r="272" spans="1:32" ht="75" hidden="1" customHeight="1">
      <c r="A272" s="102" t="s">
        <v>1118</v>
      </c>
      <c r="B272" s="102" t="s">
        <v>873</v>
      </c>
      <c r="C272" s="102" t="s">
        <v>871</v>
      </c>
      <c r="D272" s="70">
        <v>15000</v>
      </c>
      <c r="E272" s="102" t="s">
        <v>48</v>
      </c>
      <c r="F272" s="102" t="s">
        <v>48</v>
      </c>
      <c r="G272" s="102" t="s">
        <v>48</v>
      </c>
      <c r="H272" s="102" t="s">
        <v>48</v>
      </c>
      <c r="I272" s="102" t="s">
        <v>48</v>
      </c>
      <c r="J272" s="102" t="s">
        <v>48</v>
      </c>
      <c r="K272" s="103" t="s">
        <v>48</v>
      </c>
      <c r="L272" s="103" t="s">
        <v>48</v>
      </c>
      <c r="M272" s="103" t="s">
        <v>48</v>
      </c>
      <c r="N272" s="103" t="s">
        <v>48</v>
      </c>
      <c r="O272" s="103" t="s">
        <v>48</v>
      </c>
      <c r="P272" s="103" t="s">
        <v>48</v>
      </c>
      <c r="Q272" s="102" t="s">
        <v>48</v>
      </c>
      <c r="R272" s="102" t="s">
        <v>48</v>
      </c>
      <c r="S272" s="102" t="s">
        <v>48</v>
      </c>
      <c r="T272" s="102" t="s">
        <v>48</v>
      </c>
      <c r="U272" s="102" t="s">
        <v>48</v>
      </c>
      <c r="V272" s="102" t="s">
        <v>1834</v>
      </c>
      <c r="W272" s="102" t="s">
        <v>1834</v>
      </c>
      <c r="X272" s="102" t="s">
        <v>1837</v>
      </c>
      <c r="Y272" s="102" t="s">
        <v>1708</v>
      </c>
      <c r="Z272" s="102" t="s">
        <v>1708</v>
      </c>
      <c r="AA272" s="102" t="s">
        <v>1838</v>
      </c>
      <c r="AB272" s="102" t="s">
        <v>595</v>
      </c>
      <c r="AC272" s="102" t="s">
        <v>1687</v>
      </c>
      <c r="AD272" s="109" t="s">
        <v>1893</v>
      </c>
      <c r="AE272" s="102" t="s">
        <v>82</v>
      </c>
      <c r="AF272" s="102" t="s">
        <v>1836</v>
      </c>
    </row>
    <row r="273" spans="1:32" ht="75" hidden="1" customHeight="1">
      <c r="A273" s="102" t="s">
        <v>34</v>
      </c>
      <c r="B273" s="102" t="s">
        <v>1320</v>
      </c>
      <c r="C273" s="102" t="s">
        <v>907</v>
      </c>
      <c r="D273" s="70">
        <v>15000</v>
      </c>
      <c r="E273" s="102" t="s">
        <v>48</v>
      </c>
      <c r="F273" s="102" t="s">
        <v>48</v>
      </c>
      <c r="G273" s="102" t="s">
        <v>48</v>
      </c>
      <c r="H273" s="102" t="s">
        <v>48</v>
      </c>
      <c r="I273" s="102" t="s">
        <v>48</v>
      </c>
      <c r="J273" s="102" t="s">
        <v>48</v>
      </c>
      <c r="K273" s="103" t="s">
        <v>48</v>
      </c>
      <c r="L273" s="103" t="s">
        <v>48</v>
      </c>
      <c r="M273" s="103" t="s">
        <v>48</v>
      </c>
      <c r="N273" s="103" t="s">
        <v>48</v>
      </c>
      <c r="O273" s="103" t="s">
        <v>48</v>
      </c>
      <c r="P273" s="103" t="s">
        <v>48</v>
      </c>
      <c r="Q273" s="102" t="s">
        <v>48</v>
      </c>
      <c r="R273" s="102" t="s">
        <v>48</v>
      </c>
      <c r="S273" s="102" t="s">
        <v>48</v>
      </c>
      <c r="T273" s="102" t="s">
        <v>48</v>
      </c>
      <c r="U273" s="102" t="s">
        <v>48</v>
      </c>
      <c r="V273" s="102" t="s">
        <v>907</v>
      </c>
      <c r="W273" s="102" t="s">
        <v>907</v>
      </c>
      <c r="X273" s="102" t="s">
        <v>48</v>
      </c>
      <c r="Y273" s="102" t="s">
        <v>48</v>
      </c>
      <c r="Z273" s="102" t="s">
        <v>48</v>
      </c>
      <c r="AA273" s="102" t="s">
        <v>48</v>
      </c>
      <c r="AB273" s="102" t="s">
        <v>48</v>
      </c>
      <c r="AC273" s="102" t="s">
        <v>1119</v>
      </c>
      <c r="AD273" s="102" t="s">
        <v>48</v>
      </c>
      <c r="AE273" s="102" t="s">
        <v>82</v>
      </c>
      <c r="AF273" s="102"/>
    </row>
    <row r="274" spans="1:32" ht="75" hidden="1" customHeight="1">
      <c r="A274" s="102" t="s">
        <v>1118</v>
      </c>
      <c r="B274" s="102" t="s">
        <v>949</v>
      </c>
      <c r="C274" s="102" t="s">
        <v>948</v>
      </c>
      <c r="D274" s="70">
        <v>15000</v>
      </c>
      <c r="E274" s="102" t="s">
        <v>48</v>
      </c>
      <c r="F274" s="102" t="s">
        <v>48</v>
      </c>
      <c r="G274" s="102" t="s">
        <v>48</v>
      </c>
      <c r="H274" s="102" t="s">
        <v>48</v>
      </c>
      <c r="I274" s="102" t="s">
        <v>48</v>
      </c>
      <c r="J274" s="102" t="s">
        <v>48</v>
      </c>
      <c r="K274" s="103" t="s">
        <v>48</v>
      </c>
      <c r="L274" s="103" t="s">
        <v>48</v>
      </c>
      <c r="M274" s="103" t="s">
        <v>48</v>
      </c>
      <c r="N274" s="103" t="s">
        <v>48</v>
      </c>
      <c r="O274" s="103" t="s">
        <v>48</v>
      </c>
      <c r="P274" s="103" t="s">
        <v>48</v>
      </c>
      <c r="Q274" s="102" t="s">
        <v>48</v>
      </c>
      <c r="R274" s="102" t="s">
        <v>48</v>
      </c>
      <c r="S274" s="102" t="s">
        <v>48</v>
      </c>
      <c r="T274" s="102" t="s">
        <v>48</v>
      </c>
      <c r="U274" s="102" t="s">
        <v>48</v>
      </c>
      <c r="V274" s="102" t="s">
        <v>1843</v>
      </c>
      <c r="W274" s="102" t="s">
        <v>1843</v>
      </c>
      <c r="X274" s="102" t="s">
        <v>1845</v>
      </c>
      <c r="Y274" s="102" t="s">
        <v>1708</v>
      </c>
      <c r="Z274" s="102" t="s">
        <v>1708</v>
      </c>
      <c r="AA274" s="102" t="s">
        <v>1846</v>
      </c>
      <c r="AB274" s="102" t="s">
        <v>595</v>
      </c>
      <c r="AC274" s="102" t="s">
        <v>1687</v>
      </c>
      <c r="AD274" s="102" t="s">
        <v>1847</v>
      </c>
      <c r="AE274" s="102" t="s">
        <v>82</v>
      </c>
      <c r="AF274" s="102" t="s">
        <v>950</v>
      </c>
    </row>
    <row r="275" spans="1:32" ht="75" hidden="1" customHeight="1">
      <c r="A275" s="102" t="s">
        <v>1118</v>
      </c>
      <c r="B275" s="102" t="s">
        <v>949</v>
      </c>
      <c r="C275" s="102" t="s">
        <v>1108</v>
      </c>
      <c r="D275" s="70">
        <v>15000</v>
      </c>
      <c r="E275" s="102" t="s">
        <v>48</v>
      </c>
      <c r="F275" s="102" t="s">
        <v>48</v>
      </c>
      <c r="G275" s="102" t="s">
        <v>48</v>
      </c>
      <c r="H275" s="102" t="s">
        <v>48</v>
      </c>
      <c r="I275" s="102" t="s">
        <v>48</v>
      </c>
      <c r="J275" s="102" t="s">
        <v>48</v>
      </c>
      <c r="K275" s="103" t="s">
        <v>48</v>
      </c>
      <c r="L275" s="103" t="s">
        <v>48</v>
      </c>
      <c r="M275" s="103" t="s">
        <v>48</v>
      </c>
      <c r="N275" s="103" t="s">
        <v>48</v>
      </c>
      <c r="O275" s="103" t="s">
        <v>48</v>
      </c>
      <c r="P275" s="103" t="s">
        <v>48</v>
      </c>
      <c r="Q275" s="102" t="s">
        <v>48</v>
      </c>
      <c r="R275" s="102" t="s">
        <v>48</v>
      </c>
      <c r="S275" s="102" t="s">
        <v>48</v>
      </c>
      <c r="T275" s="102" t="s">
        <v>48</v>
      </c>
      <c r="U275" s="102" t="s">
        <v>48</v>
      </c>
      <c r="V275" s="102" t="s">
        <v>1843</v>
      </c>
      <c r="W275" s="102" t="s">
        <v>1843</v>
      </c>
      <c r="X275" s="102" t="s">
        <v>1845</v>
      </c>
      <c r="Y275" s="102" t="s">
        <v>1708</v>
      </c>
      <c r="Z275" s="102" t="s">
        <v>1708</v>
      </c>
      <c r="AA275" s="102" t="s">
        <v>1846</v>
      </c>
      <c r="AB275" s="102" t="s">
        <v>595</v>
      </c>
      <c r="AC275" s="102" t="s">
        <v>1687</v>
      </c>
      <c r="AD275" s="102" t="s">
        <v>1847</v>
      </c>
      <c r="AE275" s="102" t="s">
        <v>82</v>
      </c>
      <c r="AF275" s="102" t="s">
        <v>1110</v>
      </c>
    </row>
    <row r="276" spans="1:32" ht="75" customHeight="1">
      <c r="A276" s="102" t="s">
        <v>35</v>
      </c>
      <c r="B276" s="102" t="s">
        <v>148</v>
      </c>
      <c r="C276" s="102" t="s">
        <v>539</v>
      </c>
      <c r="D276" s="70">
        <v>15000</v>
      </c>
      <c r="E276" s="102" t="s">
        <v>48</v>
      </c>
      <c r="F276" s="102" t="s">
        <v>48</v>
      </c>
      <c r="G276" s="102" t="s">
        <v>48</v>
      </c>
      <c r="H276" s="102" t="s">
        <v>48</v>
      </c>
      <c r="I276" s="102" t="s">
        <v>48</v>
      </c>
      <c r="J276" s="102" t="s">
        <v>48</v>
      </c>
      <c r="K276" s="103" t="s">
        <v>48</v>
      </c>
      <c r="L276" s="103" t="s">
        <v>48</v>
      </c>
      <c r="M276" s="103" t="s">
        <v>48</v>
      </c>
      <c r="N276" s="103" t="s">
        <v>48</v>
      </c>
      <c r="O276" s="103" t="s">
        <v>48</v>
      </c>
      <c r="P276" s="103" t="s">
        <v>48</v>
      </c>
      <c r="Q276" s="102" t="s">
        <v>48</v>
      </c>
      <c r="R276" s="102" t="s">
        <v>48</v>
      </c>
      <c r="S276" s="102" t="s">
        <v>48</v>
      </c>
      <c r="T276" s="102" t="s">
        <v>48</v>
      </c>
      <c r="U276" s="102" t="s">
        <v>48</v>
      </c>
      <c r="V276" s="7" t="s">
        <v>1256</v>
      </c>
      <c r="W276" s="7" t="s">
        <v>1256</v>
      </c>
      <c r="X276" s="102" t="s">
        <v>1261</v>
      </c>
      <c r="Y276" s="102" t="s">
        <v>1268</v>
      </c>
      <c r="Z276" s="102" t="s">
        <v>1268</v>
      </c>
      <c r="AA276" s="102" t="s">
        <v>1275</v>
      </c>
      <c r="AB276" s="102" t="s">
        <v>1285</v>
      </c>
      <c r="AC276" s="102" t="s">
        <v>1180</v>
      </c>
      <c r="AD276" s="102" t="s">
        <v>1245</v>
      </c>
      <c r="AE276" s="102" t="s">
        <v>82</v>
      </c>
      <c r="AF276" s="102" t="s">
        <v>1145</v>
      </c>
    </row>
    <row r="277" spans="1:32" ht="75" customHeight="1">
      <c r="A277" s="102" t="s">
        <v>35</v>
      </c>
      <c r="B277" s="102" t="s">
        <v>148</v>
      </c>
      <c r="C277" s="102" t="s">
        <v>149</v>
      </c>
      <c r="D277" s="70">
        <v>15000</v>
      </c>
      <c r="E277" s="102" t="s">
        <v>80</v>
      </c>
      <c r="F277" s="102" t="s">
        <v>253</v>
      </c>
      <c r="G277" s="102" t="s">
        <v>505</v>
      </c>
      <c r="H277" s="102" t="s">
        <v>579</v>
      </c>
      <c r="I277" s="102" t="s">
        <v>504</v>
      </c>
      <c r="J277" s="102" t="s">
        <v>471</v>
      </c>
      <c r="K277" s="103" t="s">
        <v>76</v>
      </c>
      <c r="L277" s="103" t="s">
        <v>1146</v>
      </c>
      <c r="M277" s="103" t="s">
        <v>472</v>
      </c>
      <c r="N277" s="103" t="s">
        <v>589</v>
      </c>
      <c r="O277" s="103" t="s">
        <v>259</v>
      </c>
      <c r="P277" s="103" t="s">
        <v>470</v>
      </c>
      <c r="Q277" s="102" t="s">
        <v>48</v>
      </c>
      <c r="R277" s="102" t="s">
        <v>48</v>
      </c>
      <c r="S277" s="102" t="s">
        <v>48</v>
      </c>
      <c r="T277" s="102" t="s">
        <v>48</v>
      </c>
      <c r="U277" s="102" t="s">
        <v>48</v>
      </c>
      <c r="V277" s="7" t="s">
        <v>1260</v>
      </c>
      <c r="W277" s="7" t="s">
        <v>1260</v>
      </c>
      <c r="X277" s="102" t="s">
        <v>1261</v>
      </c>
      <c r="Y277" s="102" t="s">
        <v>1268</v>
      </c>
      <c r="Z277" s="102" t="s">
        <v>1268</v>
      </c>
      <c r="AA277" s="102" t="s">
        <v>1275</v>
      </c>
      <c r="AB277" s="102" t="s">
        <v>1285</v>
      </c>
      <c r="AC277" s="102" t="s">
        <v>1180</v>
      </c>
      <c r="AD277" s="102" t="s">
        <v>1245</v>
      </c>
      <c r="AE277" s="102" t="s">
        <v>82</v>
      </c>
      <c r="AF277" s="102" t="s">
        <v>1147</v>
      </c>
    </row>
    <row r="278" spans="1:32" ht="75" customHeight="1">
      <c r="A278" s="102" t="s">
        <v>35</v>
      </c>
      <c r="B278" s="102" t="s">
        <v>148</v>
      </c>
      <c r="C278" s="102" t="s">
        <v>150</v>
      </c>
      <c r="D278" s="70">
        <v>15000</v>
      </c>
      <c r="E278" s="102" t="s">
        <v>48</v>
      </c>
      <c r="F278" s="102" t="s">
        <v>48</v>
      </c>
      <c r="G278" s="102" t="s">
        <v>48</v>
      </c>
      <c r="H278" s="102" t="s">
        <v>48</v>
      </c>
      <c r="I278" s="102" t="s">
        <v>48</v>
      </c>
      <c r="J278" s="102" t="s">
        <v>48</v>
      </c>
      <c r="K278" s="103" t="s">
        <v>48</v>
      </c>
      <c r="L278" s="103" t="s">
        <v>48</v>
      </c>
      <c r="M278" s="103" t="s">
        <v>48</v>
      </c>
      <c r="N278" s="103" t="s">
        <v>48</v>
      </c>
      <c r="O278" s="103" t="s">
        <v>48</v>
      </c>
      <c r="P278" s="103" t="s">
        <v>48</v>
      </c>
      <c r="Q278" s="102" t="s">
        <v>48</v>
      </c>
      <c r="R278" s="102" t="s">
        <v>48</v>
      </c>
      <c r="S278" s="102" t="s">
        <v>48</v>
      </c>
      <c r="T278" s="102" t="s">
        <v>48</v>
      </c>
      <c r="U278" s="102" t="s">
        <v>48</v>
      </c>
      <c r="V278" s="7" t="s">
        <v>1256</v>
      </c>
      <c r="W278" s="7" t="s">
        <v>1256</v>
      </c>
      <c r="X278" s="102" t="s">
        <v>1262</v>
      </c>
      <c r="Y278" s="102" t="s">
        <v>1267</v>
      </c>
      <c r="Z278" s="102" t="s">
        <v>1267</v>
      </c>
      <c r="AA278" s="102" t="s">
        <v>1284</v>
      </c>
      <c r="AB278" s="102" t="s">
        <v>1286</v>
      </c>
      <c r="AC278" s="102" t="s">
        <v>1120</v>
      </c>
      <c r="AD278" s="102" t="s">
        <v>1244</v>
      </c>
      <c r="AE278" s="102" t="s">
        <v>82</v>
      </c>
      <c r="AF278" s="102" t="s">
        <v>1148</v>
      </c>
    </row>
    <row r="279" spans="1:32" ht="75" hidden="1" customHeight="1">
      <c r="A279" s="102" t="s">
        <v>35</v>
      </c>
      <c r="B279" s="102" t="s">
        <v>151</v>
      </c>
      <c r="C279" s="102" t="s">
        <v>474</v>
      </c>
      <c r="D279" s="70">
        <v>15000</v>
      </c>
      <c r="E279" s="102" t="s">
        <v>48</v>
      </c>
      <c r="F279" s="102" t="s">
        <v>48</v>
      </c>
      <c r="G279" s="102" t="s">
        <v>48</v>
      </c>
      <c r="H279" s="102" t="s">
        <v>48</v>
      </c>
      <c r="I279" s="102" t="s">
        <v>48</v>
      </c>
      <c r="J279" s="102" t="s">
        <v>48</v>
      </c>
      <c r="K279" s="103" t="s">
        <v>80</v>
      </c>
      <c r="L279" s="103" t="s">
        <v>1149</v>
      </c>
      <c r="M279" s="103" t="s">
        <v>48</v>
      </c>
      <c r="N279" s="103" t="s">
        <v>48</v>
      </c>
      <c r="O279" s="103" t="s">
        <v>48</v>
      </c>
      <c r="P279" s="103" t="s">
        <v>48</v>
      </c>
      <c r="Q279" s="102" t="s">
        <v>48</v>
      </c>
      <c r="R279" s="102" t="s">
        <v>48</v>
      </c>
      <c r="S279" s="102" t="s">
        <v>48</v>
      </c>
      <c r="T279" s="102" t="s">
        <v>48</v>
      </c>
      <c r="U279" s="102" t="s">
        <v>48</v>
      </c>
      <c r="V279" s="7" t="s">
        <v>1290</v>
      </c>
      <c r="W279" s="7" t="s">
        <v>1290</v>
      </c>
      <c r="X279" s="102" t="s">
        <v>1291</v>
      </c>
      <c r="Y279" s="102" t="s">
        <v>1297</v>
      </c>
      <c r="Z279" s="102" t="s">
        <v>1297</v>
      </c>
      <c r="AA279" s="102" t="s">
        <v>1279</v>
      </c>
      <c r="AB279" s="102" t="s">
        <v>1305</v>
      </c>
      <c r="AC279" s="102" t="s">
        <v>1218</v>
      </c>
      <c r="AD279" s="102" t="s">
        <v>1245</v>
      </c>
      <c r="AE279" s="102" t="s">
        <v>82</v>
      </c>
      <c r="AF279" s="102"/>
    </row>
    <row r="280" spans="1:32" ht="75" hidden="1" customHeight="1">
      <c r="A280" s="102" t="s">
        <v>35</v>
      </c>
      <c r="B280" s="102" t="s">
        <v>151</v>
      </c>
      <c r="C280" s="102" t="s">
        <v>1121</v>
      </c>
      <c r="D280" s="70">
        <v>15000</v>
      </c>
      <c r="E280" s="102" t="s">
        <v>48</v>
      </c>
      <c r="F280" s="102" t="s">
        <v>48</v>
      </c>
      <c r="G280" s="102" t="s">
        <v>48</v>
      </c>
      <c r="H280" s="102" t="s">
        <v>48</v>
      </c>
      <c r="I280" s="102" t="s">
        <v>48</v>
      </c>
      <c r="J280" s="102" t="s">
        <v>48</v>
      </c>
      <c r="K280" s="103" t="s">
        <v>80</v>
      </c>
      <c r="L280" s="103" t="s">
        <v>1150</v>
      </c>
      <c r="M280" s="103" t="s">
        <v>48</v>
      </c>
      <c r="N280" s="103" t="s">
        <v>48</v>
      </c>
      <c r="O280" s="103" t="s">
        <v>48</v>
      </c>
      <c r="P280" s="103" t="s">
        <v>48</v>
      </c>
      <c r="Q280" s="102" t="s">
        <v>48</v>
      </c>
      <c r="R280" s="102" t="s">
        <v>48</v>
      </c>
      <c r="S280" s="102" t="s">
        <v>48</v>
      </c>
      <c r="T280" s="102" t="s">
        <v>48</v>
      </c>
      <c r="U280" s="102" t="s">
        <v>48</v>
      </c>
      <c r="V280" s="7" t="s">
        <v>1249</v>
      </c>
      <c r="W280" s="7" t="s">
        <v>1249</v>
      </c>
      <c r="X280" s="102" t="s">
        <v>1292</v>
      </c>
      <c r="Y280" s="102" t="s">
        <v>1297</v>
      </c>
      <c r="Z280" s="102" t="s">
        <v>1297</v>
      </c>
      <c r="AA280" s="102" t="s">
        <v>1279</v>
      </c>
      <c r="AB280" s="102" t="s">
        <v>1305</v>
      </c>
      <c r="AC280" s="102" t="s">
        <v>1218</v>
      </c>
      <c r="AD280" s="102" t="s">
        <v>1245</v>
      </c>
      <c r="AE280" s="102" t="s">
        <v>82</v>
      </c>
      <c r="AF280" s="102"/>
    </row>
    <row r="281" spans="1:32" ht="75" hidden="1" customHeight="1">
      <c r="A281" s="102" t="s">
        <v>35</v>
      </c>
      <c r="B281" s="102" t="s">
        <v>151</v>
      </c>
      <c r="C281" s="102" t="s">
        <v>1122</v>
      </c>
      <c r="D281" s="70">
        <v>15000</v>
      </c>
      <c r="E281" s="102" t="s">
        <v>48</v>
      </c>
      <c r="F281" s="102" t="s">
        <v>48</v>
      </c>
      <c r="G281" s="102" t="s">
        <v>48</v>
      </c>
      <c r="H281" s="102" t="s">
        <v>48</v>
      </c>
      <c r="I281" s="102" t="s">
        <v>48</v>
      </c>
      <c r="J281" s="102" t="s">
        <v>48</v>
      </c>
      <c r="K281" s="103" t="s">
        <v>48</v>
      </c>
      <c r="L281" s="103" t="s">
        <v>48</v>
      </c>
      <c r="M281" s="103" t="s">
        <v>48</v>
      </c>
      <c r="N281" s="103" t="s">
        <v>48</v>
      </c>
      <c r="O281" s="103" t="s">
        <v>48</v>
      </c>
      <c r="P281" s="103" t="s">
        <v>48</v>
      </c>
      <c r="Q281" s="102" t="s">
        <v>48</v>
      </c>
      <c r="R281" s="102" t="s">
        <v>48</v>
      </c>
      <c r="S281" s="102" t="s">
        <v>48</v>
      </c>
      <c r="T281" s="102" t="s">
        <v>48</v>
      </c>
      <c r="U281" s="102" t="s">
        <v>48</v>
      </c>
      <c r="V281" s="7" t="s">
        <v>1250</v>
      </c>
      <c r="W281" s="7" t="s">
        <v>1250</v>
      </c>
      <c r="X281" s="102" t="s">
        <v>1293</v>
      </c>
      <c r="Y281" s="102" t="s">
        <v>1298</v>
      </c>
      <c r="Z281" s="102" t="s">
        <v>1298</v>
      </c>
      <c r="AA281" s="102" t="s">
        <v>1280</v>
      </c>
      <c r="AB281" s="102" t="s">
        <v>1306</v>
      </c>
      <c r="AC281" s="102" t="s">
        <v>1251</v>
      </c>
      <c r="AD281" s="102" t="s">
        <v>1245</v>
      </c>
      <c r="AE281" s="102" t="s">
        <v>82</v>
      </c>
      <c r="AF281" s="102"/>
    </row>
    <row r="282" spans="1:32" ht="75" hidden="1" customHeight="1">
      <c r="A282" s="102" t="s">
        <v>35</v>
      </c>
      <c r="B282" s="102" t="s">
        <v>151</v>
      </c>
      <c r="C282" s="102" t="s">
        <v>155</v>
      </c>
      <c r="D282" s="70">
        <v>15000</v>
      </c>
      <c r="E282" s="102" t="s">
        <v>48</v>
      </c>
      <c r="F282" s="102" t="s">
        <v>48</v>
      </c>
      <c r="G282" s="102" t="s">
        <v>48</v>
      </c>
      <c r="H282" s="102" t="s">
        <v>48</v>
      </c>
      <c r="I282" s="102" t="s">
        <v>48</v>
      </c>
      <c r="J282" s="102" t="s">
        <v>48</v>
      </c>
      <c r="K282" s="103" t="s">
        <v>80</v>
      </c>
      <c r="L282" s="103" t="s">
        <v>515</v>
      </c>
      <c r="M282" s="103" t="s">
        <v>1151</v>
      </c>
      <c r="N282" s="103" t="s">
        <v>589</v>
      </c>
      <c r="O282" s="103" t="s">
        <v>259</v>
      </c>
      <c r="P282" s="103" t="s">
        <v>470</v>
      </c>
      <c r="Q282" s="102" t="s">
        <v>48</v>
      </c>
      <c r="R282" s="102" t="s">
        <v>48</v>
      </c>
      <c r="S282" s="102" t="s">
        <v>48</v>
      </c>
      <c r="T282" s="102" t="s">
        <v>48</v>
      </c>
      <c r="U282" s="102" t="s">
        <v>48</v>
      </c>
      <c r="V282" s="7" t="s">
        <v>1249</v>
      </c>
      <c r="W282" s="7" t="s">
        <v>1249</v>
      </c>
      <c r="X282" s="102" t="s">
        <v>1292</v>
      </c>
      <c r="Y282" s="102" t="s">
        <v>1297</v>
      </c>
      <c r="Z282" s="102" t="s">
        <v>1297</v>
      </c>
      <c r="AA282" s="102" t="s">
        <v>1281</v>
      </c>
      <c r="AB282" s="102" t="s">
        <v>1305</v>
      </c>
      <c r="AC282" s="102" t="s">
        <v>1218</v>
      </c>
      <c r="AD282" s="102" t="s">
        <v>1245</v>
      </c>
      <c r="AE282" s="102" t="s">
        <v>82</v>
      </c>
      <c r="AF282" s="102"/>
    </row>
    <row r="283" spans="1:32" ht="75" hidden="1" customHeight="1">
      <c r="A283" s="102" t="s">
        <v>35</v>
      </c>
      <c r="B283" s="102" t="s">
        <v>151</v>
      </c>
      <c r="C283" s="102" t="s">
        <v>536</v>
      </c>
      <c r="D283" s="70">
        <v>15000</v>
      </c>
      <c r="E283" s="102" t="s">
        <v>48</v>
      </c>
      <c r="F283" s="102" t="s">
        <v>48</v>
      </c>
      <c r="G283" s="102" t="s">
        <v>48</v>
      </c>
      <c r="H283" s="102" t="s">
        <v>48</v>
      </c>
      <c r="I283" s="102" t="s">
        <v>48</v>
      </c>
      <c r="J283" s="102" t="s">
        <v>48</v>
      </c>
      <c r="K283" s="103" t="s">
        <v>48</v>
      </c>
      <c r="L283" s="103" t="s">
        <v>48</v>
      </c>
      <c r="M283" s="103" t="s">
        <v>1152</v>
      </c>
      <c r="N283" s="103" t="s">
        <v>48</v>
      </c>
      <c r="O283" s="103" t="s">
        <v>260</v>
      </c>
      <c r="P283" s="103" t="s">
        <v>516</v>
      </c>
      <c r="Q283" s="102" t="s">
        <v>48</v>
      </c>
      <c r="R283" s="102" t="s">
        <v>48</v>
      </c>
      <c r="S283" s="102" t="s">
        <v>48</v>
      </c>
      <c r="T283" s="102" t="s">
        <v>48</v>
      </c>
      <c r="U283" s="102" t="s">
        <v>48</v>
      </c>
      <c r="V283" s="7" t="s">
        <v>1252</v>
      </c>
      <c r="W283" s="7" t="s">
        <v>1252</v>
      </c>
      <c r="X283" s="102" t="s">
        <v>1294</v>
      </c>
      <c r="Y283" s="102" t="s">
        <v>1299</v>
      </c>
      <c r="Z283" s="102" t="s">
        <v>1299</v>
      </c>
      <c r="AA283" s="102" t="s">
        <v>1282</v>
      </c>
      <c r="AB283" s="102" t="s">
        <v>1307</v>
      </c>
      <c r="AC283" s="102" t="s">
        <v>1218</v>
      </c>
      <c r="AD283" s="102" t="s">
        <v>1245</v>
      </c>
      <c r="AE283" s="102" t="s">
        <v>82</v>
      </c>
      <c r="AF283" s="102" t="s">
        <v>1153</v>
      </c>
    </row>
    <row r="284" spans="1:32" ht="75" hidden="1" customHeight="1">
      <c r="A284" s="102" t="s">
        <v>35</v>
      </c>
      <c r="B284" s="102" t="s">
        <v>151</v>
      </c>
      <c r="C284" s="102" t="s">
        <v>537</v>
      </c>
      <c r="D284" s="70">
        <v>15000</v>
      </c>
      <c r="E284" s="102" t="s">
        <v>48</v>
      </c>
      <c r="F284" s="102" t="s">
        <v>48</v>
      </c>
      <c r="G284" s="102" t="s">
        <v>48</v>
      </c>
      <c r="H284" s="102" t="s">
        <v>48</v>
      </c>
      <c r="I284" s="102" t="s">
        <v>48</v>
      </c>
      <c r="J284" s="102" t="s">
        <v>48</v>
      </c>
      <c r="K284" s="103" t="s">
        <v>48</v>
      </c>
      <c r="L284" s="103" t="s">
        <v>48</v>
      </c>
      <c r="M284" s="103" t="s">
        <v>1152</v>
      </c>
      <c r="N284" s="103" t="s">
        <v>48</v>
      </c>
      <c r="O284" s="103" t="s">
        <v>260</v>
      </c>
      <c r="P284" s="103" t="s">
        <v>516</v>
      </c>
      <c r="Q284" s="102" t="s">
        <v>48</v>
      </c>
      <c r="R284" s="102" t="s">
        <v>48</v>
      </c>
      <c r="S284" s="102" t="s">
        <v>48</v>
      </c>
      <c r="T284" s="102" t="s">
        <v>48</v>
      </c>
      <c r="U284" s="102" t="s">
        <v>48</v>
      </c>
      <c r="V284" s="7" t="s">
        <v>1253</v>
      </c>
      <c r="W284" s="7" t="s">
        <v>1253</v>
      </c>
      <c r="X284" s="102" t="s">
        <v>1294</v>
      </c>
      <c r="Y284" s="102" t="s">
        <v>1299</v>
      </c>
      <c r="Z284" s="102" t="s">
        <v>1299</v>
      </c>
      <c r="AA284" s="102" t="s">
        <v>1282</v>
      </c>
      <c r="AB284" s="102" t="s">
        <v>1307</v>
      </c>
      <c r="AC284" s="102" t="s">
        <v>1218</v>
      </c>
      <c r="AD284" s="102" t="s">
        <v>1245</v>
      </c>
      <c r="AE284" s="102" t="s">
        <v>82</v>
      </c>
      <c r="AF284" s="102" t="s">
        <v>1153</v>
      </c>
    </row>
    <row r="285" spans="1:32" ht="75" hidden="1" customHeight="1">
      <c r="A285" s="102" t="s">
        <v>35</v>
      </c>
      <c r="B285" s="102" t="s">
        <v>151</v>
      </c>
      <c r="C285" s="102" t="s">
        <v>1123</v>
      </c>
      <c r="D285" s="70">
        <v>15000</v>
      </c>
      <c r="E285" s="102" t="s">
        <v>48</v>
      </c>
      <c r="F285" s="102" t="s">
        <v>48</v>
      </c>
      <c r="G285" s="102" t="s">
        <v>48</v>
      </c>
      <c r="H285" s="102" t="s">
        <v>48</v>
      </c>
      <c r="I285" s="102" t="s">
        <v>48</v>
      </c>
      <c r="J285" s="102" t="s">
        <v>48</v>
      </c>
      <c r="K285" s="103" t="s">
        <v>48</v>
      </c>
      <c r="L285" s="103" t="s">
        <v>48</v>
      </c>
      <c r="M285" s="103" t="s">
        <v>1154</v>
      </c>
      <c r="N285" s="103" t="s">
        <v>48</v>
      </c>
      <c r="O285" s="103" t="s">
        <v>261</v>
      </c>
      <c r="P285" s="103" t="s">
        <v>517</v>
      </c>
      <c r="Q285" s="102" t="s">
        <v>48</v>
      </c>
      <c r="R285" s="102" t="s">
        <v>48</v>
      </c>
      <c r="S285" s="102" t="s">
        <v>48</v>
      </c>
      <c r="T285" s="102" t="s">
        <v>48</v>
      </c>
      <c r="U285" s="102" t="s">
        <v>48</v>
      </c>
      <c r="V285" s="7" t="s">
        <v>1249</v>
      </c>
      <c r="W285" s="7" t="s">
        <v>1249</v>
      </c>
      <c r="X285" s="102" t="s">
        <v>1295</v>
      </c>
      <c r="Y285" s="102" t="s">
        <v>1297</v>
      </c>
      <c r="Z285" s="102" t="s">
        <v>1297</v>
      </c>
      <c r="AA285" s="102" t="s">
        <v>1283</v>
      </c>
      <c r="AB285" s="102" t="s">
        <v>1305</v>
      </c>
      <c r="AC285" s="102" t="s">
        <v>1218</v>
      </c>
      <c r="AD285" s="102" t="s">
        <v>1245</v>
      </c>
      <c r="AE285" s="102" t="s">
        <v>82</v>
      </c>
      <c r="AF285" s="102"/>
    </row>
    <row r="286" spans="1:32" ht="75" hidden="1" customHeight="1">
      <c r="A286" s="102" t="s">
        <v>35</v>
      </c>
      <c r="B286" s="102" t="s">
        <v>158</v>
      </c>
      <c r="C286" s="102" t="s">
        <v>723</v>
      </c>
      <c r="D286" s="70">
        <v>15000</v>
      </c>
      <c r="E286" s="102" t="s">
        <v>48</v>
      </c>
      <c r="F286" s="102" t="s">
        <v>48</v>
      </c>
      <c r="G286" s="102" t="s">
        <v>48</v>
      </c>
      <c r="H286" s="102" t="s">
        <v>48</v>
      </c>
      <c r="I286" s="102" t="s">
        <v>48</v>
      </c>
      <c r="J286" s="102" t="s">
        <v>48</v>
      </c>
      <c r="K286" s="103" t="s">
        <v>80</v>
      </c>
      <c r="L286" s="103" t="s">
        <v>1155</v>
      </c>
      <c r="M286" s="103" t="s">
        <v>48</v>
      </c>
      <c r="N286" s="103" t="s">
        <v>48</v>
      </c>
      <c r="O286" s="103" t="s">
        <v>48</v>
      </c>
      <c r="P286" s="103" t="s">
        <v>48</v>
      </c>
      <c r="Q286" s="102" t="s">
        <v>48</v>
      </c>
      <c r="R286" s="102" t="s">
        <v>48</v>
      </c>
      <c r="S286" s="102" t="s">
        <v>48</v>
      </c>
      <c r="T286" s="102" t="s">
        <v>48</v>
      </c>
      <c r="U286" s="102" t="s">
        <v>48</v>
      </c>
      <c r="V286" s="7" t="s">
        <v>1249</v>
      </c>
      <c r="W286" s="7" t="s">
        <v>1249</v>
      </c>
      <c r="X286" s="102" t="s">
        <v>1296</v>
      </c>
      <c r="Y286" s="102" t="s">
        <v>1297</v>
      </c>
      <c r="Z286" s="102" t="s">
        <v>1297</v>
      </c>
      <c r="AA286" s="102" t="s">
        <v>1283</v>
      </c>
      <c r="AB286" s="102" t="s">
        <v>1305</v>
      </c>
      <c r="AC286" s="102" t="s">
        <v>1218</v>
      </c>
      <c r="AD286" s="102" t="s">
        <v>1245</v>
      </c>
      <c r="AE286" s="102" t="s">
        <v>82</v>
      </c>
      <c r="AF286" s="102" t="s">
        <v>1156</v>
      </c>
    </row>
    <row r="287" spans="1:32" ht="75" hidden="1" customHeight="1">
      <c r="A287" s="102" t="s">
        <v>35</v>
      </c>
      <c r="B287" s="102" t="s">
        <v>158</v>
      </c>
      <c r="C287" s="102" t="s">
        <v>1124</v>
      </c>
      <c r="D287" s="70">
        <v>15000</v>
      </c>
      <c r="E287" s="102" t="s">
        <v>48</v>
      </c>
      <c r="F287" s="102" t="s">
        <v>48</v>
      </c>
      <c r="G287" s="102" t="s">
        <v>48</v>
      </c>
      <c r="H287" s="102" t="s">
        <v>48</v>
      </c>
      <c r="I287" s="102" t="s">
        <v>48</v>
      </c>
      <c r="J287" s="102" t="s">
        <v>48</v>
      </c>
      <c r="K287" s="103" t="s">
        <v>48</v>
      </c>
      <c r="L287" s="103" t="s">
        <v>48</v>
      </c>
      <c r="M287" s="103" t="s">
        <v>1157</v>
      </c>
      <c r="N287" s="103" t="s">
        <v>48</v>
      </c>
      <c r="O287" s="103" t="s">
        <v>262</v>
      </c>
      <c r="P287" s="103" t="s">
        <v>518</v>
      </c>
      <c r="Q287" s="102" t="s">
        <v>48</v>
      </c>
      <c r="R287" s="102" t="s">
        <v>48</v>
      </c>
      <c r="S287" s="102" t="s">
        <v>48</v>
      </c>
      <c r="T287" s="102" t="s">
        <v>48</v>
      </c>
      <c r="U287" s="102" t="s">
        <v>48</v>
      </c>
      <c r="V287" s="7" t="s">
        <v>1249</v>
      </c>
      <c r="W287" s="7" t="s">
        <v>1249</v>
      </c>
      <c r="X287" s="102" t="s">
        <v>1295</v>
      </c>
      <c r="Y287" s="102" t="s">
        <v>1297</v>
      </c>
      <c r="Z287" s="102" t="s">
        <v>1297</v>
      </c>
      <c r="AA287" s="102" t="s">
        <v>1283</v>
      </c>
      <c r="AB287" s="102" t="s">
        <v>1305</v>
      </c>
      <c r="AC287" s="102" t="s">
        <v>1218</v>
      </c>
      <c r="AD287" s="102" t="s">
        <v>1245</v>
      </c>
      <c r="AE287" s="102" t="s">
        <v>82</v>
      </c>
      <c r="AF287" s="102"/>
    </row>
    <row r="288" spans="1:32" ht="75" hidden="1" customHeight="1">
      <c r="A288" s="102" t="s">
        <v>35</v>
      </c>
      <c r="B288" s="102" t="s">
        <v>158</v>
      </c>
      <c r="C288" s="102" t="s">
        <v>535</v>
      </c>
      <c r="D288" s="70">
        <v>15000</v>
      </c>
      <c r="E288" s="102" t="s">
        <v>48</v>
      </c>
      <c r="F288" s="102" t="s">
        <v>48</v>
      </c>
      <c r="G288" s="102" t="s">
        <v>48</v>
      </c>
      <c r="H288" s="102" t="s">
        <v>48</v>
      </c>
      <c r="I288" s="102" t="s">
        <v>48</v>
      </c>
      <c r="J288" s="102" t="s">
        <v>48</v>
      </c>
      <c r="K288" s="103" t="s">
        <v>48</v>
      </c>
      <c r="L288" s="103" t="s">
        <v>48</v>
      </c>
      <c r="M288" s="103" t="s">
        <v>48</v>
      </c>
      <c r="N288" s="103" t="s">
        <v>48</v>
      </c>
      <c r="O288" s="103" t="s">
        <v>48</v>
      </c>
      <c r="P288" s="103" t="s">
        <v>48</v>
      </c>
      <c r="Q288" s="102" t="s">
        <v>48</v>
      </c>
      <c r="R288" s="102" t="s">
        <v>48</v>
      </c>
      <c r="S288" s="102" t="s">
        <v>48</v>
      </c>
      <c r="T288" s="102" t="s">
        <v>48</v>
      </c>
      <c r="U288" s="102" t="s">
        <v>48</v>
      </c>
      <c r="V288" s="7" t="s">
        <v>1249</v>
      </c>
      <c r="W288" s="7" t="s">
        <v>1249</v>
      </c>
      <c r="X288" s="102" t="s">
        <v>1295</v>
      </c>
      <c r="Y288" s="102" t="s">
        <v>1297</v>
      </c>
      <c r="Z288" s="102" t="s">
        <v>1297</v>
      </c>
      <c r="AA288" s="102" t="s">
        <v>1283</v>
      </c>
      <c r="AB288" s="102" t="s">
        <v>1305</v>
      </c>
      <c r="AC288" s="102" t="s">
        <v>1218</v>
      </c>
      <c r="AD288" s="102" t="s">
        <v>1245</v>
      </c>
      <c r="AE288" s="102" t="s">
        <v>82</v>
      </c>
      <c r="AF288" s="102"/>
    </row>
    <row r="289" spans="1:32" ht="75" customHeight="1">
      <c r="A289" s="102" t="s">
        <v>35</v>
      </c>
      <c r="B289" s="102" t="s">
        <v>148</v>
      </c>
      <c r="C289" s="102" t="s">
        <v>538</v>
      </c>
      <c r="D289" s="70">
        <v>15000</v>
      </c>
      <c r="E289" s="102" t="s">
        <v>48</v>
      </c>
      <c r="F289" s="102" t="s">
        <v>48</v>
      </c>
      <c r="G289" s="102" t="s">
        <v>48</v>
      </c>
      <c r="H289" s="102" t="s">
        <v>48</v>
      </c>
      <c r="I289" s="102" t="s">
        <v>48</v>
      </c>
      <c r="J289" s="102" t="s">
        <v>48</v>
      </c>
      <c r="K289" s="103" t="s">
        <v>48</v>
      </c>
      <c r="L289" s="103" t="s">
        <v>48</v>
      </c>
      <c r="M289" s="103" t="s">
        <v>48</v>
      </c>
      <c r="N289" s="103" t="s">
        <v>48</v>
      </c>
      <c r="O289" s="103" t="s">
        <v>48</v>
      </c>
      <c r="P289" s="103" t="s">
        <v>48</v>
      </c>
      <c r="Q289" s="102" t="s">
        <v>48</v>
      </c>
      <c r="R289" s="102" t="s">
        <v>48</v>
      </c>
      <c r="S289" s="102" t="s">
        <v>48</v>
      </c>
      <c r="T289" s="102" t="s">
        <v>48</v>
      </c>
      <c r="U289" s="102" t="s">
        <v>48</v>
      </c>
      <c r="V289" s="7" t="s">
        <v>1256</v>
      </c>
      <c r="W289" s="7" t="s">
        <v>1256</v>
      </c>
      <c r="X289" s="102" t="s">
        <v>1261</v>
      </c>
      <c r="Y289" s="102" t="s">
        <v>1273</v>
      </c>
      <c r="Z289" s="102" t="s">
        <v>1273</v>
      </c>
      <c r="AA289" s="102" t="s">
        <v>1275</v>
      </c>
      <c r="AB289" s="102" t="s">
        <v>1285</v>
      </c>
      <c r="AC289" s="102" t="s">
        <v>1180</v>
      </c>
      <c r="AD289" s="102" t="s">
        <v>1245</v>
      </c>
      <c r="AE289" s="102" t="s">
        <v>82</v>
      </c>
      <c r="AF289" s="102"/>
    </row>
    <row r="290" spans="1:32" ht="75" hidden="1" customHeight="1">
      <c r="A290" s="102" t="s">
        <v>35</v>
      </c>
      <c r="B290" s="102" t="s">
        <v>1170</v>
      </c>
      <c r="C290" s="102" t="s">
        <v>1126</v>
      </c>
      <c r="D290" s="70">
        <v>15000</v>
      </c>
      <c r="E290" s="102" t="s">
        <v>48</v>
      </c>
      <c r="F290" s="102" t="s">
        <v>48</v>
      </c>
      <c r="G290" s="102" t="s">
        <v>48</v>
      </c>
      <c r="H290" s="102" t="s">
        <v>48</v>
      </c>
      <c r="I290" s="102" t="s">
        <v>48</v>
      </c>
      <c r="J290" s="102" t="s">
        <v>48</v>
      </c>
      <c r="K290" s="103" t="s">
        <v>48</v>
      </c>
      <c r="L290" s="103" t="s">
        <v>48</v>
      </c>
      <c r="M290" s="103" t="s">
        <v>48</v>
      </c>
      <c r="N290" s="103" t="s">
        <v>48</v>
      </c>
      <c r="O290" s="103" t="s">
        <v>48</v>
      </c>
      <c r="P290" s="103" t="s">
        <v>48</v>
      </c>
      <c r="Q290" s="102" t="s">
        <v>48</v>
      </c>
      <c r="R290" s="102" t="s">
        <v>48</v>
      </c>
      <c r="S290" s="102" t="s">
        <v>48</v>
      </c>
      <c r="T290" s="102" t="s">
        <v>48</v>
      </c>
      <c r="U290" s="102" t="s">
        <v>48</v>
      </c>
      <c r="V290" s="7" t="s">
        <v>1348</v>
      </c>
      <c r="W290" s="7" t="s">
        <v>1348</v>
      </c>
      <c r="X290" s="102" t="s">
        <v>1350</v>
      </c>
      <c r="Y290" s="102" t="s">
        <v>1351</v>
      </c>
      <c r="Z290" s="102" t="s">
        <v>1351</v>
      </c>
      <c r="AA290" s="102" t="s">
        <v>1352</v>
      </c>
      <c r="AB290" s="102" t="s">
        <v>1353</v>
      </c>
      <c r="AC290" s="102" t="s">
        <v>1219</v>
      </c>
      <c r="AD290" s="102" t="s">
        <v>1245</v>
      </c>
      <c r="AE290" s="102" t="s">
        <v>82</v>
      </c>
      <c r="AF290" s="102"/>
    </row>
    <row r="291" spans="1:32" ht="75" hidden="1" customHeight="1">
      <c r="A291" s="102" t="s">
        <v>35</v>
      </c>
      <c r="B291" s="102" t="s">
        <v>1170</v>
      </c>
      <c r="C291" s="102" t="s">
        <v>1127</v>
      </c>
      <c r="D291" s="70">
        <v>15000</v>
      </c>
      <c r="E291" s="102" t="s">
        <v>48</v>
      </c>
      <c r="F291" s="102" t="s">
        <v>48</v>
      </c>
      <c r="G291" s="102" t="s">
        <v>48</v>
      </c>
      <c r="H291" s="102" t="s">
        <v>48</v>
      </c>
      <c r="I291" s="102" t="s">
        <v>48</v>
      </c>
      <c r="J291" s="102" t="s">
        <v>48</v>
      </c>
      <c r="K291" s="103" t="s">
        <v>48</v>
      </c>
      <c r="L291" s="103" t="s">
        <v>48</v>
      </c>
      <c r="M291" s="103" t="s">
        <v>48</v>
      </c>
      <c r="N291" s="103" t="s">
        <v>48</v>
      </c>
      <c r="O291" s="103" t="s">
        <v>48</v>
      </c>
      <c r="P291" s="103" t="s">
        <v>48</v>
      </c>
      <c r="Q291" s="102" t="s">
        <v>48</v>
      </c>
      <c r="R291" s="102" t="s">
        <v>48</v>
      </c>
      <c r="S291" s="102" t="s">
        <v>48</v>
      </c>
      <c r="T291" s="102" t="s">
        <v>48</v>
      </c>
      <c r="U291" s="102" t="s">
        <v>48</v>
      </c>
      <c r="V291" s="7" t="s">
        <v>1355</v>
      </c>
      <c r="W291" s="7" t="s">
        <v>1355</v>
      </c>
      <c r="X291" s="102" t="s">
        <v>1356</v>
      </c>
      <c r="Y291" s="102" t="s">
        <v>1271</v>
      </c>
      <c r="Z291" s="102" t="s">
        <v>1271</v>
      </c>
      <c r="AA291" s="102" t="s">
        <v>1357</v>
      </c>
      <c r="AB291" s="102" t="s">
        <v>1358</v>
      </c>
      <c r="AC291" s="102" t="s">
        <v>1359</v>
      </c>
      <c r="AD291" s="109" t="s">
        <v>1374</v>
      </c>
      <c r="AE291" s="109" t="s">
        <v>82</v>
      </c>
      <c r="AF291" s="102"/>
    </row>
    <row r="292" spans="1:32" ht="75" hidden="1" customHeight="1">
      <c r="A292" s="102" t="s">
        <v>35</v>
      </c>
      <c r="B292" s="102" t="s">
        <v>1170</v>
      </c>
      <c r="C292" s="102" t="s">
        <v>1128</v>
      </c>
      <c r="D292" s="70">
        <v>15000</v>
      </c>
      <c r="E292" s="102" t="s">
        <v>48</v>
      </c>
      <c r="F292" s="102" t="s">
        <v>48</v>
      </c>
      <c r="G292" s="102" t="s">
        <v>48</v>
      </c>
      <c r="H292" s="102" t="s">
        <v>48</v>
      </c>
      <c r="I292" s="102" t="s">
        <v>48</v>
      </c>
      <c r="J292" s="102" t="s">
        <v>48</v>
      </c>
      <c r="K292" s="103" t="s">
        <v>48</v>
      </c>
      <c r="L292" s="103" t="s">
        <v>48</v>
      </c>
      <c r="M292" s="103" t="s">
        <v>48</v>
      </c>
      <c r="N292" s="103" t="s">
        <v>48</v>
      </c>
      <c r="O292" s="103" t="s">
        <v>48</v>
      </c>
      <c r="P292" s="103" t="s">
        <v>48</v>
      </c>
      <c r="Q292" s="102" t="s">
        <v>48</v>
      </c>
      <c r="R292" s="102" t="s">
        <v>48</v>
      </c>
      <c r="S292" s="102" t="s">
        <v>48</v>
      </c>
      <c r="T292" s="102" t="s">
        <v>48</v>
      </c>
      <c r="U292" s="102" t="s">
        <v>48</v>
      </c>
      <c r="V292" s="7" t="s">
        <v>1360</v>
      </c>
      <c r="W292" s="7" t="s">
        <v>1360</v>
      </c>
      <c r="X292" s="102" t="s">
        <v>1361</v>
      </c>
      <c r="Y292" s="102" t="s">
        <v>1272</v>
      </c>
      <c r="Z292" s="102" t="s">
        <v>1272</v>
      </c>
      <c r="AA292" s="102" t="s">
        <v>1362</v>
      </c>
      <c r="AB292" s="102" t="s">
        <v>1317</v>
      </c>
      <c r="AC292" s="102" t="s">
        <v>1363</v>
      </c>
      <c r="AD292" s="102" t="s">
        <v>1244</v>
      </c>
      <c r="AE292" s="102" t="s">
        <v>82</v>
      </c>
      <c r="AF292" s="102"/>
    </row>
    <row r="293" spans="1:32" ht="75" hidden="1" customHeight="1">
      <c r="A293" s="102" t="s">
        <v>35</v>
      </c>
      <c r="B293" s="102" t="s">
        <v>449</v>
      </c>
      <c r="C293" s="102" t="s">
        <v>981</v>
      </c>
      <c r="D293" s="70">
        <v>15000</v>
      </c>
      <c r="E293" s="102" t="s">
        <v>48</v>
      </c>
      <c r="F293" s="102" t="s">
        <v>48</v>
      </c>
      <c r="G293" s="102" t="s">
        <v>48</v>
      </c>
      <c r="H293" s="102" t="s">
        <v>48</v>
      </c>
      <c r="I293" s="102" t="s">
        <v>48</v>
      </c>
      <c r="J293" s="102" t="s">
        <v>48</v>
      </c>
      <c r="K293" s="103" t="s">
        <v>48</v>
      </c>
      <c r="L293" s="103" t="s">
        <v>48</v>
      </c>
      <c r="M293" s="103" t="s">
        <v>48</v>
      </c>
      <c r="N293" s="103" t="s">
        <v>48</v>
      </c>
      <c r="O293" s="103" t="s">
        <v>48</v>
      </c>
      <c r="P293" s="103" t="s">
        <v>48</v>
      </c>
      <c r="Q293" s="102" t="s">
        <v>48</v>
      </c>
      <c r="R293" s="102" t="s">
        <v>48</v>
      </c>
      <c r="S293" s="102" t="s">
        <v>48</v>
      </c>
      <c r="T293" s="102" t="s">
        <v>48</v>
      </c>
      <c r="U293" s="102" t="s">
        <v>48</v>
      </c>
      <c r="V293" s="7" t="s">
        <v>1349</v>
      </c>
      <c r="W293" s="7" t="s">
        <v>1349</v>
      </c>
      <c r="X293" s="102" t="s">
        <v>1350</v>
      </c>
      <c r="Y293" s="102" t="s">
        <v>1351</v>
      </c>
      <c r="Z293" s="102" t="s">
        <v>1351</v>
      </c>
      <c r="AA293" s="102" t="s">
        <v>1352</v>
      </c>
      <c r="AB293" s="102" t="s">
        <v>1353</v>
      </c>
      <c r="AC293" s="102" t="s">
        <v>1220</v>
      </c>
      <c r="AD293" s="102" t="s">
        <v>1245</v>
      </c>
      <c r="AE293" s="102" t="s">
        <v>82</v>
      </c>
      <c r="AF293" s="102"/>
    </row>
    <row r="294" spans="1:32" ht="75" hidden="1" customHeight="1">
      <c r="A294" s="102" t="s">
        <v>35</v>
      </c>
      <c r="B294" s="102" t="s">
        <v>449</v>
      </c>
      <c r="C294" s="102" t="s">
        <v>980</v>
      </c>
      <c r="D294" s="70">
        <v>15000</v>
      </c>
      <c r="E294" s="102" t="s">
        <v>48</v>
      </c>
      <c r="F294" s="102" t="s">
        <v>48</v>
      </c>
      <c r="G294" s="102" t="s">
        <v>48</v>
      </c>
      <c r="H294" s="102" t="s">
        <v>48</v>
      </c>
      <c r="I294" s="102" t="s">
        <v>48</v>
      </c>
      <c r="J294" s="102" t="s">
        <v>48</v>
      </c>
      <c r="K294" s="103" t="s">
        <v>48</v>
      </c>
      <c r="L294" s="103" t="s">
        <v>48</v>
      </c>
      <c r="M294" s="103" t="s">
        <v>48</v>
      </c>
      <c r="N294" s="103" t="s">
        <v>48</v>
      </c>
      <c r="O294" s="103" t="s">
        <v>48</v>
      </c>
      <c r="P294" s="103" t="s">
        <v>48</v>
      </c>
      <c r="Q294" s="102" t="s">
        <v>48</v>
      </c>
      <c r="R294" s="102" t="s">
        <v>48</v>
      </c>
      <c r="S294" s="102" t="s">
        <v>48</v>
      </c>
      <c r="T294" s="102" t="s">
        <v>48</v>
      </c>
      <c r="U294" s="102" t="s">
        <v>48</v>
      </c>
      <c r="V294" s="7" t="s">
        <v>1364</v>
      </c>
      <c r="W294" s="7" t="s">
        <v>1364</v>
      </c>
      <c r="X294" s="102" t="s">
        <v>1354</v>
      </c>
      <c r="Y294" s="102" t="s">
        <v>1271</v>
      </c>
      <c r="Z294" s="102" t="s">
        <v>1271</v>
      </c>
      <c r="AA294" s="102" t="s">
        <v>1365</v>
      </c>
      <c r="AB294" s="102" t="s">
        <v>1366</v>
      </c>
      <c r="AC294" s="102" t="s">
        <v>1221</v>
      </c>
      <c r="AD294" s="102" t="s">
        <v>1374</v>
      </c>
      <c r="AE294" s="102" t="s">
        <v>82</v>
      </c>
      <c r="AF294" s="102"/>
    </row>
    <row r="295" spans="1:32" ht="75" hidden="1" customHeight="1">
      <c r="A295" s="102" t="s">
        <v>35</v>
      </c>
      <c r="B295" s="102" t="s">
        <v>449</v>
      </c>
      <c r="C295" s="102" t="s">
        <v>979</v>
      </c>
      <c r="D295" s="70">
        <v>15000</v>
      </c>
      <c r="E295" s="102" t="s">
        <v>48</v>
      </c>
      <c r="F295" s="102" t="s">
        <v>48</v>
      </c>
      <c r="G295" s="102" t="s">
        <v>48</v>
      </c>
      <c r="H295" s="102" t="s">
        <v>48</v>
      </c>
      <c r="I295" s="102" t="s">
        <v>48</v>
      </c>
      <c r="J295" s="102" t="s">
        <v>48</v>
      </c>
      <c r="K295" s="103" t="s">
        <v>48</v>
      </c>
      <c r="L295" s="103" t="s">
        <v>48</v>
      </c>
      <c r="M295" s="103" t="s">
        <v>48</v>
      </c>
      <c r="N295" s="103" t="s">
        <v>48</v>
      </c>
      <c r="O295" s="103" t="s">
        <v>48</v>
      </c>
      <c r="P295" s="103" t="s">
        <v>48</v>
      </c>
      <c r="Q295" s="102" t="s">
        <v>48</v>
      </c>
      <c r="R295" s="102" t="s">
        <v>48</v>
      </c>
      <c r="S295" s="102" t="s">
        <v>48</v>
      </c>
      <c r="T295" s="102" t="s">
        <v>48</v>
      </c>
      <c r="U295" s="102" t="s">
        <v>48</v>
      </c>
      <c r="V295" s="7" t="s">
        <v>1255</v>
      </c>
      <c r="W295" s="7" t="s">
        <v>1255</v>
      </c>
      <c r="X295" s="102" t="s">
        <v>1239</v>
      </c>
      <c r="Y295" s="102" t="s">
        <v>1271</v>
      </c>
      <c r="Z295" s="102" t="s">
        <v>1271</v>
      </c>
      <c r="AA295" s="102" t="s">
        <v>1367</v>
      </c>
      <c r="AB295" s="102" t="s">
        <v>1317</v>
      </c>
      <c r="AC295" s="102" t="s">
        <v>1222</v>
      </c>
      <c r="AD295" s="102" t="s">
        <v>1244</v>
      </c>
      <c r="AE295" s="102" t="s">
        <v>82</v>
      </c>
      <c r="AF295" s="102"/>
    </row>
    <row r="296" spans="1:32" ht="75" hidden="1" customHeight="1">
      <c r="A296" s="102" t="s">
        <v>35</v>
      </c>
      <c r="B296" s="102" t="s">
        <v>946</v>
      </c>
      <c r="C296" s="102" t="s">
        <v>907</v>
      </c>
      <c r="D296" s="70">
        <v>15000</v>
      </c>
      <c r="E296" s="102" t="s">
        <v>48</v>
      </c>
      <c r="F296" s="102" t="s">
        <v>48</v>
      </c>
      <c r="G296" s="102" t="s">
        <v>48</v>
      </c>
      <c r="H296" s="102" t="s">
        <v>48</v>
      </c>
      <c r="I296" s="102" t="s">
        <v>48</v>
      </c>
      <c r="J296" s="102" t="s">
        <v>48</v>
      </c>
      <c r="K296" s="103" t="s">
        <v>48</v>
      </c>
      <c r="L296" s="103" t="s">
        <v>48</v>
      </c>
      <c r="M296" s="103" t="s">
        <v>48</v>
      </c>
      <c r="N296" s="103" t="s">
        <v>48</v>
      </c>
      <c r="O296" s="103" t="s">
        <v>48</v>
      </c>
      <c r="P296" s="103" t="s">
        <v>48</v>
      </c>
      <c r="Q296" s="102" t="s">
        <v>48</v>
      </c>
      <c r="R296" s="102" t="s">
        <v>48</v>
      </c>
      <c r="S296" s="102" t="s">
        <v>48</v>
      </c>
      <c r="T296" s="102" t="s">
        <v>48</v>
      </c>
      <c r="U296" s="102" t="s">
        <v>48</v>
      </c>
      <c r="V296" s="102" t="s">
        <v>907</v>
      </c>
      <c r="W296" s="102" t="s">
        <v>907</v>
      </c>
      <c r="X296" s="102" t="s">
        <v>48</v>
      </c>
      <c r="Y296" s="102" t="s">
        <v>48</v>
      </c>
      <c r="Z296" s="102" t="s">
        <v>48</v>
      </c>
      <c r="AA296" s="102" t="s">
        <v>48</v>
      </c>
      <c r="AB296" s="102" t="s">
        <v>48</v>
      </c>
      <c r="AC296" s="102" t="s">
        <v>1217</v>
      </c>
      <c r="AD296" s="102" t="s">
        <v>48</v>
      </c>
      <c r="AE296" s="102" t="s">
        <v>82</v>
      </c>
      <c r="AF296" s="102"/>
    </row>
    <row r="297" spans="1:32" ht="75" hidden="1" customHeight="1">
      <c r="A297" s="102" t="s">
        <v>1115</v>
      </c>
      <c r="B297" s="102" t="s">
        <v>1158</v>
      </c>
      <c r="C297" s="102" t="s">
        <v>1159</v>
      </c>
      <c r="D297" s="70">
        <v>15000</v>
      </c>
      <c r="E297" s="102" t="s">
        <v>48</v>
      </c>
      <c r="F297" s="102" t="s">
        <v>48</v>
      </c>
      <c r="G297" s="102" t="s">
        <v>48</v>
      </c>
      <c r="H297" s="102" t="s">
        <v>48</v>
      </c>
      <c r="I297" s="102" t="s">
        <v>48</v>
      </c>
      <c r="J297" s="102" t="s">
        <v>48</v>
      </c>
      <c r="K297" s="103" t="s">
        <v>48</v>
      </c>
      <c r="L297" s="103" t="s">
        <v>48</v>
      </c>
      <c r="M297" s="103" t="s">
        <v>48</v>
      </c>
      <c r="N297" s="103" t="s">
        <v>48</v>
      </c>
      <c r="O297" s="103" t="s">
        <v>48</v>
      </c>
      <c r="P297" s="103" t="s">
        <v>48</v>
      </c>
      <c r="Q297" s="102" t="s">
        <v>48</v>
      </c>
      <c r="R297" s="102" t="s">
        <v>48</v>
      </c>
      <c r="S297" s="102" t="s">
        <v>48</v>
      </c>
      <c r="T297" s="102" t="s">
        <v>48</v>
      </c>
      <c r="U297" s="102" t="s">
        <v>48</v>
      </c>
      <c r="V297" s="7" t="s">
        <v>1173</v>
      </c>
      <c r="W297" s="7" t="s">
        <v>1173</v>
      </c>
      <c r="X297" s="102" t="s">
        <v>1174</v>
      </c>
      <c r="Y297" s="102" t="s">
        <v>1175</v>
      </c>
      <c r="Z297" s="102" t="s">
        <v>1175</v>
      </c>
      <c r="AA297" s="102" t="s">
        <v>1176</v>
      </c>
      <c r="AB297" s="102" t="s">
        <v>1177</v>
      </c>
      <c r="AC297" s="102" t="s">
        <v>1223</v>
      </c>
      <c r="AD297" s="102" t="s">
        <v>1245</v>
      </c>
      <c r="AE297" s="102" t="s">
        <v>82</v>
      </c>
      <c r="AF297" s="102"/>
    </row>
    <row r="298" spans="1:32" ht="75" hidden="1" customHeight="1">
      <c r="A298" s="102" t="s">
        <v>1115</v>
      </c>
      <c r="B298" s="102" t="s">
        <v>1160</v>
      </c>
      <c r="C298" s="102" t="s">
        <v>1161</v>
      </c>
      <c r="D298" s="70">
        <v>15000</v>
      </c>
      <c r="E298" s="102" t="s">
        <v>48</v>
      </c>
      <c r="F298" s="102" t="s">
        <v>48</v>
      </c>
      <c r="G298" s="102" t="s">
        <v>48</v>
      </c>
      <c r="H298" s="102" t="s">
        <v>48</v>
      </c>
      <c r="I298" s="102" t="s">
        <v>48</v>
      </c>
      <c r="J298" s="102" t="s">
        <v>48</v>
      </c>
      <c r="K298" s="103" t="s">
        <v>48</v>
      </c>
      <c r="L298" s="103" t="s">
        <v>48</v>
      </c>
      <c r="M298" s="103" t="s">
        <v>48</v>
      </c>
      <c r="N298" s="103" t="s">
        <v>48</v>
      </c>
      <c r="O298" s="103" t="s">
        <v>48</v>
      </c>
      <c r="P298" s="103" t="s">
        <v>48</v>
      </c>
      <c r="Q298" s="102" t="s">
        <v>48</v>
      </c>
      <c r="R298" s="102" t="s">
        <v>48</v>
      </c>
      <c r="S298" s="102" t="s">
        <v>48</v>
      </c>
      <c r="T298" s="102" t="s">
        <v>48</v>
      </c>
      <c r="U298" s="102" t="s">
        <v>48</v>
      </c>
      <c r="V298" s="7" t="s">
        <v>1173</v>
      </c>
      <c r="W298" s="7" t="s">
        <v>1173</v>
      </c>
      <c r="X298" s="102" t="s">
        <v>1174</v>
      </c>
      <c r="Y298" s="102" t="s">
        <v>1175</v>
      </c>
      <c r="Z298" s="102" t="s">
        <v>1175</v>
      </c>
      <c r="AA298" s="102" t="s">
        <v>1176</v>
      </c>
      <c r="AB298" s="102" t="s">
        <v>1177</v>
      </c>
      <c r="AC298" s="102" t="s">
        <v>1223</v>
      </c>
      <c r="AD298" s="102" t="s">
        <v>1245</v>
      </c>
      <c r="AE298" s="102" t="s">
        <v>82</v>
      </c>
      <c r="AF298" s="102"/>
    </row>
    <row r="299" spans="1:32" ht="75" hidden="1" customHeight="1">
      <c r="A299" s="102" t="s">
        <v>1115</v>
      </c>
      <c r="B299" s="102" t="s">
        <v>1162</v>
      </c>
      <c r="C299" s="102" t="s">
        <v>1163</v>
      </c>
      <c r="D299" s="70">
        <v>15000</v>
      </c>
      <c r="E299" s="102" t="s">
        <v>48</v>
      </c>
      <c r="F299" s="102" t="s">
        <v>48</v>
      </c>
      <c r="G299" s="102" t="s">
        <v>48</v>
      </c>
      <c r="H299" s="102" t="s">
        <v>48</v>
      </c>
      <c r="I299" s="102" t="s">
        <v>48</v>
      </c>
      <c r="J299" s="102" t="s">
        <v>48</v>
      </c>
      <c r="K299" s="103" t="s">
        <v>48</v>
      </c>
      <c r="L299" s="103" t="s">
        <v>48</v>
      </c>
      <c r="M299" s="103" t="s">
        <v>48</v>
      </c>
      <c r="N299" s="103" t="s">
        <v>48</v>
      </c>
      <c r="O299" s="103" t="s">
        <v>48</v>
      </c>
      <c r="P299" s="103" t="s">
        <v>48</v>
      </c>
      <c r="Q299" s="102" t="s">
        <v>48</v>
      </c>
      <c r="R299" s="102" t="s">
        <v>48</v>
      </c>
      <c r="S299" s="102" t="s">
        <v>48</v>
      </c>
      <c r="T299" s="102" t="s">
        <v>48</v>
      </c>
      <c r="U299" s="102" t="s">
        <v>48</v>
      </c>
      <c r="V299" s="7" t="s">
        <v>1173</v>
      </c>
      <c r="W299" s="7" t="s">
        <v>1173</v>
      </c>
      <c r="X299" s="102" t="s">
        <v>1174</v>
      </c>
      <c r="Y299" s="102" t="s">
        <v>1175</v>
      </c>
      <c r="Z299" s="102" t="s">
        <v>1175</v>
      </c>
      <c r="AA299" s="102" t="s">
        <v>1176</v>
      </c>
      <c r="AB299" s="102" t="s">
        <v>1177</v>
      </c>
      <c r="AC299" s="102" t="s">
        <v>1223</v>
      </c>
      <c r="AD299" s="102" t="s">
        <v>1245</v>
      </c>
      <c r="AE299" s="102" t="s">
        <v>82</v>
      </c>
      <c r="AF299" s="102"/>
    </row>
    <row r="300" spans="1:32" ht="75" hidden="1" customHeight="1">
      <c r="A300" s="102" t="s">
        <v>1115</v>
      </c>
      <c r="B300" s="102" t="s">
        <v>1164</v>
      </c>
      <c r="C300" s="102" t="s">
        <v>1165</v>
      </c>
      <c r="D300" s="70">
        <v>15000</v>
      </c>
      <c r="E300" s="102" t="s">
        <v>48</v>
      </c>
      <c r="F300" s="102" t="s">
        <v>48</v>
      </c>
      <c r="G300" s="102" t="s">
        <v>48</v>
      </c>
      <c r="H300" s="102" t="s">
        <v>48</v>
      </c>
      <c r="I300" s="102" t="s">
        <v>48</v>
      </c>
      <c r="J300" s="102" t="s">
        <v>48</v>
      </c>
      <c r="K300" s="103" t="s">
        <v>48</v>
      </c>
      <c r="L300" s="103" t="s">
        <v>48</v>
      </c>
      <c r="M300" s="103" t="s">
        <v>48</v>
      </c>
      <c r="N300" s="103" t="s">
        <v>48</v>
      </c>
      <c r="O300" s="103" t="s">
        <v>48</v>
      </c>
      <c r="P300" s="103" t="s">
        <v>48</v>
      </c>
      <c r="Q300" s="102" t="s">
        <v>48</v>
      </c>
      <c r="R300" s="102" t="s">
        <v>48</v>
      </c>
      <c r="S300" s="102" t="s">
        <v>48</v>
      </c>
      <c r="T300" s="102" t="s">
        <v>48</v>
      </c>
      <c r="U300" s="102" t="s">
        <v>48</v>
      </c>
      <c r="V300" s="7" t="s">
        <v>1173</v>
      </c>
      <c r="W300" s="7" t="s">
        <v>1173</v>
      </c>
      <c r="X300" s="102" t="s">
        <v>1174</v>
      </c>
      <c r="Y300" s="102" t="s">
        <v>1175</v>
      </c>
      <c r="Z300" s="102" t="s">
        <v>1175</v>
      </c>
      <c r="AA300" s="102" t="s">
        <v>1176</v>
      </c>
      <c r="AB300" s="102" t="s">
        <v>1177</v>
      </c>
      <c r="AC300" s="102" t="s">
        <v>1223</v>
      </c>
      <c r="AD300" s="102" t="s">
        <v>1245</v>
      </c>
      <c r="AE300" s="102" t="s">
        <v>82</v>
      </c>
      <c r="AF300" s="102"/>
    </row>
    <row r="301" spans="1:32" ht="75" hidden="1" customHeight="1">
      <c r="A301" s="102" t="s">
        <v>1115</v>
      </c>
      <c r="B301" s="102" t="s">
        <v>1166</v>
      </c>
      <c r="C301" s="102" t="s">
        <v>903</v>
      </c>
      <c r="D301" s="70">
        <v>15000</v>
      </c>
      <c r="E301" s="102" t="s">
        <v>80</v>
      </c>
      <c r="F301" s="102" t="s">
        <v>196</v>
      </c>
      <c r="G301" s="102" t="s">
        <v>509</v>
      </c>
      <c r="H301" s="102" t="s">
        <v>583</v>
      </c>
      <c r="I301" s="102" t="s">
        <v>511</v>
      </c>
      <c r="J301" s="102" t="s">
        <v>510</v>
      </c>
      <c r="K301" s="103" t="s">
        <v>48</v>
      </c>
      <c r="L301" s="103" t="s">
        <v>48</v>
      </c>
      <c r="M301" s="103" t="s">
        <v>48</v>
      </c>
      <c r="N301" s="103" t="s">
        <v>48</v>
      </c>
      <c r="O301" s="103" t="s">
        <v>48</v>
      </c>
      <c r="P301" s="103" t="s">
        <v>48</v>
      </c>
      <c r="Q301" s="102" t="s">
        <v>48</v>
      </c>
      <c r="R301" s="102" t="s">
        <v>48</v>
      </c>
      <c r="S301" s="102" t="s">
        <v>48</v>
      </c>
      <c r="T301" s="102" t="s">
        <v>48</v>
      </c>
      <c r="U301" s="102" t="s">
        <v>48</v>
      </c>
      <c r="V301" s="7" t="s">
        <v>1173</v>
      </c>
      <c r="W301" s="7" t="s">
        <v>1173</v>
      </c>
      <c r="X301" s="102" t="s">
        <v>1174</v>
      </c>
      <c r="Y301" s="102" t="s">
        <v>1175</v>
      </c>
      <c r="Z301" s="102" t="s">
        <v>1175</v>
      </c>
      <c r="AA301" s="102" t="s">
        <v>1176</v>
      </c>
      <c r="AB301" s="102" t="s">
        <v>1177</v>
      </c>
      <c r="AC301" s="102" t="s">
        <v>1223</v>
      </c>
      <c r="AD301" s="102" t="s">
        <v>1245</v>
      </c>
      <c r="AE301" s="102" t="s">
        <v>82</v>
      </c>
      <c r="AF301" s="102"/>
    </row>
    <row r="302" spans="1:32" ht="75" hidden="1" customHeight="1">
      <c r="A302" s="102" t="s">
        <v>1115</v>
      </c>
      <c r="B302" s="102" t="s">
        <v>1167</v>
      </c>
      <c r="C302" s="102" t="s">
        <v>729</v>
      </c>
      <c r="D302" s="70">
        <v>15000</v>
      </c>
      <c r="E302" s="102" t="s">
        <v>48</v>
      </c>
      <c r="F302" s="102" t="s">
        <v>48</v>
      </c>
      <c r="G302" s="102" t="s">
        <v>48</v>
      </c>
      <c r="H302" s="102" t="s">
        <v>48</v>
      </c>
      <c r="I302" s="102" t="s">
        <v>48</v>
      </c>
      <c r="J302" s="102" t="s">
        <v>48</v>
      </c>
      <c r="K302" s="103" t="s">
        <v>48</v>
      </c>
      <c r="L302" s="103" t="s">
        <v>48</v>
      </c>
      <c r="M302" s="103" t="s">
        <v>48</v>
      </c>
      <c r="N302" s="103" t="s">
        <v>48</v>
      </c>
      <c r="O302" s="103" t="s">
        <v>48</v>
      </c>
      <c r="P302" s="103" t="s">
        <v>48</v>
      </c>
      <c r="Q302" s="102" t="s">
        <v>48</v>
      </c>
      <c r="R302" s="102" t="s">
        <v>48</v>
      </c>
      <c r="S302" s="102" t="s">
        <v>48</v>
      </c>
      <c r="T302" s="102" t="s">
        <v>48</v>
      </c>
      <c r="U302" s="102" t="s">
        <v>48</v>
      </c>
      <c r="V302" s="7" t="s">
        <v>1224</v>
      </c>
      <c r="W302" s="7" t="s">
        <v>1224</v>
      </c>
      <c r="X302" s="102" t="s">
        <v>1185</v>
      </c>
      <c r="Y302" s="102" t="s">
        <v>1183</v>
      </c>
      <c r="Z302" s="102" t="s">
        <v>1183</v>
      </c>
      <c r="AA302" s="102" t="s">
        <v>1186</v>
      </c>
      <c r="AB302" s="102" t="s">
        <v>1184</v>
      </c>
      <c r="AC302" s="102" t="s">
        <v>1225</v>
      </c>
      <c r="AD302" s="102" t="s">
        <v>1245</v>
      </c>
      <c r="AE302" s="102" t="s">
        <v>82</v>
      </c>
      <c r="AF302" s="102" t="s">
        <v>947</v>
      </c>
    </row>
    <row r="303" spans="1:32" ht="75" hidden="1" customHeight="1">
      <c r="A303" s="102" t="s">
        <v>1115</v>
      </c>
      <c r="B303" s="102" t="s">
        <v>1170</v>
      </c>
      <c r="C303" s="102" t="s">
        <v>1125</v>
      </c>
      <c r="D303" s="70">
        <v>15000</v>
      </c>
      <c r="E303" s="102" t="s">
        <v>48</v>
      </c>
      <c r="F303" s="102" t="s">
        <v>48</v>
      </c>
      <c r="G303" s="102" t="s">
        <v>48</v>
      </c>
      <c r="H303" s="102" t="s">
        <v>48</v>
      </c>
      <c r="I303" s="102" t="s">
        <v>48</v>
      </c>
      <c r="J303" s="102" t="s">
        <v>48</v>
      </c>
      <c r="K303" s="103" t="s">
        <v>48</v>
      </c>
      <c r="L303" s="103" t="s">
        <v>48</v>
      </c>
      <c r="M303" s="103" t="s">
        <v>48</v>
      </c>
      <c r="N303" s="103" t="s">
        <v>48</v>
      </c>
      <c r="O303" s="103" t="s">
        <v>48</v>
      </c>
      <c r="P303" s="103" t="s">
        <v>48</v>
      </c>
      <c r="Q303" s="102" t="s">
        <v>48</v>
      </c>
      <c r="R303" s="102" t="s">
        <v>48</v>
      </c>
      <c r="S303" s="102" t="s">
        <v>48</v>
      </c>
      <c r="T303" s="102" t="s">
        <v>48</v>
      </c>
      <c r="U303" s="102" t="s">
        <v>48</v>
      </c>
      <c r="V303" s="7" t="s">
        <v>1369</v>
      </c>
      <c r="W303" s="7" t="s">
        <v>1369</v>
      </c>
      <c r="X303" s="102" t="s">
        <v>1190</v>
      </c>
      <c r="Y303" s="102" t="s">
        <v>1191</v>
      </c>
      <c r="Z303" s="102" t="s">
        <v>1191</v>
      </c>
      <c r="AA303" s="102" t="s">
        <v>1192</v>
      </c>
      <c r="AB303" s="102" t="s">
        <v>1370</v>
      </c>
      <c r="AC303" s="102" t="s">
        <v>1227</v>
      </c>
      <c r="AD303" s="102" t="s">
        <v>1245</v>
      </c>
      <c r="AE303" s="109" t="s">
        <v>82</v>
      </c>
      <c r="AF303" s="109"/>
    </row>
    <row r="304" spans="1:32" ht="75" hidden="1" customHeight="1">
      <c r="A304" s="102" t="s">
        <v>1115</v>
      </c>
      <c r="B304" s="102" t="s">
        <v>787</v>
      </c>
      <c r="C304" s="102" t="s">
        <v>786</v>
      </c>
      <c r="D304" s="70">
        <v>15000</v>
      </c>
      <c r="E304" s="102" t="s">
        <v>48</v>
      </c>
      <c r="F304" s="102" t="s">
        <v>48</v>
      </c>
      <c r="G304" s="102" t="s">
        <v>48</v>
      </c>
      <c r="H304" s="102" t="s">
        <v>48</v>
      </c>
      <c r="I304" s="102" t="s">
        <v>48</v>
      </c>
      <c r="J304" s="102" t="s">
        <v>48</v>
      </c>
      <c r="K304" s="103" t="s">
        <v>48</v>
      </c>
      <c r="L304" s="103" t="s">
        <v>48</v>
      </c>
      <c r="M304" s="103" t="s">
        <v>48</v>
      </c>
      <c r="N304" s="103" t="s">
        <v>48</v>
      </c>
      <c r="O304" s="103" t="s">
        <v>48</v>
      </c>
      <c r="P304" s="103" t="s">
        <v>48</v>
      </c>
      <c r="Q304" s="102" t="s">
        <v>48</v>
      </c>
      <c r="R304" s="102" t="s">
        <v>48</v>
      </c>
      <c r="S304" s="102" t="s">
        <v>48</v>
      </c>
      <c r="T304" s="102" t="s">
        <v>48</v>
      </c>
      <c r="U304" s="102" t="s">
        <v>48</v>
      </c>
      <c r="V304" s="102" t="s">
        <v>1834</v>
      </c>
      <c r="W304" s="102" t="s">
        <v>1834</v>
      </c>
      <c r="X304" s="102" t="s">
        <v>1837</v>
      </c>
      <c r="Y304" s="102" t="s">
        <v>1708</v>
      </c>
      <c r="Z304" s="102" t="s">
        <v>1708</v>
      </c>
      <c r="AA304" s="102" t="s">
        <v>1838</v>
      </c>
      <c r="AB304" s="102" t="s">
        <v>595</v>
      </c>
      <c r="AC304" s="102" t="s">
        <v>1687</v>
      </c>
      <c r="AD304" s="109" t="s">
        <v>1893</v>
      </c>
      <c r="AE304" s="102" t="s">
        <v>82</v>
      </c>
      <c r="AF304" s="102" t="s">
        <v>1836</v>
      </c>
    </row>
    <row r="305" spans="1:32" ht="75" hidden="1" customHeight="1">
      <c r="A305" s="102" t="s">
        <v>1115</v>
      </c>
      <c r="B305" s="102" t="s">
        <v>449</v>
      </c>
      <c r="C305" s="102" t="s">
        <v>450</v>
      </c>
      <c r="D305" s="70">
        <v>15000</v>
      </c>
      <c r="E305" s="102" t="s">
        <v>48</v>
      </c>
      <c r="F305" s="102" t="s">
        <v>48</v>
      </c>
      <c r="G305" s="102" t="s">
        <v>48</v>
      </c>
      <c r="H305" s="102" t="s">
        <v>48</v>
      </c>
      <c r="I305" s="102" t="s">
        <v>48</v>
      </c>
      <c r="J305" s="102" t="s">
        <v>48</v>
      </c>
      <c r="K305" s="103" t="s">
        <v>48</v>
      </c>
      <c r="L305" s="103" t="s">
        <v>48</v>
      </c>
      <c r="M305" s="103" t="s">
        <v>48</v>
      </c>
      <c r="N305" s="103" t="s">
        <v>48</v>
      </c>
      <c r="O305" s="103" t="s">
        <v>48</v>
      </c>
      <c r="P305" s="103" t="s">
        <v>48</v>
      </c>
      <c r="Q305" s="102" t="s">
        <v>48</v>
      </c>
      <c r="R305" s="102" t="s">
        <v>48</v>
      </c>
      <c r="S305" s="102" t="s">
        <v>48</v>
      </c>
      <c r="T305" s="102" t="s">
        <v>48</v>
      </c>
      <c r="U305" s="102" t="s">
        <v>48</v>
      </c>
      <c r="V305" s="7" t="s">
        <v>1371</v>
      </c>
      <c r="W305" s="7" t="s">
        <v>1371</v>
      </c>
      <c r="X305" s="102" t="s">
        <v>1193</v>
      </c>
      <c r="Y305" s="102" t="s">
        <v>1194</v>
      </c>
      <c r="Z305" s="102" t="s">
        <v>1194</v>
      </c>
      <c r="AA305" s="102" t="s">
        <v>1195</v>
      </c>
      <c r="AB305" s="102" t="s">
        <v>1370</v>
      </c>
      <c r="AC305" s="102" t="s">
        <v>1228</v>
      </c>
      <c r="AD305" s="102" t="s">
        <v>1245</v>
      </c>
      <c r="AE305" s="109" t="s">
        <v>82</v>
      </c>
      <c r="AF305" s="109" t="s">
        <v>451</v>
      </c>
    </row>
    <row r="306" spans="1:32" ht="75" hidden="1" customHeight="1">
      <c r="A306" s="102" t="s">
        <v>1115</v>
      </c>
      <c r="B306" s="102" t="s">
        <v>1171</v>
      </c>
      <c r="C306" s="102" t="s">
        <v>448</v>
      </c>
      <c r="D306" s="70">
        <v>15000</v>
      </c>
      <c r="E306" s="102" t="s">
        <v>48</v>
      </c>
      <c r="F306" s="102" t="s">
        <v>48</v>
      </c>
      <c r="G306" s="102" t="s">
        <v>48</v>
      </c>
      <c r="H306" s="102" t="s">
        <v>48</v>
      </c>
      <c r="I306" s="102" t="s">
        <v>48</v>
      </c>
      <c r="J306" s="102" t="s">
        <v>48</v>
      </c>
      <c r="K306" s="103" t="s">
        <v>48</v>
      </c>
      <c r="L306" s="103" t="s">
        <v>48</v>
      </c>
      <c r="M306" s="103" t="s">
        <v>48</v>
      </c>
      <c r="N306" s="103" t="s">
        <v>48</v>
      </c>
      <c r="O306" s="103" t="s">
        <v>48</v>
      </c>
      <c r="P306" s="103" t="s">
        <v>48</v>
      </c>
      <c r="Q306" s="102" t="s">
        <v>48</v>
      </c>
      <c r="R306" s="102" t="s">
        <v>48</v>
      </c>
      <c r="S306" s="102" t="s">
        <v>48</v>
      </c>
      <c r="T306" s="102" t="s">
        <v>48</v>
      </c>
      <c r="U306" s="102" t="s">
        <v>48</v>
      </c>
      <c r="V306" s="102" t="s">
        <v>1819</v>
      </c>
      <c r="W306" s="102" t="s">
        <v>1819</v>
      </c>
      <c r="X306" s="102" t="s">
        <v>1821</v>
      </c>
      <c r="Y306" s="102" t="s">
        <v>1708</v>
      </c>
      <c r="Z306" s="102" t="s">
        <v>1708</v>
      </c>
      <c r="AA306" s="102" t="s">
        <v>1823</v>
      </c>
      <c r="AB306" s="102" t="s">
        <v>595</v>
      </c>
      <c r="AC306" s="102" t="s">
        <v>1687</v>
      </c>
      <c r="AD306" s="102" t="s">
        <v>1811</v>
      </c>
      <c r="AE306" s="102" t="s">
        <v>82</v>
      </c>
      <c r="AF306" s="102" t="s">
        <v>1822</v>
      </c>
    </row>
    <row r="307" spans="1:32" ht="75" hidden="1" customHeight="1">
      <c r="A307" s="102" t="s">
        <v>1115</v>
      </c>
      <c r="B307" s="102" t="s">
        <v>1171</v>
      </c>
      <c r="C307" s="102" t="s">
        <v>725</v>
      </c>
      <c r="D307" s="70">
        <v>15000</v>
      </c>
      <c r="E307" s="102" t="s">
        <v>48</v>
      </c>
      <c r="F307" s="102" t="s">
        <v>48</v>
      </c>
      <c r="G307" s="102" t="s">
        <v>48</v>
      </c>
      <c r="H307" s="102" t="s">
        <v>48</v>
      </c>
      <c r="I307" s="102" t="s">
        <v>48</v>
      </c>
      <c r="J307" s="102" t="s">
        <v>48</v>
      </c>
      <c r="K307" s="103" t="s">
        <v>48</v>
      </c>
      <c r="L307" s="103" t="s">
        <v>48</v>
      </c>
      <c r="M307" s="103" t="s">
        <v>48</v>
      </c>
      <c r="N307" s="103" t="s">
        <v>48</v>
      </c>
      <c r="O307" s="103" t="s">
        <v>48</v>
      </c>
      <c r="P307" s="103" t="s">
        <v>48</v>
      </c>
      <c r="Q307" s="102" t="s">
        <v>48</v>
      </c>
      <c r="R307" s="102" t="s">
        <v>48</v>
      </c>
      <c r="S307" s="102" t="s">
        <v>48</v>
      </c>
      <c r="T307" s="102" t="s">
        <v>48</v>
      </c>
      <c r="U307" s="102" t="s">
        <v>48</v>
      </c>
      <c r="V307" s="102" t="s">
        <v>1819</v>
      </c>
      <c r="W307" s="102" t="s">
        <v>1819</v>
      </c>
      <c r="X307" s="102" t="s">
        <v>1821</v>
      </c>
      <c r="Y307" s="102" t="s">
        <v>1708</v>
      </c>
      <c r="Z307" s="102" t="s">
        <v>1708</v>
      </c>
      <c r="AA307" s="102" t="s">
        <v>1823</v>
      </c>
      <c r="AB307" s="102" t="s">
        <v>595</v>
      </c>
      <c r="AC307" s="102" t="s">
        <v>1687</v>
      </c>
      <c r="AD307" s="102" t="s">
        <v>1811</v>
      </c>
      <c r="AE307" s="102" t="s">
        <v>82</v>
      </c>
      <c r="AF307" s="102" t="s">
        <v>1822</v>
      </c>
    </row>
    <row r="308" spans="1:32" ht="75" hidden="1" customHeight="1">
      <c r="A308" s="102" t="s">
        <v>1115</v>
      </c>
      <c r="B308" s="102" t="s">
        <v>1171</v>
      </c>
      <c r="C308" s="102" t="s">
        <v>531</v>
      </c>
      <c r="D308" s="70">
        <v>15000</v>
      </c>
      <c r="E308" s="102" t="s">
        <v>48</v>
      </c>
      <c r="F308" s="102" t="s">
        <v>48</v>
      </c>
      <c r="G308" s="102" t="s">
        <v>48</v>
      </c>
      <c r="H308" s="102" t="s">
        <v>48</v>
      </c>
      <c r="I308" s="102" t="s">
        <v>48</v>
      </c>
      <c r="J308" s="102" t="s">
        <v>48</v>
      </c>
      <c r="K308" s="103" t="s">
        <v>48</v>
      </c>
      <c r="L308" s="103" t="s">
        <v>48</v>
      </c>
      <c r="M308" s="103" t="s">
        <v>48</v>
      </c>
      <c r="N308" s="103" t="s">
        <v>48</v>
      </c>
      <c r="O308" s="103" t="s">
        <v>48</v>
      </c>
      <c r="P308" s="103" t="s">
        <v>48</v>
      </c>
      <c r="Q308" s="102" t="s">
        <v>48</v>
      </c>
      <c r="R308" s="102" t="s">
        <v>48</v>
      </c>
      <c r="S308" s="102" t="s">
        <v>48</v>
      </c>
      <c r="T308" s="102" t="s">
        <v>48</v>
      </c>
      <c r="U308" s="102" t="s">
        <v>48</v>
      </c>
      <c r="V308" s="102" t="s">
        <v>1819</v>
      </c>
      <c r="W308" s="102" t="s">
        <v>1819</v>
      </c>
      <c r="X308" s="102" t="s">
        <v>1821</v>
      </c>
      <c r="Y308" s="102" t="s">
        <v>1708</v>
      </c>
      <c r="Z308" s="102" t="s">
        <v>1708</v>
      </c>
      <c r="AA308" s="102" t="s">
        <v>1823</v>
      </c>
      <c r="AB308" s="102" t="s">
        <v>595</v>
      </c>
      <c r="AC308" s="102" t="s">
        <v>1687</v>
      </c>
      <c r="AD308" s="102" t="s">
        <v>1811</v>
      </c>
      <c r="AE308" s="102" t="s">
        <v>82</v>
      </c>
      <c r="AF308" s="102" t="s">
        <v>1822</v>
      </c>
    </row>
    <row r="309" spans="1:32" ht="75" hidden="1" customHeight="1">
      <c r="A309" s="102" t="s">
        <v>1115</v>
      </c>
      <c r="B309" s="102" t="s">
        <v>1171</v>
      </c>
      <c r="C309" s="102" t="s">
        <v>1129</v>
      </c>
      <c r="D309" s="70">
        <v>15000</v>
      </c>
      <c r="E309" s="102" t="s">
        <v>48</v>
      </c>
      <c r="F309" s="102" t="s">
        <v>48</v>
      </c>
      <c r="G309" s="102" t="s">
        <v>48</v>
      </c>
      <c r="H309" s="102" t="s">
        <v>48</v>
      </c>
      <c r="I309" s="102" t="s">
        <v>48</v>
      </c>
      <c r="J309" s="102" t="s">
        <v>48</v>
      </c>
      <c r="K309" s="103" t="s">
        <v>48</v>
      </c>
      <c r="L309" s="103" t="s">
        <v>48</v>
      </c>
      <c r="M309" s="103" t="s">
        <v>48</v>
      </c>
      <c r="N309" s="103" t="s">
        <v>48</v>
      </c>
      <c r="O309" s="103" t="s">
        <v>48</v>
      </c>
      <c r="P309" s="103" t="s">
        <v>48</v>
      </c>
      <c r="Q309" s="102" t="s">
        <v>48</v>
      </c>
      <c r="R309" s="102" t="s">
        <v>48</v>
      </c>
      <c r="S309" s="102" t="s">
        <v>48</v>
      </c>
      <c r="T309" s="102" t="s">
        <v>48</v>
      </c>
      <c r="U309" s="102" t="s">
        <v>48</v>
      </c>
      <c r="V309" s="102" t="s">
        <v>1819</v>
      </c>
      <c r="W309" s="102" t="s">
        <v>1819</v>
      </c>
      <c r="X309" s="102" t="s">
        <v>1821</v>
      </c>
      <c r="Y309" s="102" t="s">
        <v>1708</v>
      </c>
      <c r="Z309" s="102" t="s">
        <v>1708</v>
      </c>
      <c r="AA309" s="102" t="s">
        <v>1823</v>
      </c>
      <c r="AB309" s="102" t="s">
        <v>595</v>
      </c>
      <c r="AC309" s="102" t="s">
        <v>1687</v>
      </c>
      <c r="AD309" s="102" t="s">
        <v>1811</v>
      </c>
      <c r="AE309" s="102" t="s">
        <v>82</v>
      </c>
      <c r="AF309" s="102" t="s">
        <v>1822</v>
      </c>
    </row>
    <row r="310" spans="1:32" ht="75" hidden="1" customHeight="1">
      <c r="A310" s="102" t="s">
        <v>1115</v>
      </c>
      <c r="B310" s="102" t="s">
        <v>1171</v>
      </c>
      <c r="C310" s="102" t="s">
        <v>1131</v>
      </c>
      <c r="D310" s="70">
        <v>15000</v>
      </c>
      <c r="E310" s="102" t="s">
        <v>48</v>
      </c>
      <c r="F310" s="102" t="s">
        <v>48</v>
      </c>
      <c r="G310" s="102" t="s">
        <v>48</v>
      </c>
      <c r="H310" s="102" t="s">
        <v>48</v>
      </c>
      <c r="I310" s="102" t="s">
        <v>48</v>
      </c>
      <c r="J310" s="102" t="s">
        <v>48</v>
      </c>
      <c r="K310" s="103" t="s">
        <v>48</v>
      </c>
      <c r="L310" s="103" t="s">
        <v>48</v>
      </c>
      <c r="M310" s="103" t="s">
        <v>48</v>
      </c>
      <c r="N310" s="103" t="s">
        <v>48</v>
      </c>
      <c r="O310" s="103" t="s">
        <v>48</v>
      </c>
      <c r="P310" s="103" t="s">
        <v>48</v>
      </c>
      <c r="Q310" s="102" t="s">
        <v>48</v>
      </c>
      <c r="R310" s="102" t="s">
        <v>48</v>
      </c>
      <c r="S310" s="102" t="s">
        <v>48</v>
      </c>
      <c r="T310" s="102" t="s">
        <v>48</v>
      </c>
      <c r="U310" s="102" t="s">
        <v>48</v>
      </c>
      <c r="V310" s="102" t="s">
        <v>1819</v>
      </c>
      <c r="W310" s="102" t="s">
        <v>1819</v>
      </c>
      <c r="X310" s="102" t="s">
        <v>1821</v>
      </c>
      <c r="Y310" s="102" t="s">
        <v>1708</v>
      </c>
      <c r="Z310" s="102" t="s">
        <v>1708</v>
      </c>
      <c r="AA310" s="102" t="s">
        <v>1823</v>
      </c>
      <c r="AB310" s="102" t="s">
        <v>595</v>
      </c>
      <c r="AC310" s="102" t="s">
        <v>1687</v>
      </c>
      <c r="AD310" s="102" t="s">
        <v>1811</v>
      </c>
      <c r="AE310" s="102" t="s">
        <v>82</v>
      </c>
      <c r="AF310" s="102" t="s">
        <v>1822</v>
      </c>
    </row>
    <row r="311" spans="1:32" ht="75" hidden="1" customHeight="1">
      <c r="A311" s="102" t="s">
        <v>1115</v>
      </c>
      <c r="B311" s="102" t="s">
        <v>1171</v>
      </c>
      <c r="C311" s="102" t="s">
        <v>1132</v>
      </c>
      <c r="D311" s="70">
        <v>15000</v>
      </c>
      <c r="E311" s="102" t="s">
        <v>48</v>
      </c>
      <c r="F311" s="102" t="s">
        <v>48</v>
      </c>
      <c r="G311" s="102" t="s">
        <v>48</v>
      </c>
      <c r="H311" s="102" t="s">
        <v>48</v>
      </c>
      <c r="I311" s="102" t="s">
        <v>48</v>
      </c>
      <c r="J311" s="102" t="s">
        <v>48</v>
      </c>
      <c r="K311" s="103" t="s">
        <v>48</v>
      </c>
      <c r="L311" s="103" t="s">
        <v>48</v>
      </c>
      <c r="M311" s="103" t="s">
        <v>48</v>
      </c>
      <c r="N311" s="103" t="s">
        <v>48</v>
      </c>
      <c r="O311" s="103" t="s">
        <v>48</v>
      </c>
      <c r="P311" s="103" t="s">
        <v>48</v>
      </c>
      <c r="Q311" s="102" t="s">
        <v>48</v>
      </c>
      <c r="R311" s="102" t="s">
        <v>48</v>
      </c>
      <c r="S311" s="102" t="s">
        <v>48</v>
      </c>
      <c r="T311" s="102" t="s">
        <v>48</v>
      </c>
      <c r="U311" s="102" t="s">
        <v>48</v>
      </c>
      <c r="V311" s="102" t="s">
        <v>1819</v>
      </c>
      <c r="W311" s="102" t="s">
        <v>1819</v>
      </c>
      <c r="X311" s="102" t="s">
        <v>1821</v>
      </c>
      <c r="Y311" s="102" t="s">
        <v>1708</v>
      </c>
      <c r="Z311" s="102" t="s">
        <v>1708</v>
      </c>
      <c r="AA311" s="102" t="s">
        <v>1823</v>
      </c>
      <c r="AB311" s="102" t="s">
        <v>595</v>
      </c>
      <c r="AC311" s="102" t="s">
        <v>1687</v>
      </c>
      <c r="AD311" s="102" t="s">
        <v>1811</v>
      </c>
      <c r="AE311" s="102" t="s">
        <v>82</v>
      </c>
      <c r="AF311" s="102" t="s">
        <v>1822</v>
      </c>
    </row>
    <row r="312" spans="1:32" ht="75" hidden="1" customHeight="1">
      <c r="A312" s="102" t="s">
        <v>1115</v>
      </c>
      <c r="B312" s="102" t="s">
        <v>1171</v>
      </c>
      <c r="C312" s="102" t="s">
        <v>1133</v>
      </c>
      <c r="D312" s="70">
        <v>15000</v>
      </c>
      <c r="E312" s="102" t="s">
        <v>48</v>
      </c>
      <c r="F312" s="102" t="s">
        <v>48</v>
      </c>
      <c r="G312" s="102" t="s">
        <v>48</v>
      </c>
      <c r="H312" s="102" t="s">
        <v>48</v>
      </c>
      <c r="I312" s="102" t="s">
        <v>48</v>
      </c>
      <c r="J312" s="102" t="s">
        <v>48</v>
      </c>
      <c r="K312" s="103" t="s">
        <v>48</v>
      </c>
      <c r="L312" s="103" t="s">
        <v>48</v>
      </c>
      <c r="M312" s="103">
        <v>67926</v>
      </c>
      <c r="N312" s="103" t="s">
        <v>48</v>
      </c>
      <c r="O312" s="103" t="s">
        <v>267</v>
      </c>
      <c r="P312" s="103" t="s">
        <v>519</v>
      </c>
      <c r="Q312" s="102" t="s">
        <v>48</v>
      </c>
      <c r="R312" s="102" t="s">
        <v>48</v>
      </c>
      <c r="S312" s="102" t="s">
        <v>48</v>
      </c>
      <c r="T312" s="102" t="s">
        <v>48</v>
      </c>
      <c r="U312" s="102" t="s">
        <v>48</v>
      </c>
      <c r="V312" s="102" t="s">
        <v>1819</v>
      </c>
      <c r="W312" s="102" t="s">
        <v>1819</v>
      </c>
      <c r="X312" s="102" t="s">
        <v>1821</v>
      </c>
      <c r="Y312" s="102" t="s">
        <v>1708</v>
      </c>
      <c r="Z312" s="102" t="s">
        <v>1708</v>
      </c>
      <c r="AA312" s="102" t="s">
        <v>1823</v>
      </c>
      <c r="AB312" s="102" t="s">
        <v>595</v>
      </c>
      <c r="AC312" s="102" t="s">
        <v>1687</v>
      </c>
      <c r="AD312" s="102" t="s">
        <v>1811</v>
      </c>
      <c r="AE312" s="102" t="s">
        <v>82</v>
      </c>
      <c r="AF312" s="102" t="s">
        <v>1822</v>
      </c>
    </row>
    <row r="313" spans="1:32" ht="75" hidden="1" customHeight="1">
      <c r="A313" s="102" t="s">
        <v>1115</v>
      </c>
      <c r="B313" s="102" t="s">
        <v>1171</v>
      </c>
      <c r="C313" s="102" t="s">
        <v>1130</v>
      </c>
      <c r="D313" s="70">
        <v>15000</v>
      </c>
      <c r="E313" s="102" t="s">
        <v>48</v>
      </c>
      <c r="F313" s="102" t="s">
        <v>48</v>
      </c>
      <c r="G313" s="102" t="s">
        <v>48</v>
      </c>
      <c r="H313" s="102" t="s">
        <v>48</v>
      </c>
      <c r="I313" s="102" t="s">
        <v>48</v>
      </c>
      <c r="J313" s="102" t="s">
        <v>48</v>
      </c>
      <c r="K313" s="103" t="s">
        <v>48</v>
      </c>
      <c r="L313" s="103" t="s">
        <v>48</v>
      </c>
      <c r="M313" s="103" t="s">
        <v>48</v>
      </c>
      <c r="N313" s="103" t="s">
        <v>48</v>
      </c>
      <c r="O313" s="103" t="s">
        <v>48</v>
      </c>
      <c r="P313" s="103" t="s">
        <v>48</v>
      </c>
      <c r="Q313" s="102" t="s">
        <v>48</v>
      </c>
      <c r="R313" s="102" t="s">
        <v>48</v>
      </c>
      <c r="S313" s="102" t="s">
        <v>48</v>
      </c>
      <c r="T313" s="102" t="s">
        <v>48</v>
      </c>
      <c r="U313" s="102" t="s">
        <v>48</v>
      </c>
      <c r="V313" s="102" t="s">
        <v>1819</v>
      </c>
      <c r="W313" s="102" t="s">
        <v>1819</v>
      </c>
      <c r="X313" s="102" t="s">
        <v>1821</v>
      </c>
      <c r="Y313" s="102" t="s">
        <v>1708</v>
      </c>
      <c r="Z313" s="102" t="s">
        <v>1708</v>
      </c>
      <c r="AA313" s="102" t="s">
        <v>1823</v>
      </c>
      <c r="AB313" s="102" t="s">
        <v>595</v>
      </c>
      <c r="AC313" s="102" t="s">
        <v>1687</v>
      </c>
      <c r="AD313" s="102" t="s">
        <v>1811</v>
      </c>
      <c r="AE313" s="102" t="s">
        <v>82</v>
      </c>
      <c r="AF313" s="102" t="s">
        <v>1172</v>
      </c>
    </row>
    <row r="314" spans="1:32" ht="75" hidden="1" customHeight="1">
      <c r="A314" s="102" t="s">
        <v>1115</v>
      </c>
      <c r="B314" s="102" t="s">
        <v>787</v>
      </c>
      <c r="C314" s="102" t="s">
        <v>727</v>
      </c>
      <c r="D314" s="70">
        <v>15000</v>
      </c>
      <c r="E314" s="102" t="s">
        <v>48</v>
      </c>
      <c r="F314" s="102" t="s">
        <v>48</v>
      </c>
      <c r="G314" s="102" t="s">
        <v>48</v>
      </c>
      <c r="H314" s="102" t="s">
        <v>48</v>
      </c>
      <c r="I314" s="102" t="s">
        <v>48</v>
      </c>
      <c r="J314" s="102" t="s">
        <v>48</v>
      </c>
      <c r="K314" s="103" t="s">
        <v>48</v>
      </c>
      <c r="L314" s="103" t="s">
        <v>48</v>
      </c>
      <c r="M314" s="103" t="s">
        <v>48</v>
      </c>
      <c r="N314" s="103" t="s">
        <v>48</v>
      </c>
      <c r="O314" s="103" t="s">
        <v>48</v>
      </c>
      <c r="P314" s="103" t="s">
        <v>48</v>
      </c>
      <c r="Q314" s="102" t="s">
        <v>48</v>
      </c>
      <c r="R314" s="102" t="s">
        <v>48</v>
      </c>
      <c r="S314" s="102" t="s">
        <v>48</v>
      </c>
      <c r="T314" s="102" t="s">
        <v>48</v>
      </c>
      <c r="U314" s="102" t="s">
        <v>48</v>
      </c>
      <c r="V314" s="102" t="s">
        <v>1834</v>
      </c>
      <c r="W314" s="102" t="s">
        <v>1834</v>
      </c>
      <c r="X314" s="102" t="s">
        <v>1837</v>
      </c>
      <c r="Y314" s="102" t="s">
        <v>1708</v>
      </c>
      <c r="Z314" s="102" t="s">
        <v>1708</v>
      </c>
      <c r="AA314" s="102" t="s">
        <v>1838</v>
      </c>
      <c r="AB314" s="102" t="s">
        <v>595</v>
      </c>
      <c r="AC314" s="102" t="s">
        <v>1687</v>
      </c>
      <c r="AD314" s="109" t="s">
        <v>1893</v>
      </c>
      <c r="AE314" s="102" t="s">
        <v>82</v>
      </c>
      <c r="AF314" s="102" t="s">
        <v>1836</v>
      </c>
    </row>
    <row r="315" spans="1:32" ht="75" hidden="1" customHeight="1">
      <c r="A315" s="102" t="s">
        <v>1115</v>
      </c>
      <c r="B315" s="102" t="s">
        <v>1168</v>
      </c>
      <c r="C315" s="102" t="s">
        <v>532</v>
      </c>
      <c r="D315" s="70">
        <v>15000</v>
      </c>
      <c r="E315" s="102" t="s">
        <v>48</v>
      </c>
      <c r="F315" s="102" t="s">
        <v>48</v>
      </c>
      <c r="G315" s="102" t="s">
        <v>48</v>
      </c>
      <c r="H315" s="102" t="s">
        <v>48</v>
      </c>
      <c r="I315" s="102" t="s">
        <v>48</v>
      </c>
      <c r="J315" s="102" t="s">
        <v>48</v>
      </c>
      <c r="K315" s="103" t="s">
        <v>48</v>
      </c>
      <c r="L315" s="103" t="s">
        <v>48</v>
      </c>
      <c r="M315" s="103" t="s">
        <v>48</v>
      </c>
      <c r="N315" s="103" t="s">
        <v>48</v>
      </c>
      <c r="O315" s="103" t="s">
        <v>48</v>
      </c>
      <c r="P315" s="103" t="s">
        <v>48</v>
      </c>
      <c r="Q315" s="102" t="s">
        <v>48</v>
      </c>
      <c r="R315" s="102" t="s">
        <v>48</v>
      </c>
      <c r="S315" s="102" t="s">
        <v>48</v>
      </c>
      <c r="T315" s="102" t="s">
        <v>48</v>
      </c>
      <c r="U315" s="102" t="s">
        <v>48</v>
      </c>
      <c r="V315" s="7" t="s">
        <v>1229</v>
      </c>
      <c r="W315" s="7" t="s">
        <v>1229</v>
      </c>
      <c r="X315" s="102" t="s">
        <v>1187</v>
      </c>
      <c r="Y315" s="102" t="s">
        <v>1188</v>
      </c>
      <c r="Z315" s="102" t="s">
        <v>1188</v>
      </c>
      <c r="AA315" s="102" t="s">
        <v>1189</v>
      </c>
      <c r="AB315" s="102" t="s">
        <v>1184</v>
      </c>
      <c r="AC315" s="102" t="s">
        <v>1226</v>
      </c>
      <c r="AD315" s="102" t="s">
        <v>1245</v>
      </c>
      <c r="AE315" s="102" t="s">
        <v>82</v>
      </c>
      <c r="AF315" s="102" t="s">
        <v>947</v>
      </c>
    </row>
    <row r="316" spans="1:32" ht="75" hidden="1" customHeight="1">
      <c r="A316" s="102" t="s">
        <v>1115</v>
      </c>
      <c r="B316" s="102" t="s">
        <v>873</v>
      </c>
      <c r="C316" s="102" t="s">
        <v>871</v>
      </c>
      <c r="D316" s="70">
        <v>15000</v>
      </c>
      <c r="E316" s="102" t="s">
        <v>48</v>
      </c>
      <c r="F316" s="102" t="s">
        <v>48</v>
      </c>
      <c r="G316" s="102" t="s">
        <v>48</v>
      </c>
      <c r="H316" s="102" t="s">
        <v>48</v>
      </c>
      <c r="I316" s="102" t="s">
        <v>48</v>
      </c>
      <c r="J316" s="102" t="s">
        <v>48</v>
      </c>
      <c r="K316" s="103" t="s">
        <v>48</v>
      </c>
      <c r="L316" s="103" t="s">
        <v>48</v>
      </c>
      <c r="M316" s="103" t="s">
        <v>48</v>
      </c>
      <c r="N316" s="103" t="s">
        <v>48</v>
      </c>
      <c r="O316" s="103" t="s">
        <v>48</v>
      </c>
      <c r="P316" s="103" t="s">
        <v>48</v>
      </c>
      <c r="Q316" s="102" t="s">
        <v>48</v>
      </c>
      <c r="R316" s="102" t="s">
        <v>48</v>
      </c>
      <c r="S316" s="102" t="s">
        <v>48</v>
      </c>
      <c r="T316" s="102" t="s">
        <v>48</v>
      </c>
      <c r="U316" s="102" t="s">
        <v>48</v>
      </c>
      <c r="V316" s="102" t="s">
        <v>1834</v>
      </c>
      <c r="W316" s="102" t="s">
        <v>1834</v>
      </c>
      <c r="X316" s="102" t="s">
        <v>1837</v>
      </c>
      <c r="Y316" s="102" t="s">
        <v>1708</v>
      </c>
      <c r="Z316" s="102" t="s">
        <v>1708</v>
      </c>
      <c r="AA316" s="102" t="s">
        <v>1838</v>
      </c>
      <c r="AB316" s="102" t="s">
        <v>595</v>
      </c>
      <c r="AC316" s="102" t="s">
        <v>1687</v>
      </c>
      <c r="AD316" s="109" t="s">
        <v>1893</v>
      </c>
      <c r="AE316" s="102" t="s">
        <v>82</v>
      </c>
      <c r="AF316" s="102" t="s">
        <v>1836</v>
      </c>
    </row>
    <row r="317" spans="1:32" ht="75" hidden="1" customHeight="1">
      <c r="A317" s="102" t="s">
        <v>1115</v>
      </c>
      <c r="B317" s="102" t="s">
        <v>946</v>
      </c>
      <c r="C317" s="102" t="s">
        <v>945</v>
      </c>
      <c r="D317" s="70">
        <v>15000</v>
      </c>
      <c r="E317" s="102" t="s">
        <v>48</v>
      </c>
      <c r="F317" s="102" t="s">
        <v>48</v>
      </c>
      <c r="G317" s="102" t="s">
        <v>48</v>
      </c>
      <c r="H317" s="102" t="s">
        <v>48</v>
      </c>
      <c r="I317" s="102" t="s">
        <v>48</v>
      </c>
      <c r="J317" s="102" t="s">
        <v>48</v>
      </c>
      <c r="K317" s="103" t="s">
        <v>48</v>
      </c>
      <c r="L317" s="103" t="s">
        <v>48</v>
      </c>
      <c r="M317" s="103" t="s">
        <v>48</v>
      </c>
      <c r="N317" s="103" t="s">
        <v>48</v>
      </c>
      <c r="O317" s="103" t="s">
        <v>48</v>
      </c>
      <c r="P317" s="103" t="s">
        <v>48</v>
      </c>
      <c r="Q317" s="102" t="s">
        <v>48</v>
      </c>
      <c r="R317" s="102" t="s">
        <v>48</v>
      </c>
      <c r="S317" s="102" t="s">
        <v>48</v>
      </c>
      <c r="T317" s="102" t="s">
        <v>48</v>
      </c>
      <c r="U317" s="102" t="s">
        <v>48</v>
      </c>
      <c r="V317" s="109" t="s">
        <v>1117</v>
      </c>
      <c r="W317" s="109" t="s">
        <v>1117</v>
      </c>
      <c r="X317" s="102" t="s">
        <v>1135</v>
      </c>
      <c r="Y317" s="102">
        <v>44296</v>
      </c>
      <c r="Z317" s="102">
        <v>44296</v>
      </c>
      <c r="AA317" s="102">
        <v>5836176</v>
      </c>
      <c r="AB317" s="102" t="s">
        <v>475</v>
      </c>
      <c r="AC317" s="102" t="s">
        <v>1119</v>
      </c>
      <c r="AD317" s="102" t="s">
        <v>1244</v>
      </c>
      <c r="AE317" s="102" t="s">
        <v>82</v>
      </c>
      <c r="AF317" s="102" t="s">
        <v>947</v>
      </c>
    </row>
    <row r="318" spans="1:32" ht="75" hidden="1" customHeight="1">
      <c r="A318" s="102" t="s">
        <v>1115</v>
      </c>
      <c r="B318" s="102" t="s">
        <v>946</v>
      </c>
      <c r="C318" s="102" t="s">
        <v>904</v>
      </c>
      <c r="D318" s="70">
        <v>15000</v>
      </c>
      <c r="E318" s="102" t="s">
        <v>48</v>
      </c>
      <c r="F318" s="102" t="s">
        <v>48</v>
      </c>
      <c r="G318" s="102" t="s">
        <v>48</v>
      </c>
      <c r="H318" s="102" t="s">
        <v>48</v>
      </c>
      <c r="I318" s="102" t="s">
        <v>48</v>
      </c>
      <c r="J318" s="102" t="s">
        <v>48</v>
      </c>
      <c r="K318" s="103" t="s">
        <v>48</v>
      </c>
      <c r="L318" s="103" t="s">
        <v>48</v>
      </c>
      <c r="M318" s="103" t="s">
        <v>48</v>
      </c>
      <c r="N318" s="103" t="s">
        <v>48</v>
      </c>
      <c r="O318" s="103" t="s">
        <v>48</v>
      </c>
      <c r="P318" s="103" t="s">
        <v>48</v>
      </c>
      <c r="Q318" s="102" t="s">
        <v>48</v>
      </c>
      <c r="R318" s="102" t="s">
        <v>48</v>
      </c>
      <c r="S318" s="102" t="s">
        <v>48</v>
      </c>
      <c r="T318" s="102" t="s">
        <v>48</v>
      </c>
      <c r="U318" s="102" t="s">
        <v>48</v>
      </c>
      <c r="V318" s="102" t="s">
        <v>1819</v>
      </c>
      <c r="W318" s="102" t="s">
        <v>1819</v>
      </c>
      <c r="X318" s="102" t="s">
        <v>1821</v>
      </c>
      <c r="Y318" s="102" t="s">
        <v>1708</v>
      </c>
      <c r="Z318" s="102" t="s">
        <v>1708</v>
      </c>
      <c r="AA318" s="102" t="s">
        <v>1823</v>
      </c>
      <c r="AB318" s="102" t="s">
        <v>595</v>
      </c>
      <c r="AC318" s="102" t="s">
        <v>1687</v>
      </c>
      <c r="AD318" s="102" t="s">
        <v>1811</v>
      </c>
      <c r="AE318" s="102" t="s">
        <v>82</v>
      </c>
      <c r="AF318" s="102" t="s">
        <v>876</v>
      </c>
    </row>
    <row r="319" spans="1:32" ht="75" hidden="1" customHeight="1">
      <c r="A319" s="102" t="s">
        <v>1115</v>
      </c>
      <c r="B319" s="102" t="s">
        <v>949</v>
      </c>
      <c r="C319" s="102" t="s">
        <v>948</v>
      </c>
      <c r="D319" s="70">
        <v>15000</v>
      </c>
      <c r="E319" s="102" t="s">
        <v>48</v>
      </c>
      <c r="F319" s="102" t="s">
        <v>48</v>
      </c>
      <c r="G319" s="102" t="s">
        <v>48</v>
      </c>
      <c r="H319" s="102" t="s">
        <v>48</v>
      </c>
      <c r="I319" s="102" t="s">
        <v>48</v>
      </c>
      <c r="J319" s="102" t="s">
        <v>48</v>
      </c>
      <c r="K319" s="103" t="s">
        <v>48</v>
      </c>
      <c r="L319" s="103" t="s">
        <v>48</v>
      </c>
      <c r="M319" s="103" t="s">
        <v>48</v>
      </c>
      <c r="N319" s="103" t="s">
        <v>48</v>
      </c>
      <c r="O319" s="103" t="s">
        <v>48</v>
      </c>
      <c r="P319" s="103" t="s">
        <v>48</v>
      </c>
      <c r="Q319" s="102" t="s">
        <v>48</v>
      </c>
      <c r="R319" s="102" t="s">
        <v>48</v>
      </c>
      <c r="S319" s="102" t="s">
        <v>48</v>
      </c>
      <c r="T319" s="102" t="s">
        <v>48</v>
      </c>
      <c r="U319" s="102" t="s">
        <v>48</v>
      </c>
      <c r="V319" s="102" t="s">
        <v>1843</v>
      </c>
      <c r="W319" s="102" t="s">
        <v>1843</v>
      </c>
      <c r="X319" s="102" t="s">
        <v>1845</v>
      </c>
      <c r="Y319" s="102" t="s">
        <v>1708</v>
      </c>
      <c r="Z319" s="102" t="s">
        <v>1708</v>
      </c>
      <c r="AA319" s="102" t="s">
        <v>1846</v>
      </c>
      <c r="AB319" s="102" t="s">
        <v>595</v>
      </c>
      <c r="AC319" s="102" t="s">
        <v>1687</v>
      </c>
      <c r="AD319" s="102" t="s">
        <v>1847</v>
      </c>
      <c r="AE319" s="102" t="s">
        <v>82</v>
      </c>
      <c r="AF319" s="102" t="s">
        <v>950</v>
      </c>
    </row>
    <row r="320" spans="1:32" ht="47.25" hidden="1" customHeight="1">
      <c r="A320" s="102" t="s">
        <v>1115</v>
      </c>
      <c r="B320" s="102" t="s">
        <v>949</v>
      </c>
      <c r="C320" s="102" t="s">
        <v>1108</v>
      </c>
      <c r="D320" s="70">
        <v>15000</v>
      </c>
      <c r="E320" s="102" t="s">
        <v>48</v>
      </c>
      <c r="F320" s="102" t="s">
        <v>48</v>
      </c>
      <c r="G320" s="102" t="s">
        <v>48</v>
      </c>
      <c r="H320" s="102" t="s">
        <v>48</v>
      </c>
      <c r="I320" s="102" t="s">
        <v>48</v>
      </c>
      <c r="J320" s="102" t="s">
        <v>48</v>
      </c>
      <c r="K320" s="103" t="s">
        <v>48</v>
      </c>
      <c r="L320" s="103" t="s">
        <v>48</v>
      </c>
      <c r="M320" s="103" t="s">
        <v>48</v>
      </c>
      <c r="N320" s="103" t="s">
        <v>48</v>
      </c>
      <c r="O320" s="103" t="s">
        <v>48</v>
      </c>
      <c r="P320" s="103" t="s">
        <v>48</v>
      </c>
      <c r="Q320" s="102" t="s">
        <v>48</v>
      </c>
      <c r="R320" s="102" t="s">
        <v>48</v>
      </c>
      <c r="S320" s="102" t="s">
        <v>48</v>
      </c>
      <c r="T320" s="102" t="s">
        <v>48</v>
      </c>
      <c r="U320" s="102" t="s">
        <v>48</v>
      </c>
      <c r="V320" s="102" t="s">
        <v>1843</v>
      </c>
      <c r="W320" s="102" t="s">
        <v>1843</v>
      </c>
      <c r="X320" s="102" t="s">
        <v>1845</v>
      </c>
      <c r="Y320" s="102" t="s">
        <v>1708</v>
      </c>
      <c r="Z320" s="102" t="s">
        <v>1708</v>
      </c>
      <c r="AA320" s="102" t="s">
        <v>1846</v>
      </c>
      <c r="AB320" s="102" t="s">
        <v>595</v>
      </c>
      <c r="AC320" s="102" t="s">
        <v>1687</v>
      </c>
      <c r="AD320" s="102" t="s">
        <v>1847</v>
      </c>
      <c r="AE320" s="102" t="s">
        <v>82</v>
      </c>
      <c r="AF320" s="102" t="s">
        <v>1110</v>
      </c>
    </row>
    <row r="321" spans="1:32" ht="75" hidden="1" customHeight="1">
      <c r="A321" s="102" t="s">
        <v>1115</v>
      </c>
      <c r="B321" s="103" t="s">
        <v>933</v>
      </c>
      <c r="C321" s="102" t="s">
        <v>1117</v>
      </c>
      <c r="D321" s="70">
        <v>15000</v>
      </c>
      <c r="E321" s="102" t="s">
        <v>48</v>
      </c>
      <c r="F321" s="102" t="s">
        <v>48</v>
      </c>
      <c r="G321" s="102" t="s">
        <v>48</v>
      </c>
      <c r="H321" s="102" t="s">
        <v>48</v>
      </c>
      <c r="I321" s="102" t="s">
        <v>48</v>
      </c>
      <c r="J321" s="102" t="s">
        <v>48</v>
      </c>
      <c r="K321" s="103" t="s">
        <v>48</v>
      </c>
      <c r="L321" s="103" t="s">
        <v>48</v>
      </c>
      <c r="M321" s="103" t="s">
        <v>48</v>
      </c>
      <c r="N321" s="103" t="s">
        <v>48</v>
      </c>
      <c r="O321" s="103" t="s">
        <v>48</v>
      </c>
      <c r="P321" s="103" t="s">
        <v>48</v>
      </c>
      <c r="Q321" s="102" t="s">
        <v>48</v>
      </c>
      <c r="R321" s="102" t="s">
        <v>48</v>
      </c>
      <c r="S321" s="102" t="s">
        <v>48</v>
      </c>
      <c r="T321" s="102" t="s">
        <v>48</v>
      </c>
      <c r="U321" s="102" t="s">
        <v>48</v>
      </c>
      <c r="V321" s="102" t="s">
        <v>1834</v>
      </c>
      <c r="W321" s="102" t="s">
        <v>1834</v>
      </c>
      <c r="X321" s="102" t="s">
        <v>1837</v>
      </c>
      <c r="Y321" s="102" t="s">
        <v>1708</v>
      </c>
      <c r="Z321" s="102" t="s">
        <v>1708</v>
      </c>
      <c r="AA321" s="102" t="s">
        <v>1838</v>
      </c>
      <c r="AB321" s="102" t="s">
        <v>595</v>
      </c>
      <c r="AC321" s="102" t="s">
        <v>1687</v>
      </c>
      <c r="AD321" s="109" t="s">
        <v>1893</v>
      </c>
      <c r="AE321" s="102" t="s">
        <v>82</v>
      </c>
      <c r="AF321" s="102" t="s">
        <v>1836</v>
      </c>
    </row>
    <row r="322" spans="1:32" ht="75" hidden="1" customHeight="1">
      <c r="A322" s="102" t="s">
        <v>35</v>
      </c>
      <c r="B322" s="103" t="s">
        <v>933</v>
      </c>
      <c r="C322" s="102" t="s">
        <v>1116</v>
      </c>
      <c r="D322" s="70">
        <v>15000</v>
      </c>
      <c r="E322" s="102" t="s">
        <v>48</v>
      </c>
      <c r="F322" s="102" t="s">
        <v>48</v>
      </c>
      <c r="G322" s="102" t="s">
        <v>48</v>
      </c>
      <c r="H322" s="102" t="s">
        <v>48</v>
      </c>
      <c r="I322" s="102" t="s">
        <v>48</v>
      </c>
      <c r="J322" s="102" t="s">
        <v>48</v>
      </c>
      <c r="K322" s="103" t="s">
        <v>48</v>
      </c>
      <c r="L322" s="103" t="s">
        <v>48</v>
      </c>
      <c r="M322" s="103" t="s">
        <v>48</v>
      </c>
      <c r="N322" s="103" t="s">
        <v>48</v>
      </c>
      <c r="O322" s="103" t="s">
        <v>48</v>
      </c>
      <c r="P322" s="103" t="s">
        <v>48</v>
      </c>
      <c r="Q322" s="102" t="s">
        <v>48</v>
      </c>
      <c r="R322" s="102" t="s">
        <v>48</v>
      </c>
      <c r="S322" s="102" t="s">
        <v>48</v>
      </c>
      <c r="T322" s="102" t="s">
        <v>48</v>
      </c>
      <c r="U322" s="102" t="s">
        <v>48</v>
      </c>
      <c r="V322" s="7" t="s">
        <v>1300</v>
      </c>
      <c r="W322" s="7" t="s">
        <v>1300</v>
      </c>
      <c r="X322" s="102" t="s">
        <v>1303</v>
      </c>
      <c r="Y322" s="102" t="s">
        <v>1301</v>
      </c>
      <c r="Z322" s="102" t="s">
        <v>1301</v>
      </c>
      <c r="AA322" s="102" t="s">
        <v>1302</v>
      </c>
      <c r="AB322" s="102" t="s">
        <v>1304</v>
      </c>
      <c r="AC322" s="102" t="s">
        <v>1230</v>
      </c>
      <c r="AD322" s="102" t="s">
        <v>1374</v>
      </c>
      <c r="AE322" s="102" t="s">
        <v>82</v>
      </c>
      <c r="AF322" s="102"/>
    </row>
    <row r="323" spans="1:32" ht="75" hidden="1" customHeight="1">
      <c r="A323" s="102" t="s">
        <v>34</v>
      </c>
      <c r="B323" s="103" t="s">
        <v>933</v>
      </c>
      <c r="C323" s="102" t="s">
        <v>1116</v>
      </c>
      <c r="D323" s="70">
        <v>15000</v>
      </c>
      <c r="E323" s="102" t="s">
        <v>48</v>
      </c>
      <c r="F323" s="102" t="s">
        <v>48</v>
      </c>
      <c r="G323" s="102" t="s">
        <v>48</v>
      </c>
      <c r="H323" s="102" t="s">
        <v>48</v>
      </c>
      <c r="I323" s="102" t="s">
        <v>48</v>
      </c>
      <c r="J323" s="102" t="s">
        <v>48</v>
      </c>
      <c r="K323" s="103" t="s">
        <v>48</v>
      </c>
      <c r="L323" s="103" t="s">
        <v>48</v>
      </c>
      <c r="M323" s="103" t="s">
        <v>48</v>
      </c>
      <c r="N323" s="103" t="s">
        <v>48</v>
      </c>
      <c r="O323" s="103" t="s">
        <v>48</v>
      </c>
      <c r="P323" s="103" t="s">
        <v>48</v>
      </c>
      <c r="Q323" s="102" t="s">
        <v>48</v>
      </c>
      <c r="R323" s="102" t="s">
        <v>48</v>
      </c>
      <c r="S323" s="102" t="s">
        <v>48</v>
      </c>
      <c r="T323" s="102" t="s">
        <v>48</v>
      </c>
      <c r="U323" s="102" t="s">
        <v>48</v>
      </c>
      <c r="V323" s="102" t="s">
        <v>1321</v>
      </c>
      <c r="W323" s="102" t="s">
        <v>907</v>
      </c>
      <c r="X323" s="102" t="s">
        <v>1339</v>
      </c>
      <c r="Y323" s="102" t="s">
        <v>1322</v>
      </c>
      <c r="Z323" s="102" t="s">
        <v>1322</v>
      </c>
      <c r="AA323" s="102" t="s">
        <v>1323</v>
      </c>
      <c r="AB323" s="102" t="s">
        <v>475</v>
      </c>
      <c r="AC323" s="102" t="s">
        <v>1119</v>
      </c>
      <c r="AD323" s="102" t="s">
        <v>1244</v>
      </c>
      <c r="AE323" s="102" t="s">
        <v>82</v>
      </c>
      <c r="AF323" s="102"/>
    </row>
    <row r="324" spans="1:32" ht="75" hidden="1" customHeight="1">
      <c r="A324" s="102" t="s">
        <v>34</v>
      </c>
      <c r="B324" s="103" t="s">
        <v>946</v>
      </c>
      <c r="C324" s="102" t="s">
        <v>1318</v>
      </c>
      <c r="D324" s="70">
        <v>15000</v>
      </c>
      <c r="E324" s="102" t="s">
        <v>48</v>
      </c>
      <c r="F324" s="102" t="s">
        <v>48</v>
      </c>
      <c r="G324" s="102" t="s">
        <v>48</v>
      </c>
      <c r="H324" s="102" t="s">
        <v>48</v>
      </c>
      <c r="I324" s="102" t="s">
        <v>48</v>
      </c>
      <c r="J324" s="102" t="s">
        <v>48</v>
      </c>
      <c r="K324" s="103" t="s">
        <v>48</v>
      </c>
      <c r="L324" s="103" t="s">
        <v>48</v>
      </c>
      <c r="M324" s="103" t="s">
        <v>48</v>
      </c>
      <c r="N324" s="103" t="s">
        <v>48</v>
      </c>
      <c r="O324" s="103" t="s">
        <v>48</v>
      </c>
      <c r="P324" s="103" t="s">
        <v>48</v>
      </c>
      <c r="Q324" s="102" t="s">
        <v>48</v>
      </c>
      <c r="R324" s="102" t="s">
        <v>48</v>
      </c>
      <c r="S324" s="102" t="s">
        <v>48</v>
      </c>
      <c r="T324" s="102" t="s">
        <v>48</v>
      </c>
      <c r="U324" s="102" t="s">
        <v>48</v>
      </c>
      <c r="V324" s="102" t="s">
        <v>1318</v>
      </c>
      <c r="W324" s="102" t="s">
        <v>1318</v>
      </c>
      <c r="X324" s="102" t="s">
        <v>48</v>
      </c>
      <c r="Y324" s="102" t="s">
        <v>48</v>
      </c>
      <c r="Z324" s="102" t="s">
        <v>48</v>
      </c>
      <c r="AA324" s="102" t="s">
        <v>48</v>
      </c>
      <c r="AB324" s="102" t="s">
        <v>48</v>
      </c>
      <c r="AC324" s="102" t="s">
        <v>1119</v>
      </c>
      <c r="AD324" s="102" t="s">
        <v>48</v>
      </c>
      <c r="AE324" s="102" t="s">
        <v>82</v>
      </c>
      <c r="AF324" s="102"/>
    </row>
    <row r="325" spans="1:32" ht="75" hidden="1" customHeight="1">
      <c r="A325" s="102" t="s">
        <v>34</v>
      </c>
      <c r="B325" s="103" t="s">
        <v>946</v>
      </c>
      <c r="C325" s="102" t="s">
        <v>1319</v>
      </c>
      <c r="D325" s="70">
        <v>15000</v>
      </c>
      <c r="E325" s="102" t="s">
        <v>48</v>
      </c>
      <c r="F325" s="102" t="s">
        <v>48</v>
      </c>
      <c r="G325" s="102" t="s">
        <v>48</v>
      </c>
      <c r="H325" s="102" t="s">
        <v>48</v>
      </c>
      <c r="I325" s="102" t="s">
        <v>48</v>
      </c>
      <c r="J325" s="102" t="s">
        <v>48</v>
      </c>
      <c r="K325" s="103" t="s">
        <v>48</v>
      </c>
      <c r="L325" s="103" t="s">
        <v>48</v>
      </c>
      <c r="M325" s="103" t="s">
        <v>48</v>
      </c>
      <c r="N325" s="103" t="s">
        <v>48</v>
      </c>
      <c r="O325" s="103" t="s">
        <v>48</v>
      </c>
      <c r="P325" s="103" t="s">
        <v>48</v>
      </c>
      <c r="Q325" s="102" t="s">
        <v>48</v>
      </c>
      <c r="R325" s="102" t="s">
        <v>48</v>
      </c>
      <c r="S325" s="102" t="s">
        <v>48</v>
      </c>
      <c r="T325" s="102" t="s">
        <v>48</v>
      </c>
      <c r="U325" s="102" t="s">
        <v>48</v>
      </c>
      <c r="V325" s="102" t="s">
        <v>1319</v>
      </c>
      <c r="W325" s="102" t="s">
        <v>1319</v>
      </c>
      <c r="X325" s="102" t="s">
        <v>48</v>
      </c>
      <c r="Y325" s="102" t="s">
        <v>48</v>
      </c>
      <c r="Z325" s="102" t="s">
        <v>48</v>
      </c>
      <c r="AA325" s="102" t="s">
        <v>48</v>
      </c>
      <c r="AB325" s="102" t="s">
        <v>48</v>
      </c>
      <c r="AC325" s="102" t="s">
        <v>1119</v>
      </c>
      <c r="AD325" s="102" t="s">
        <v>48</v>
      </c>
      <c r="AE325" s="102" t="s">
        <v>82</v>
      </c>
      <c r="AF325" s="102"/>
    </row>
    <row r="326" spans="1:32" ht="75" hidden="1" customHeight="1">
      <c r="A326" s="102" t="s">
        <v>34</v>
      </c>
      <c r="B326" s="103" t="s">
        <v>933</v>
      </c>
      <c r="C326" s="102" t="s">
        <v>729</v>
      </c>
      <c r="D326" s="70">
        <v>15000</v>
      </c>
      <c r="E326" s="102" t="s">
        <v>48</v>
      </c>
      <c r="F326" s="102" t="s">
        <v>48</v>
      </c>
      <c r="G326" s="102" t="s">
        <v>48</v>
      </c>
      <c r="H326" s="102" t="s">
        <v>48</v>
      </c>
      <c r="I326" s="102" t="s">
        <v>48</v>
      </c>
      <c r="J326" s="102" t="s">
        <v>48</v>
      </c>
      <c r="K326" s="103" t="s">
        <v>48</v>
      </c>
      <c r="L326" s="103" t="s">
        <v>48</v>
      </c>
      <c r="M326" s="103" t="s">
        <v>48</v>
      </c>
      <c r="N326" s="103" t="s">
        <v>48</v>
      </c>
      <c r="O326" s="103" t="s">
        <v>48</v>
      </c>
      <c r="P326" s="103" t="s">
        <v>48</v>
      </c>
      <c r="Q326" s="102" t="s">
        <v>48</v>
      </c>
      <c r="R326" s="102" t="s">
        <v>48</v>
      </c>
      <c r="S326" s="102" t="s">
        <v>48</v>
      </c>
      <c r="T326" s="102" t="s">
        <v>48</v>
      </c>
      <c r="U326" s="102" t="s">
        <v>48</v>
      </c>
      <c r="V326" s="7" t="s">
        <v>1324</v>
      </c>
      <c r="W326" s="7" t="s">
        <v>1324</v>
      </c>
      <c r="X326" s="102" t="s">
        <v>1325</v>
      </c>
      <c r="Y326" s="102" t="s">
        <v>1322</v>
      </c>
      <c r="Z326" s="102" t="s">
        <v>1322</v>
      </c>
      <c r="AA326" s="102" t="s">
        <v>1326</v>
      </c>
      <c r="AB326" s="102" t="s">
        <v>1327</v>
      </c>
      <c r="AC326" s="102" t="s">
        <v>1328</v>
      </c>
      <c r="AD326" s="102" t="s">
        <v>1244</v>
      </c>
      <c r="AE326" s="102" t="s">
        <v>82</v>
      </c>
      <c r="AF326" s="102"/>
    </row>
    <row r="327" spans="1:32" ht="75" hidden="1" customHeight="1">
      <c r="A327" s="109" t="s">
        <v>35</v>
      </c>
      <c r="B327" s="117" t="s">
        <v>1341</v>
      </c>
      <c r="C327" s="109" t="s">
        <v>1318</v>
      </c>
      <c r="D327" s="70">
        <v>15000</v>
      </c>
      <c r="E327" s="102" t="s">
        <v>48</v>
      </c>
      <c r="F327" s="102" t="s">
        <v>48</v>
      </c>
      <c r="G327" s="102" t="s">
        <v>48</v>
      </c>
      <c r="H327" s="102" t="s">
        <v>48</v>
      </c>
      <c r="I327" s="102" t="s">
        <v>48</v>
      </c>
      <c r="J327" s="102" t="s">
        <v>48</v>
      </c>
      <c r="K327" s="103" t="s">
        <v>48</v>
      </c>
      <c r="L327" s="103" t="s">
        <v>48</v>
      </c>
      <c r="M327" s="103" t="s">
        <v>48</v>
      </c>
      <c r="N327" s="103" t="s">
        <v>48</v>
      </c>
      <c r="O327" s="103" t="s">
        <v>48</v>
      </c>
      <c r="P327" s="103" t="s">
        <v>48</v>
      </c>
      <c r="Q327" s="102" t="s">
        <v>48</v>
      </c>
      <c r="R327" s="102" t="s">
        <v>48</v>
      </c>
      <c r="S327" s="102" t="s">
        <v>48</v>
      </c>
      <c r="T327" s="102" t="s">
        <v>48</v>
      </c>
      <c r="U327" s="102" t="s">
        <v>48</v>
      </c>
      <c r="V327" s="102" t="s">
        <v>1318</v>
      </c>
      <c r="W327" s="102" t="s">
        <v>1318</v>
      </c>
      <c r="X327" s="102" t="s">
        <v>48</v>
      </c>
      <c r="Y327" s="102" t="s">
        <v>48</v>
      </c>
      <c r="Z327" s="102" t="s">
        <v>48</v>
      </c>
      <c r="AA327" s="102" t="s">
        <v>48</v>
      </c>
      <c r="AB327" s="102" t="s">
        <v>48</v>
      </c>
      <c r="AC327" s="102" t="s">
        <v>1119</v>
      </c>
      <c r="AD327" s="109" t="s">
        <v>48</v>
      </c>
      <c r="AE327" s="109" t="s">
        <v>82</v>
      </c>
      <c r="AF327" s="102"/>
    </row>
    <row r="328" spans="1:32" ht="75" hidden="1" customHeight="1">
      <c r="A328" s="109" t="s">
        <v>35</v>
      </c>
      <c r="B328" s="117" t="s">
        <v>1341</v>
      </c>
      <c r="C328" s="109" t="s">
        <v>1319</v>
      </c>
      <c r="D328" s="70">
        <v>15000</v>
      </c>
      <c r="E328" s="102" t="s">
        <v>48</v>
      </c>
      <c r="F328" s="102" t="s">
        <v>48</v>
      </c>
      <c r="G328" s="102" t="s">
        <v>48</v>
      </c>
      <c r="H328" s="102" t="s">
        <v>48</v>
      </c>
      <c r="I328" s="102" t="s">
        <v>48</v>
      </c>
      <c r="J328" s="102" t="s">
        <v>48</v>
      </c>
      <c r="K328" s="103" t="s">
        <v>48</v>
      </c>
      <c r="L328" s="103" t="s">
        <v>48</v>
      </c>
      <c r="M328" s="103" t="s">
        <v>48</v>
      </c>
      <c r="N328" s="103" t="s">
        <v>48</v>
      </c>
      <c r="O328" s="103" t="s">
        <v>48</v>
      </c>
      <c r="P328" s="103" t="s">
        <v>48</v>
      </c>
      <c r="Q328" s="102" t="s">
        <v>48</v>
      </c>
      <c r="R328" s="102" t="s">
        <v>48</v>
      </c>
      <c r="S328" s="102" t="s">
        <v>48</v>
      </c>
      <c r="T328" s="102" t="s">
        <v>48</v>
      </c>
      <c r="U328" s="102" t="s">
        <v>48</v>
      </c>
      <c r="V328" s="102" t="s">
        <v>1319</v>
      </c>
      <c r="W328" s="102" t="s">
        <v>1319</v>
      </c>
      <c r="X328" s="102" t="s">
        <v>48</v>
      </c>
      <c r="Y328" s="102" t="s">
        <v>48</v>
      </c>
      <c r="Z328" s="102" t="s">
        <v>48</v>
      </c>
      <c r="AA328" s="102" t="s">
        <v>48</v>
      </c>
      <c r="AB328" s="102" t="s">
        <v>48</v>
      </c>
      <c r="AC328" s="102" t="s">
        <v>1119</v>
      </c>
      <c r="AD328" s="109" t="s">
        <v>48</v>
      </c>
      <c r="AE328" s="109" t="s">
        <v>82</v>
      </c>
      <c r="AF328" s="102"/>
    </row>
    <row r="329" spans="1:32" ht="75" hidden="1" customHeight="1">
      <c r="A329" s="109" t="s">
        <v>35</v>
      </c>
      <c r="B329" s="117" t="s">
        <v>1167</v>
      </c>
      <c r="C329" s="109" t="s">
        <v>1342</v>
      </c>
      <c r="D329" s="70">
        <v>15000</v>
      </c>
      <c r="E329" s="102" t="s">
        <v>48</v>
      </c>
      <c r="F329" s="102" t="s">
        <v>48</v>
      </c>
      <c r="G329" s="102" t="s">
        <v>48</v>
      </c>
      <c r="H329" s="102" t="s">
        <v>48</v>
      </c>
      <c r="I329" s="102" t="s">
        <v>48</v>
      </c>
      <c r="J329" s="102" t="s">
        <v>48</v>
      </c>
      <c r="K329" s="103" t="s">
        <v>48</v>
      </c>
      <c r="L329" s="103" t="s">
        <v>48</v>
      </c>
      <c r="M329" s="103" t="s">
        <v>48</v>
      </c>
      <c r="N329" s="103" t="s">
        <v>48</v>
      </c>
      <c r="O329" s="103" t="s">
        <v>48</v>
      </c>
      <c r="P329" s="103" t="s">
        <v>48</v>
      </c>
      <c r="Q329" s="102" t="s">
        <v>48</v>
      </c>
      <c r="R329" s="102" t="s">
        <v>48</v>
      </c>
      <c r="S329" s="102" t="s">
        <v>48</v>
      </c>
      <c r="T329" s="102" t="s">
        <v>48</v>
      </c>
      <c r="U329" s="102" t="s">
        <v>48</v>
      </c>
      <c r="V329" s="7" t="s">
        <v>1343</v>
      </c>
      <c r="W329" s="7" t="s">
        <v>1343</v>
      </c>
      <c r="X329" s="102" t="s">
        <v>1375</v>
      </c>
      <c r="Y329" s="102" t="s">
        <v>1344</v>
      </c>
      <c r="Z329" s="102" t="s">
        <v>1344</v>
      </c>
      <c r="AA329" s="102" t="s">
        <v>1345</v>
      </c>
      <c r="AB329" s="102" t="s">
        <v>1346</v>
      </c>
      <c r="AC329" s="102" t="s">
        <v>1347</v>
      </c>
      <c r="AD329" s="102" t="s">
        <v>1374</v>
      </c>
      <c r="AE329" s="109" t="s">
        <v>82</v>
      </c>
      <c r="AF329" s="125"/>
    </row>
    <row r="330" spans="1:32" ht="75" hidden="1" customHeight="1">
      <c r="A330" s="102" t="s">
        <v>1118</v>
      </c>
      <c r="B330" s="103" t="s">
        <v>1368</v>
      </c>
      <c r="C330" s="102" t="s">
        <v>1117</v>
      </c>
      <c r="D330" s="70">
        <v>15000</v>
      </c>
      <c r="E330" s="102" t="s">
        <v>48</v>
      </c>
      <c r="F330" s="102" t="s">
        <v>48</v>
      </c>
      <c r="G330" s="102" t="s">
        <v>48</v>
      </c>
      <c r="H330" s="102" t="s">
        <v>48</v>
      </c>
      <c r="I330" s="102" t="s">
        <v>48</v>
      </c>
      <c r="J330" s="102" t="s">
        <v>48</v>
      </c>
      <c r="K330" s="103" t="s">
        <v>48</v>
      </c>
      <c r="L330" s="103" t="s">
        <v>48</v>
      </c>
      <c r="M330" s="103" t="s">
        <v>48</v>
      </c>
      <c r="N330" s="103" t="s">
        <v>48</v>
      </c>
      <c r="O330" s="103" t="s">
        <v>48</v>
      </c>
      <c r="P330" s="103" t="s">
        <v>48</v>
      </c>
      <c r="Q330" s="102" t="s">
        <v>48</v>
      </c>
      <c r="R330" s="102" t="s">
        <v>48</v>
      </c>
      <c r="S330" s="102" t="s">
        <v>48</v>
      </c>
      <c r="T330" s="102" t="s">
        <v>48</v>
      </c>
      <c r="U330" s="102" t="s">
        <v>48</v>
      </c>
      <c r="V330" s="102" t="s">
        <v>1834</v>
      </c>
      <c r="W330" s="102" t="s">
        <v>1834</v>
      </c>
      <c r="X330" s="102" t="s">
        <v>1837</v>
      </c>
      <c r="Y330" s="102" t="s">
        <v>1708</v>
      </c>
      <c r="Z330" s="102" t="s">
        <v>1708</v>
      </c>
      <c r="AA330" s="102" t="s">
        <v>1838</v>
      </c>
      <c r="AB330" s="102" t="s">
        <v>595</v>
      </c>
      <c r="AC330" s="102" t="s">
        <v>1687</v>
      </c>
      <c r="AD330" s="109" t="s">
        <v>1893</v>
      </c>
      <c r="AE330" s="109" t="s">
        <v>82</v>
      </c>
      <c r="AF330" s="102" t="s">
        <v>1836</v>
      </c>
    </row>
    <row r="331" spans="1:32" ht="75" hidden="1" customHeight="1">
      <c r="A331" s="102" t="s">
        <v>1115</v>
      </c>
      <c r="B331" s="118" t="s">
        <v>949</v>
      </c>
      <c r="C331" s="102" t="s">
        <v>1377</v>
      </c>
      <c r="D331" s="70">
        <v>15000</v>
      </c>
      <c r="E331" s="102" t="s">
        <v>48</v>
      </c>
      <c r="F331" s="102" t="s">
        <v>48</v>
      </c>
      <c r="G331" s="102" t="s">
        <v>48</v>
      </c>
      <c r="H331" s="102" t="s">
        <v>48</v>
      </c>
      <c r="I331" s="102" t="s">
        <v>48</v>
      </c>
      <c r="J331" s="102" t="s">
        <v>48</v>
      </c>
      <c r="K331" s="103" t="s">
        <v>48</v>
      </c>
      <c r="L331" s="103" t="s">
        <v>48</v>
      </c>
      <c r="M331" s="103" t="s">
        <v>48</v>
      </c>
      <c r="N331" s="103" t="s">
        <v>48</v>
      </c>
      <c r="O331" s="103" t="s">
        <v>48</v>
      </c>
      <c r="P331" s="103" t="s">
        <v>48</v>
      </c>
      <c r="Q331" s="102" t="s">
        <v>48</v>
      </c>
      <c r="R331" s="102" t="s">
        <v>48</v>
      </c>
      <c r="S331" s="102" t="s">
        <v>48</v>
      </c>
      <c r="T331" s="102" t="s">
        <v>48</v>
      </c>
      <c r="U331" s="102" t="s">
        <v>48</v>
      </c>
      <c r="V331" s="102" t="s">
        <v>1843</v>
      </c>
      <c r="W331" s="102" t="s">
        <v>1843</v>
      </c>
      <c r="X331" s="102" t="s">
        <v>1845</v>
      </c>
      <c r="Y331" s="102" t="s">
        <v>1708</v>
      </c>
      <c r="Z331" s="102" t="s">
        <v>1708</v>
      </c>
      <c r="AA331" s="102" t="s">
        <v>1846</v>
      </c>
      <c r="AB331" s="102" t="s">
        <v>595</v>
      </c>
      <c r="AC331" s="102" t="s">
        <v>1687</v>
      </c>
      <c r="AD331" s="102" t="s">
        <v>1847</v>
      </c>
      <c r="AE331" s="102" t="s">
        <v>82</v>
      </c>
      <c r="AF331" s="102" t="s">
        <v>1110</v>
      </c>
    </row>
    <row r="332" spans="1:32" ht="75" hidden="1" customHeight="1">
      <c r="A332" s="102" t="s">
        <v>1118</v>
      </c>
      <c r="B332" s="118" t="s">
        <v>949</v>
      </c>
      <c r="C332" s="102" t="s">
        <v>1377</v>
      </c>
      <c r="D332" s="70">
        <v>15000</v>
      </c>
      <c r="E332" s="102" t="s">
        <v>48</v>
      </c>
      <c r="F332" s="102" t="s">
        <v>48</v>
      </c>
      <c r="G332" s="102" t="s">
        <v>48</v>
      </c>
      <c r="H332" s="102" t="s">
        <v>48</v>
      </c>
      <c r="I332" s="102" t="s">
        <v>48</v>
      </c>
      <c r="J332" s="102" t="s">
        <v>48</v>
      </c>
      <c r="K332" s="103" t="s">
        <v>48</v>
      </c>
      <c r="L332" s="103" t="s">
        <v>48</v>
      </c>
      <c r="M332" s="103" t="s">
        <v>48</v>
      </c>
      <c r="N332" s="103" t="s">
        <v>48</v>
      </c>
      <c r="O332" s="103" t="s">
        <v>48</v>
      </c>
      <c r="P332" s="103" t="s">
        <v>48</v>
      </c>
      <c r="Q332" s="102" t="s">
        <v>48</v>
      </c>
      <c r="R332" s="102" t="s">
        <v>48</v>
      </c>
      <c r="S332" s="102" t="s">
        <v>48</v>
      </c>
      <c r="T332" s="102" t="s">
        <v>48</v>
      </c>
      <c r="U332" s="102" t="s">
        <v>48</v>
      </c>
      <c r="V332" s="102" t="s">
        <v>1843</v>
      </c>
      <c r="W332" s="102" t="s">
        <v>1843</v>
      </c>
      <c r="X332" s="102" t="s">
        <v>1845</v>
      </c>
      <c r="Y332" s="102" t="s">
        <v>1708</v>
      </c>
      <c r="Z332" s="102" t="s">
        <v>1708</v>
      </c>
      <c r="AA332" s="102" t="s">
        <v>1846</v>
      </c>
      <c r="AB332" s="102" t="s">
        <v>595</v>
      </c>
      <c r="AC332" s="102" t="s">
        <v>1687</v>
      </c>
      <c r="AD332" s="102" t="s">
        <v>1847</v>
      </c>
      <c r="AE332" s="102" t="s">
        <v>82</v>
      </c>
      <c r="AF332" s="102" t="s">
        <v>1110</v>
      </c>
    </row>
    <row r="333" spans="1:32" ht="75" hidden="1" customHeight="1">
      <c r="A333" s="102" t="s">
        <v>660</v>
      </c>
      <c r="B333" s="103" t="s">
        <v>971</v>
      </c>
      <c r="C333" s="102" t="s">
        <v>1378</v>
      </c>
      <c r="D333" s="70">
        <v>15000</v>
      </c>
      <c r="E333" s="102" t="s">
        <v>48</v>
      </c>
      <c r="F333" s="102" t="s">
        <v>48</v>
      </c>
      <c r="G333" s="102" t="s">
        <v>48</v>
      </c>
      <c r="H333" s="102" t="s">
        <v>48</v>
      </c>
      <c r="I333" s="102" t="s">
        <v>48</v>
      </c>
      <c r="J333" s="102" t="s">
        <v>48</v>
      </c>
      <c r="K333" s="103" t="s">
        <v>48</v>
      </c>
      <c r="L333" s="103" t="s">
        <v>48</v>
      </c>
      <c r="M333" s="103" t="s">
        <v>48</v>
      </c>
      <c r="N333" s="103" t="s">
        <v>48</v>
      </c>
      <c r="O333" s="103" t="s">
        <v>48</v>
      </c>
      <c r="P333" s="103" t="s">
        <v>48</v>
      </c>
      <c r="Q333" s="102" t="s">
        <v>48</v>
      </c>
      <c r="R333" s="102" t="s">
        <v>48</v>
      </c>
      <c r="S333" s="102" t="s">
        <v>48</v>
      </c>
      <c r="T333" s="102" t="s">
        <v>48</v>
      </c>
      <c r="U333" s="102" t="s">
        <v>48</v>
      </c>
      <c r="V333" s="102" t="s">
        <v>1726</v>
      </c>
      <c r="W333" s="102" t="s">
        <v>1726</v>
      </c>
      <c r="X333" s="102" t="s">
        <v>1712</v>
      </c>
      <c r="Y333" s="102" t="s">
        <v>1708</v>
      </c>
      <c r="Z333" s="102" t="s">
        <v>1708</v>
      </c>
      <c r="AA333" s="102" t="s">
        <v>1859</v>
      </c>
      <c r="AB333" s="102" t="s">
        <v>595</v>
      </c>
      <c r="AC333" s="102" t="s">
        <v>1687</v>
      </c>
      <c r="AD333" s="102" t="s">
        <v>1853</v>
      </c>
      <c r="AE333" s="102" t="s">
        <v>82</v>
      </c>
      <c r="AF333" s="102" t="s">
        <v>972</v>
      </c>
    </row>
    <row r="334" spans="1:32" ht="75" hidden="1" customHeight="1">
      <c r="A334" s="102" t="s">
        <v>660</v>
      </c>
      <c r="B334" s="103" t="s">
        <v>971</v>
      </c>
      <c r="C334" s="102" t="s">
        <v>1379</v>
      </c>
      <c r="D334" s="70">
        <v>15000</v>
      </c>
      <c r="E334" s="102" t="s">
        <v>48</v>
      </c>
      <c r="F334" s="102" t="s">
        <v>48</v>
      </c>
      <c r="G334" s="102" t="s">
        <v>48</v>
      </c>
      <c r="H334" s="102" t="s">
        <v>48</v>
      </c>
      <c r="I334" s="102" t="s">
        <v>48</v>
      </c>
      <c r="J334" s="102" t="s">
        <v>48</v>
      </c>
      <c r="K334" s="103" t="s">
        <v>48</v>
      </c>
      <c r="L334" s="103" t="s">
        <v>48</v>
      </c>
      <c r="M334" s="103" t="s">
        <v>48</v>
      </c>
      <c r="N334" s="103" t="s">
        <v>48</v>
      </c>
      <c r="O334" s="103" t="s">
        <v>48</v>
      </c>
      <c r="P334" s="103" t="s">
        <v>48</v>
      </c>
      <c r="Q334" s="102" t="s">
        <v>48</v>
      </c>
      <c r="R334" s="102" t="s">
        <v>48</v>
      </c>
      <c r="S334" s="102" t="s">
        <v>48</v>
      </c>
      <c r="T334" s="102" t="s">
        <v>48</v>
      </c>
      <c r="U334" s="102" t="s">
        <v>48</v>
      </c>
      <c r="V334" s="102" t="s">
        <v>1727</v>
      </c>
      <c r="W334" s="102" t="s">
        <v>1727</v>
      </c>
      <c r="X334" s="102" t="s">
        <v>1712</v>
      </c>
      <c r="Y334" s="102" t="s">
        <v>1708</v>
      </c>
      <c r="Z334" s="102" t="s">
        <v>1708</v>
      </c>
      <c r="AA334" s="102" t="s">
        <v>1856</v>
      </c>
      <c r="AB334" s="102" t="s">
        <v>595</v>
      </c>
      <c r="AC334" s="102" t="s">
        <v>1687</v>
      </c>
      <c r="AD334" s="102" t="s">
        <v>1853</v>
      </c>
      <c r="AE334" s="102" t="s">
        <v>82</v>
      </c>
      <c r="AF334" s="102" t="s">
        <v>1109</v>
      </c>
    </row>
    <row r="335" spans="1:32" ht="75" hidden="1" customHeight="1">
      <c r="A335" s="102" t="s">
        <v>41</v>
      </c>
      <c r="B335" s="103" t="s">
        <v>931</v>
      </c>
      <c r="C335" s="102" t="s">
        <v>1380</v>
      </c>
      <c r="D335" s="70">
        <v>15000</v>
      </c>
      <c r="E335" s="102" t="s">
        <v>48</v>
      </c>
      <c r="F335" s="102" t="s">
        <v>48</v>
      </c>
      <c r="G335" s="102" t="s">
        <v>48</v>
      </c>
      <c r="H335" s="102" t="s">
        <v>48</v>
      </c>
      <c r="I335" s="102" t="s">
        <v>48</v>
      </c>
      <c r="J335" s="102" t="s">
        <v>48</v>
      </c>
      <c r="K335" s="103" t="s">
        <v>48</v>
      </c>
      <c r="L335" s="103" t="s">
        <v>48</v>
      </c>
      <c r="M335" s="103" t="s">
        <v>48</v>
      </c>
      <c r="N335" s="103" t="s">
        <v>48</v>
      </c>
      <c r="O335" s="103" t="s">
        <v>48</v>
      </c>
      <c r="P335" s="103" t="s">
        <v>48</v>
      </c>
      <c r="Q335" s="102" t="s">
        <v>48</v>
      </c>
      <c r="R335" s="102" t="s">
        <v>48</v>
      </c>
      <c r="S335" s="102" t="s">
        <v>48</v>
      </c>
      <c r="T335" s="102" t="s">
        <v>48</v>
      </c>
      <c r="U335" s="102" t="s">
        <v>48</v>
      </c>
      <c r="V335" s="102" t="s">
        <v>1694</v>
      </c>
      <c r="W335" s="102" t="s">
        <v>1694</v>
      </c>
      <c r="X335" s="102" t="s">
        <v>1861</v>
      </c>
      <c r="Y335" s="102" t="s">
        <v>1708</v>
      </c>
      <c r="Z335" s="102" t="s">
        <v>1708</v>
      </c>
      <c r="AA335" s="102" t="s">
        <v>1862</v>
      </c>
      <c r="AB335" s="102" t="s">
        <v>595</v>
      </c>
      <c r="AC335" s="102" t="s">
        <v>1687</v>
      </c>
      <c r="AD335" s="102" t="s">
        <v>1863</v>
      </c>
      <c r="AE335" s="102" t="s">
        <v>82</v>
      </c>
      <c r="AF335" s="102" t="s">
        <v>932</v>
      </c>
    </row>
    <row r="336" spans="1:32" ht="75" hidden="1" customHeight="1">
      <c r="A336" s="102" t="s">
        <v>40</v>
      </c>
      <c r="B336" s="103" t="s">
        <v>1395</v>
      </c>
      <c r="C336" s="102" t="s">
        <v>1518</v>
      </c>
      <c r="D336" s="70">
        <v>30000</v>
      </c>
      <c r="E336" s="102" t="s">
        <v>48</v>
      </c>
      <c r="F336" s="102" t="s">
        <v>48</v>
      </c>
      <c r="G336" s="102" t="s">
        <v>48</v>
      </c>
      <c r="H336" s="102" t="s">
        <v>48</v>
      </c>
      <c r="I336" s="102" t="s">
        <v>48</v>
      </c>
      <c r="J336" s="102" t="s">
        <v>48</v>
      </c>
      <c r="K336" s="103" t="s">
        <v>48</v>
      </c>
      <c r="L336" s="103" t="s">
        <v>48</v>
      </c>
      <c r="M336" s="102" t="s">
        <v>48</v>
      </c>
      <c r="N336" s="102" t="s">
        <v>48</v>
      </c>
      <c r="O336" s="102" t="s">
        <v>48</v>
      </c>
      <c r="P336" s="102" t="s">
        <v>48</v>
      </c>
      <c r="Q336" s="102" t="s">
        <v>48</v>
      </c>
      <c r="R336" s="102" t="s">
        <v>48</v>
      </c>
      <c r="S336" s="102" t="s">
        <v>48</v>
      </c>
      <c r="T336" s="102" t="s">
        <v>48</v>
      </c>
      <c r="U336" s="102" t="s">
        <v>48</v>
      </c>
      <c r="V336" s="102" t="s">
        <v>1761</v>
      </c>
      <c r="W336" s="102" t="s">
        <v>1761</v>
      </c>
      <c r="X336" s="102" t="s">
        <v>1771</v>
      </c>
      <c r="Y336" s="102" t="s">
        <v>1708</v>
      </c>
      <c r="Z336" s="102" t="s">
        <v>1708</v>
      </c>
      <c r="AA336" s="102" t="s">
        <v>1772</v>
      </c>
      <c r="AB336" s="102" t="s">
        <v>595</v>
      </c>
      <c r="AC336" s="102" t="s">
        <v>1687</v>
      </c>
      <c r="AD336" s="102" t="s">
        <v>1774</v>
      </c>
      <c r="AE336" s="102" t="s">
        <v>49</v>
      </c>
      <c r="AF336" s="102"/>
    </row>
    <row r="337" spans="1:32" ht="75" hidden="1" customHeight="1">
      <c r="A337" s="102" t="s">
        <v>865</v>
      </c>
      <c r="B337" s="103" t="s">
        <v>1395</v>
      </c>
      <c r="C337" s="102" t="s">
        <v>1601</v>
      </c>
      <c r="D337" s="70">
        <v>30000</v>
      </c>
      <c r="E337" s="102" t="s">
        <v>48</v>
      </c>
      <c r="F337" s="102" t="s">
        <v>48</v>
      </c>
      <c r="G337" s="102" t="s">
        <v>48</v>
      </c>
      <c r="H337" s="102" t="s">
        <v>48</v>
      </c>
      <c r="I337" s="102" t="s">
        <v>48</v>
      </c>
      <c r="J337" s="102" t="s">
        <v>48</v>
      </c>
      <c r="K337" s="103" t="s">
        <v>48</v>
      </c>
      <c r="L337" s="103" t="s">
        <v>48</v>
      </c>
      <c r="M337" s="103" t="s">
        <v>48</v>
      </c>
      <c r="N337" s="103" t="s">
        <v>48</v>
      </c>
      <c r="O337" s="103" t="s">
        <v>48</v>
      </c>
      <c r="P337" s="103" t="s">
        <v>48</v>
      </c>
      <c r="Q337" s="102" t="s">
        <v>48</v>
      </c>
      <c r="R337" s="102" t="s">
        <v>48</v>
      </c>
      <c r="S337" s="102" t="s">
        <v>48</v>
      </c>
      <c r="T337" s="102" t="s">
        <v>48</v>
      </c>
      <c r="U337" s="102" t="s">
        <v>48</v>
      </c>
      <c r="V337" s="102" t="s">
        <v>1776</v>
      </c>
      <c r="W337" s="102" t="s">
        <v>1776</v>
      </c>
      <c r="X337" s="102" t="s">
        <v>1784</v>
      </c>
      <c r="Y337" s="102" t="s">
        <v>1708</v>
      </c>
      <c r="Z337" s="102" t="s">
        <v>1708</v>
      </c>
      <c r="AA337" s="102" t="s">
        <v>1785</v>
      </c>
      <c r="AB337" s="102" t="s">
        <v>595</v>
      </c>
      <c r="AC337" s="102" t="s">
        <v>1687</v>
      </c>
      <c r="AD337" s="102" t="s">
        <v>1774</v>
      </c>
      <c r="AE337" s="102" t="s">
        <v>49</v>
      </c>
      <c r="AF337" s="102"/>
    </row>
    <row r="338" spans="1:32" ht="75" hidden="1" customHeight="1">
      <c r="A338" s="102" t="s">
        <v>31</v>
      </c>
      <c r="B338" s="103" t="s">
        <v>1396</v>
      </c>
      <c r="C338" s="102" t="s">
        <v>1403</v>
      </c>
      <c r="D338" s="70">
        <v>30000</v>
      </c>
      <c r="E338" s="102" t="s">
        <v>48</v>
      </c>
      <c r="F338" s="102" t="s">
        <v>48</v>
      </c>
      <c r="G338" s="102" t="s">
        <v>48</v>
      </c>
      <c r="H338" s="102" t="s">
        <v>48</v>
      </c>
      <c r="I338" s="102" t="s">
        <v>48</v>
      </c>
      <c r="J338" s="102" t="s">
        <v>48</v>
      </c>
      <c r="K338" s="103" t="s">
        <v>48</v>
      </c>
      <c r="L338" s="103" t="s">
        <v>48</v>
      </c>
      <c r="M338" s="103" t="s">
        <v>48</v>
      </c>
      <c r="N338" s="103" t="s">
        <v>48</v>
      </c>
      <c r="O338" s="103" t="s">
        <v>48</v>
      </c>
      <c r="P338" s="103" t="s">
        <v>48</v>
      </c>
      <c r="Q338" s="102" t="s">
        <v>48</v>
      </c>
      <c r="R338" s="102" t="s">
        <v>48</v>
      </c>
      <c r="S338" s="102" t="s">
        <v>48</v>
      </c>
      <c r="T338" s="102" t="s">
        <v>48</v>
      </c>
      <c r="U338" s="102" t="s">
        <v>48</v>
      </c>
      <c r="V338" s="102" t="s">
        <v>1403</v>
      </c>
      <c r="W338" s="102" t="s">
        <v>1403</v>
      </c>
      <c r="X338" s="102" t="s">
        <v>48</v>
      </c>
      <c r="Y338" s="102" t="s">
        <v>48</v>
      </c>
      <c r="Z338" s="102" t="s">
        <v>48</v>
      </c>
      <c r="AA338" s="102" t="s">
        <v>48</v>
      </c>
      <c r="AB338" s="102" t="s">
        <v>48</v>
      </c>
      <c r="AC338" s="102" t="s">
        <v>1393</v>
      </c>
      <c r="AD338" s="102" t="s">
        <v>48</v>
      </c>
      <c r="AE338" s="102" t="s">
        <v>82</v>
      </c>
      <c r="AF338" s="102" t="s">
        <v>1394</v>
      </c>
    </row>
    <row r="339" spans="1:32" ht="75" hidden="1" customHeight="1">
      <c r="A339" s="102" t="s">
        <v>23</v>
      </c>
      <c r="B339" s="103" t="s">
        <v>874</v>
      </c>
      <c r="C339" s="102" t="s">
        <v>1397</v>
      </c>
      <c r="D339" s="70">
        <v>15000</v>
      </c>
      <c r="E339" s="102" t="s">
        <v>48</v>
      </c>
      <c r="F339" s="102" t="s">
        <v>48</v>
      </c>
      <c r="G339" s="102" t="s">
        <v>48</v>
      </c>
      <c r="H339" s="102" t="s">
        <v>48</v>
      </c>
      <c r="I339" s="102" t="s">
        <v>48</v>
      </c>
      <c r="J339" s="102" t="s">
        <v>48</v>
      </c>
      <c r="K339" s="102" t="s">
        <v>48</v>
      </c>
      <c r="L339" s="102" t="s">
        <v>48</v>
      </c>
      <c r="M339" s="102" t="s">
        <v>48</v>
      </c>
      <c r="N339" s="102" t="s">
        <v>48</v>
      </c>
      <c r="O339" s="102" t="s">
        <v>48</v>
      </c>
      <c r="P339" s="102" t="s">
        <v>48</v>
      </c>
      <c r="Q339" s="102" t="s">
        <v>48</v>
      </c>
      <c r="R339" s="102" t="s">
        <v>48</v>
      </c>
      <c r="S339" s="102" t="s">
        <v>48</v>
      </c>
      <c r="T339" s="102" t="s">
        <v>48</v>
      </c>
      <c r="U339" s="102" t="s">
        <v>48</v>
      </c>
      <c r="V339" s="102" t="s">
        <v>1824</v>
      </c>
      <c r="W339" s="102" t="s">
        <v>1824</v>
      </c>
      <c r="X339" s="102" t="s">
        <v>1828</v>
      </c>
      <c r="Y339" s="102" t="s">
        <v>1708</v>
      </c>
      <c r="Z339" s="102" t="s">
        <v>1708</v>
      </c>
      <c r="AA339" s="102" t="s">
        <v>1829</v>
      </c>
      <c r="AB339" s="102" t="s">
        <v>595</v>
      </c>
      <c r="AC339" s="102" t="s">
        <v>1687</v>
      </c>
      <c r="AD339" s="102" t="s">
        <v>1830</v>
      </c>
      <c r="AE339" s="102" t="s">
        <v>82</v>
      </c>
      <c r="AF339" s="102" t="s">
        <v>1827</v>
      </c>
    </row>
    <row r="340" spans="1:32" ht="75" hidden="1" customHeight="1">
      <c r="A340" s="102" t="s">
        <v>40</v>
      </c>
      <c r="B340" s="103" t="s">
        <v>1398</v>
      </c>
      <c r="C340" s="102" t="s">
        <v>1400</v>
      </c>
      <c r="D340" s="70">
        <v>30000</v>
      </c>
      <c r="E340" s="102" t="s">
        <v>48</v>
      </c>
      <c r="F340" s="102" t="s">
        <v>48</v>
      </c>
      <c r="G340" s="102" t="s">
        <v>48</v>
      </c>
      <c r="H340" s="102" t="s">
        <v>48</v>
      </c>
      <c r="I340" s="102" t="s">
        <v>48</v>
      </c>
      <c r="J340" s="102" t="s">
        <v>48</v>
      </c>
      <c r="K340" s="102" t="s">
        <v>48</v>
      </c>
      <c r="L340" s="102" t="s">
        <v>48</v>
      </c>
      <c r="M340" s="102" t="s">
        <v>48</v>
      </c>
      <c r="N340" s="102" t="s">
        <v>48</v>
      </c>
      <c r="O340" s="102" t="s">
        <v>48</v>
      </c>
      <c r="P340" s="102" t="s">
        <v>48</v>
      </c>
      <c r="Q340" s="102" t="s">
        <v>1607</v>
      </c>
      <c r="R340" s="102" t="s">
        <v>1609</v>
      </c>
      <c r="S340" s="102" t="s">
        <v>1606</v>
      </c>
      <c r="T340" s="102" t="s">
        <v>48</v>
      </c>
      <c r="U340" s="102" t="s">
        <v>1603</v>
      </c>
      <c r="V340" s="102" t="s">
        <v>1698</v>
      </c>
      <c r="W340" s="102" t="s">
        <v>1698</v>
      </c>
      <c r="X340" s="102" t="s">
        <v>1786</v>
      </c>
      <c r="Y340" s="102" t="s">
        <v>1708</v>
      </c>
      <c r="Z340" s="102" t="s">
        <v>1708</v>
      </c>
      <c r="AA340" s="102" t="s">
        <v>1787</v>
      </c>
      <c r="AB340" s="102" t="s">
        <v>595</v>
      </c>
      <c r="AC340" s="102" t="s">
        <v>1687</v>
      </c>
      <c r="AD340" s="102" t="s">
        <v>1773</v>
      </c>
      <c r="AE340" s="102" t="s">
        <v>49</v>
      </c>
      <c r="AF340" s="102" t="s">
        <v>1700</v>
      </c>
    </row>
    <row r="341" spans="1:32" ht="75" hidden="1" customHeight="1">
      <c r="A341" s="102" t="s">
        <v>31</v>
      </c>
      <c r="B341" s="103" t="s">
        <v>1398</v>
      </c>
      <c r="C341" s="102" t="s">
        <v>1399</v>
      </c>
      <c r="D341" s="70">
        <v>30000</v>
      </c>
      <c r="E341" s="102" t="s">
        <v>48</v>
      </c>
      <c r="F341" s="102" t="s">
        <v>48</v>
      </c>
      <c r="G341" s="102" t="s">
        <v>48</v>
      </c>
      <c r="H341" s="102" t="s">
        <v>48</v>
      </c>
      <c r="I341" s="102" t="s">
        <v>48</v>
      </c>
      <c r="J341" s="102" t="s">
        <v>48</v>
      </c>
      <c r="K341" s="103" t="s">
        <v>48</v>
      </c>
      <c r="L341" s="103" t="s">
        <v>48</v>
      </c>
      <c r="M341" s="103" t="s">
        <v>48</v>
      </c>
      <c r="N341" s="103" t="s">
        <v>48</v>
      </c>
      <c r="O341" s="103" t="s">
        <v>48</v>
      </c>
      <c r="P341" s="103" t="s">
        <v>48</v>
      </c>
      <c r="Q341" s="102" t="s">
        <v>1607</v>
      </c>
      <c r="R341" s="102" t="s">
        <v>1608</v>
      </c>
      <c r="S341" s="102" t="s">
        <v>1606</v>
      </c>
      <c r="T341" s="102" t="s">
        <v>48</v>
      </c>
      <c r="U341" s="102" t="s">
        <v>1604</v>
      </c>
      <c r="V341" s="102" t="s">
        <v>1793</v>
      </c>
      <c r="W341" s="102" t="s">
        <v>1793</v>
      </c>
      <c r="X341" s="102" t="s">
        <v>1794</v>
      </c>
      <c r="Y341" s="102" t="s">
        <v>1708</v>
      </c>
      <c r="Z341" s="102" t="s">
        <v>1708</v>
      </c>
      <c r="AA341" s="102" t="s">
        <v>1795</v>
      </c>
      <c r="AB341" s="102" t="s">
        <v>595</v>
      </c>
      <c r="AC341" s="102" t="s">
        <v>1687</v>
      </c>
      <c r="AD341" s="102" t="s">
        <v>1773</v>
      </c>
      <c r="AE341" s="102" t="s">
        <v>49</v>
      </c>
      <c r="AF341" s="102" t="s">
        <v>1700</v>
      </c>
    </row>
    <row r="342" spans="1:32" ht="75" hidden="1" customHeight="1">
      <c r="A342" s="102" t="s">
        <v>865</v>
      </c>
      <c r="B342" s="103" t="s">
        <v>1398</v>
      </c>
      <c r="C342" s="102" t="s">
        <v>1415</v>
      </c>
      <c r="D342" s="70">
        <v>30000</v>
      </c>
      <c r="E342" s="102" t="s">
        <v>48</v>
      </c>
      <c r="F342" s="102" t="s">
        <v>48</v>
      </c>
      <c r="G342" s="102" t="s">
        <v>48</v>
      </c>
      <c r="H342" s="102" t="s">
        <v>48</v>
      </c>
      <c r="I342" s="102" t="s">
        <v>48</v>
      </c>
      <c r="J342" s="102" t="s">
        <v>48</v>
      </c>
      <c r="K342" s="103" t="s">
        <v>48</v>
      </c>
      <c r="L342" s="103" t="s">
        <v>48</v>
      </c>
      <c r="M342" s="103" t="s">
        <v>48</v>
      </c>
      <c r="N342" s="103" t="s">
        <v>48</v>
      </c>
      <c r="O342" s="103" t="s">
        <v>48</v>
      </c>
      <c r="P342" s="103" t="s">
        <v>48</v>
      </c>
      <c r="Q342" s="102" t="s">
        <v>1607</v>
      </c>
      <c r="R342" s="102" t="s">
        <v>1610</v>
      </c>
      <c r="S342" s="102" t="s">
        <v>1606</v>
      </c>
      <c r="T342" s="102" t="s">
        <v>48</v>
      </c>
      <c r="U342" s="102" t="s">
        <v>1605</v>
      </c>
      <c r="V342" s="102" t="s">
        <v>1789</v>
      </c>
      <c r="W342" s="102" t="s">
        <v>1789</v>
      </c>
      <c r="X342" s="102" t="s">
        <v>1791</v>
      </c>
      <c r="Y342" s="102" t="s">
        <v>1708</v>
      </c>
      <c r="Z342" s="102" t="s">
        <v>1708</v>
      </c>
      <c r="AA342" s="102" t="s">
        <v>1792</v>
      </c>
      <c r="AB342" s="102" t="s">
        <v>595</v>
      </c>
      <c r="AC342" s="102" t="s">
        <v>1687</v>
      </c>
      <c r="AD342" s="102" t="s">
        <v>1773</v>
      </c>
      <c r="AE342" s="102" t="s">
        <v>49</v>
      </c>
      <c r="AF342" s="102" t="s">
        <v>1700</v>
      </c>
    </row>
    <row r="343" spans="1:32" ht="75" hidden="1" customHeight="1">
      <c r="A343" s="102" t="s">
        <v>1578</v>
      </c>
      <c r="B343" s="103" t="s">
        <v>1581</v>
      </c>
      <c r="C343" s="102" t="s">
        <v>1587</v>
      </c>
      <c r="D343" s="70">
        <v>15000</v>
      </c>
      <c r="E343" s="102" t="s">
        <v>48</v>
      </c>
      <c r="F343" s="102" t="s">
        <v>48</v>
      </c>
      <c r="G343" s="102" t="s">
        <v>48</v>
      </c>
      <c r="H343" s="102" t="s">
        <v>48</v>
      </c>
      <c r="I343" s="102" t="s">
        <v>48</v>
      </c>
      <c r="J343" s="102" t="s">
        <v>48</v>
      </c>
      <c r="K343" s="103" t="s">
        <v>48</v>
      </c>
      <c r="L343" s="103" t="s">
        <v>48</v>
      </c>
      <c r="M343" s="103" t="s">
        <v>48</v>
      </c>
      <c r="N343" s="103" t="s">
        <v>48</v>
      </c>
      <c r="O343" s="103" t="s">
        <v>48</v>
      </c>
      <c r="P343" s="103" t="s">
        <v>48</v>
      </c>
      <c r="Q343" s="102" t="s">
        <v>48</v>
      </c>
      <c r="R343" s="102" t="s">
        <v>48</v>
      </c>
      <c r="S343" s="102" t="s">
        <v>48</v>
      </c>
      <c r="T343" s="102" t="s">
        <v>48</v>
      </c>
      <c r="U343" s="102" t="s">
        <v>48</v>
      </c>
      <c r="V343" s="102" t="s">
        <v>1587</v>
      </c>
      <c r="W343" s="102" t="s">
        <v>1587</v>
      </c>
      <c r="X343" s="102" t="s">
        <v>48</v>
      </c>
      <c r="Y343" s="102" t="s">
        <v>48</v>
      </c>
      <c r="Z343" s="102" t="s">
        <v>48</v>
      </c>
      <c r="AA343" s="102" t="s">
        <v>48</v>
      </c>
      <c r="AB343" s="102" t="s">
        <v>48</v>
      </c>
      <c r="AC343" s="102" t="s">
        <v>1589</v>
      </c>
      <c r="AD343" s="102" t="s">
        <v>48</v>
      </c>
      <c r="AE343" s="102" t="s">
        <v>82</v>
      </c>
      <c r="AF343" s="102" t="s">
        <v>1612</v>
      </c>
    </row>
    <row r="344" spans="1:32" ht="75" hidden="1" customHeight="1">
      <c r="A344" s="102" t="s">
        <v>41</v>
      </c>
      <c r="B344" s="103" t="s">
        <v>931</v>
      </c>
      <c r="C344" s="102" t="s">
        <v>1588</v>
      </c>
      <c r="D344" s="70">
        <v>15000</v>
      </c>
      <c r="E344" s="102" t="s">
        <v>48</v>
      </c>
      <c r="F344" s="102" t="s">
        <v>48</v>
      </c>
      <c r="G344" s="102" t="s">
        <v>48</v>
      </c>
      <c r="H344" s="102" t="s">
        <v>48</v>
      </c>
      <c r="I344" s="102" t="s">
        <v>48</v>
      </c>
      <c r="J344" s="102" t="s">
        <v>48</v>
      </c>
      <c r="K344" s="103" t="s">
        <v>48</v>
      </c>
      <c r="L344" s="103" t="s">
        <v>48</v>
      </c>
      <c r="M344" s="103" t="s">
        <v>48</v>
      </c>
      <c r="N344" s="103" t="s">
        <v>48</v>
      </c>
      <c r="O344" s="103" t="s">
        <v>48</v>
      </c>
      <c r="P344" s="103" t="s">
        <v>48</v>
      </c>
      <c r="Q344" s="102" t="s">
        <v>48</v>
      </c>
      <c r="R344" s="102" t="s">
        <v>48</v>
      </c>
      <c r="S344" s="102" t="s">
        <v>48</v>
      </c>
      <c r="T344" s="102" t="s">
        <v>48</v>
      </c>
      <c r="U344" s="102" t="s">
        <v>48</v>
      </c>
      <c r="V344" s="102" t="s">
        <v>1694</v>
      </c>
      <c r="W344" s="102" t="s">
        <v>1694</v>
      </c>
      <c r="X344" s="102" t="s">
        <v>1861</v>
      </c>
      <c r="Y344" s="102" t="s">
        <v>1708</v>
      </c>
      <c r="Z344" s="102" t="s">
        <v>1708</v>
      </c>
      <c r="AA344" s="102" t="s">
        <v>1862</v>
      </c>
      <c r="AB344" s="102" t="s">
        <v>595</v>
      </c>
      <c r="AC344" s="102" t="s">
        <v>1687</v>
      </c>
      <c r="AD344" s="102" t="s">
        <v>1863</v>
      </c>
      <c r="AE344" s="102" t="s">
        <v>82</v>
      </c>
      <c r="AF344" s="102" t="s">
        <v>932</v>
      </c>
    </row>
    <row r="345" spans="1:32" ht="51" hidden="1" customHeight="1">
      <c r="A345" s="102" t="s">
        <v>1118</v>
      </c>
      <c r="B345" s="118" t="s">
        <v>949</v>
      </c>
      <c r="C345" s="102" t="s">
        <v>1582</v>
      </c>
      <c r="D345" s="70">
        <v>15000</v>
      </c>
      <c r="E345" s="102" t="s">
        <v>48</v>
      </c>
      <c r="F345" s="102" t="s">
        <v>48</v>
      </c>
      <c r="G345" s="102" t="s">
        <v>48</v>
      </c>
      <c r="H345" s="102" t="s">
        <v>48</v>
      </c>
      <c r="I345" s="102" t="s">
        <v>48</v>
      </c>
      <c r="J345" s="102" t="s">
        <v>48</v>
      </c>
      <c r="K345" s="103" t="s">
        <v>48</v>
      </c>
      <c r="L345" s="103" t="s">
        <v>48</v>
      </c>
      <c r="M345" s="103" t="s">
        <v>48</v>
      </c>
      <c r="N345" s="103" t="s">
        <v>48</v>
      </c>
      <c r="O345" s="103" t="s">
        <v>48</v>
      </c>
      <c r="P345" s="103" t="s">
        <v>48</v>
      </c>
      <c r="Q345" s="102" t="s">
        <v>48</v>
      </c>
      <c r="R345" s="102" t="s">
        <v>48</v>
      </c>
      <c r="S345" s="102" t="s">
        <v>48</v>
      </c>
      <c r="T345" s="102" t="s">
        <v>48</v>
      </c>
      <c r="U345" s="102" t="s">
        <v>48</v>
      </c>
      <c r="V345" s="102" t="s">
        <v>1843</v>
      </c>
      <c r="W345" s="102" t="s">
        <v>1843</v>
      </c>
      <c r="X345" s="102" t="s">
        <v>1845</v>
      </c>
      <c r="Y345" s="102" t="s">
        <v>1708</v>
      </c>
      <c r="Z345" s="102" t="s">
        <v>1708</v>
      </c>
      <c r="AA345" s="102" t="s">
        <v>1846</v>
      </c>
      <c r="AB345" s="102" t="s">
        <v>595</v>
      </c>
      <c r="AC345" s="102" t="s">
        <v>1687</v>
      </c>
      <c r="AD345" s="102" t="s">
        <v>1847</v>
      </c>
      <c r="AE345" s="102" t="s">
        <v>82</v>
      </c>
      <c r="AF345" s="102" t="s">
        <v>1110</v>
      </c>
    </row>
    <row r="346" spans="1:32" ht="64.150000000000006" hidden="1" customHeight="1">
      <c r="A346" s="102" t="s">
        <v>1115</v>
      </c>
      <c r="B346" s="118" t="s">
        <v>949</v>
      </c>
      <c r="C346" s="102" t="s">
        <v>1582</v>
      </c>
      <c r="D346" s="70">
        <v>15000</v>
      </c>
      <c r="E346" s="102" t="s">
        <v>48</v>
      </c>
      <c r="F346" s="102" t="s">
        <v>48</v>
      </c>
      <c r="G346" s="102" t="s">
        <v>48</v>
      </c>
      <c r="H346" s="102" t="s">
        <v>48</v>
      </c>
      <c r="I346" s="102" t="s">
        <v>48</v>
      </c>
      <c r="J346" s="102" t="s">
        <v>48</v>
      </c>
      <c r="K346" s="103" t="s">
        <v>48</v>
      </c>
      <c r="L346" s="103" t="s">
        <v>48</v>
      </c>
      <c r="M346" s="103" t="s">
        <v>48</v>
      </c>
      <c r="N346" s="103" t="s">
        <v>48</v>
      </c>
      <c r="O346" s="103" t="s">
        <v>48</v>
      </c>
      <c r="P346" s="103" t="s">
        <v>48</v>
      </c>
      <c r="Q346" s="102" t="s">
        <v>48</v>
      </c>
      <c r="R346" s="102" t="s">
        <v>48</v>
      </c>
      <c r="S346" s="102" t="s">
        <v>48</v>
      </c>
      <c r="T346" s="102" t="s">
        <v>48</v>
      </c>
      <c r="U346" s="102" t="s">
        <v>48</v>
      </c>
      <c r="V346" s="102" t="s">
        <v>1843</v>
      </c>
      <c r="W346" s="102" t="s">
        <v>1843</v>
      </c>
      <c r="X346" s="102" t="s">
        <v>1845</v>
      </c>
      <c r="Y346" s="102" t="s">
        <v>1708</v>
      </c>
      <c r="Z346" s="102" t="s">
        <v>1708</v>
      </c>
      <c r="AA346" s="102" t="s">
        <v>1846</v>
      </c>
      <c r="AB346" s="102" t="s">
        <v>595</v>
      </c>
      <c r="AC346" s="102" t="s">
        <v>1687</v>
      </c>
      <c r="AD346" s="102" t="s">
        <v>1847</v>
      </c>
      <c r="AE346" s="102" t="s">
        <v>82</v>
      </c>
      <c r="AF346" s="102" t="s">
        <v>1110</v>
      </c>
    </row>
    <row r="347" spans="1:32" ht="64.150000000000006" hidden="1" customHeight="1">
      <c r="A347" s="102" t="s">
        <v>1583</v>
      </c>
      <c r="B347" s="118" t="s">
        <v>1595</v>
      </c>
      <c r="C347" s="102" t="s">
        <v>1130</v>
      </c>
      <c r="D347" s="70">
        <v>15000</v>
      </c>
      <c r="E347" s="102" t="s">
        <v>48</v>
      </c>
      <c r="F347" s="102" t="s">
        <v>48</v>
      </c>
      <c r="G347" s="102" t="s">
        <v>48</v>
      </c>
      <c r="H347" s="102" t="s">
        <v>48</v>
      </c>
      <c r="I347" s="102" t="s">
        <v>48</v>
      </c>
      <c r="J347" s="102" t="s">
        <v>48</v>
      </c>
      <c r="K347" s="103" t="s">
        <v>48</v>
      </c>
      <c r="L347" s="103" t="s">
        <v>48</v>
      </c>
      <c r="M347" s="103" t="s">
        <v>48</v>
      </c>
      <c r="N347" s="103" t="s">
        <v>48</v>
      </c>
      <c r="O347" s="103" t="s">
        <v>48</v>
      </c>
      <c r="P347" s="103" t="s">
        <v>48</v>
      </c>
      <c r="Q347" s="102" t="s">
        <v>48</v>
      </c>
      <c r="R347" s="102" t="s">
        <v>48</v>
      </c>
      <c r="S347" s="102" t="s">
        <v>48</v>
      </c>
      <c r="T347" s="102" t="s">
        <v>48</v>
      </c>
      <c r="U347" s="102" t="s">
        <v>48</v>
      </c>
      <c r="V347" s="102" t="s">
        <v>1117</v>
      </c>
      <c r="W347" s="102" t="s">
        <v>1117</v>
      </c>
      <c r="X347" s="102" t="s">
        <v>1597</v>
      </c>
      <c r="Y347" s="102" t="s">
        <v>48</v>
      </c>
      <c r="Z347" s="102" t="s">
        <v>48</v>
      </c>
      <c r="AA347" s="102" t="s">
        <v>48</v>
      </c>
      <c r="AB347" s="102" t="s">
        <v>48</v>
      </c>
      <c r="AC347" s="102" t="s">
        <v>1119</v>
      </c>
      <c r="AD347" s="102" t="s">
        <v>1244</v>
      </c>
      <c r="AE347" s="102" t="s">
        <v>82</v>
      </c>
      <c r="AF347" s="102" t="s">
        <v>876</v>
      </c>
    </row>
    <row r="348" spans="1:32" ht="64.150000000000006" hidden="1" customHeight="1">
      <c r="A348" s="102" t="s">
        <v>1583</v>
      </c>
      <c r="B348" s="118" t="s">
        <v>1595</v>
      </c>
      <c r="C348" s="102" t="s">
        <v>904</v>
      </c>
      <c r="D348" s="70">
        <v>15000</v>
      </c>
      <c r="E348" s="102" t="s">
        <v>48</v>
      </c>
      <c r="F348" s="102" t="s">
        <v>48</v>
      </c>
      <c r="G348" s="102" t="s">
        <v>48</v>
      </c>
      <c r="H348" s="102" t="s">
        <v>48</v>
      </c>
      <c r="I348" s="102" t="s">
        <v>48</v>
      </c>
      <c r="J348" s="102" t="s">
        <v>48</v>
      </c>
      <c r="K348" s="103" t="s">
        <v>48</v>
      </c>
      <c r="L348" s="103" t="s">
        <v>48</v>
      </c>
      <c r="M348" s="103" t="s">
        <v>48</v>
      </c>
      <c r="N348" s="103" t="s">
        <v>48</v>
      </c>
      <c r="O348" s="103" t="s">
        <v>48</v>
      </c>
      <c r="P348" s="103" t="s">
        <v>48</v>
      </c>
      <c r="Q348" s="102" t="s">
        <v>48</v>
      </c>
      <c r="R348" s="102" t="s">
        <v>48</v>
      </c>
      <c r="S348" s="102" t="s">
        <v>48</v>
      </c>
      <c r="T348" s="102" t="s">
        <v>48</v>
      </c>
      <c r="U348" s="102" t="s">
        <v>48</v>
      </c>
      <c r="V348" s="102" t="s">
        <v>1117</v>
      </c>
      <c r="W348" s="102" t="s">
        <v>1117</v>
      </c>
      <c r="X348" s="102" t="s">
        <v>1597</v>
      </c>
      <c r="Y348" s="102" t="s">
        <v>48</v>
      </c>
      <c r="Z348" s="102" t="s">
        <v>48</v>
      </c>
      <c r="AA348" s="102" t="s">
        <v>48</v>
      </c>
      <c r="AB348" s="102" t="s">
        <v>48</v>
      </c>
      <c r="AC348" s="102" t="s">
        <v>1119</v>
      </c>
      <c r="AD348" s="102" t="s">
        <v>1244</v>
      </c>
      <c r="AE348" s="102" t="s">
        <v>82</v>
      </c>
      <c r="AF348" s="102" t="s">
        <v>876</v>
      </c>
    </row>
    <row r="349" spans="1:32" ht="64.150000000000006" hidden="1" customHeight="1">
      <c r="A349" s="102" t="s">
        <v>1583</v>
      </c>
      <c r="B349" s="118" t="s">
        <v>1596</v>
      </c>
      <c r="C349" s="102" t="s">
        <v>786</v>
      </c>
      <c r="D349" s="70">
        <v>15000</v>
      </c>
      <c r="E349" s="102" t="s">
        <v>48</v>
      </c>
      <c r="F349" s="102" t="s">
        <v>48</v>
      </c>
      <c r="G349" s="102" t="s">
        <v>48</v>
      </c>
      <c r="H349" s="102" t="s">
        <v>48</v>
      </c>
      <c r="I349" s="102" t="s">
        <v>48</v>
      </c>
      <c r="J349" s="102" t="s">
        <v>48</v>
      </c>
      <c r="K349" s="103" t="s">
        <v>48</v>
      </c>
      <c r="L349" s="103" t="s">
        <v>48</v>
      </c>
      <c r="M349" s="103" t="s">
        <v>48</v>
      </c>
      <c r="N349" s="103" t="s">
        <v>48</v>
      </c>
      <c r="O349" s="103" t="s">
        <v>48</v>
      </c>
      <c r="P349" s="103" t="s">
        <v>48</v>
      </c>
      <c r="Q349" s="102" t="s">
        <v>48</v>
      </c>
      <c r="R349" s="102" t="s">
        <v>48</v>
      </c>
      <c r="S349" s="102" t="s">
        <v>48</v>
      </c>
      <c r="T349" s="102" t="s">
        <v>48</v>
      </c>
      <c r="U349" s="102" t="s">
        <v>48</v>
      </c>
      <c r="V349" s="102" t="s">
        <v>1834</v>
      </c>
      <c r="W349" s="102" t="s">
        <v>1834</v>
      </c>
      <c r="X349" s="102" t="s">
        <v>1839</v>
      </c>
      <c r="Y349" s="102" t="s">
        <v>1708</v>
      </c>
      <c r="Z349" s="102" t="s">
        <v>1708</v>
      </c>
      <c r="AA349" s="102" t="s">
        <v>1840</v>
      </c>
      <c r="AB349" s="102" t="s">
        <v>595</v>
      </c>
      <c r="AC349" s="102" t="s">
        <v>1687</v>
      </c>
      <c r="AD349" s="109" t="s">
        <v>1893</v>
      </c>
      <c r="AE349" s="102" t="s">
        <v>82</v>
      </c>
      <c r="AF349" s="102" t="s">
        <v>1836</v>
      </c>
    </row>
    <row r="350" spans="1:32" ht="64.150000000000006" hidden="1" customHeight="1">
      <c r="A350" s="102" t="s">
        <v>1583</v>
      </c>
      <c r="B350" s="118" t="s">
        <v>1596</v>
      </c>
      <c r="C350" s="102" t="s">
        <v>871</v>
      </c>
      <c r="D350" s="70">
        <v>15000</v>
      </c>
      <c r="E350" s="102" t="s">
        <v>48</v>
      </c>
      <c r="F350" s="102" t="s">
        <v>48</v>
      </c>
      <c r="G350" s="102" t="s">
        <v>48</v>
      </c>
      <c r="H350" s="102" t="s">
        <v>48</v>
      </c>
      <c r="I350" s="102" t="s">
        <v>48</v>
      </c>
      <c r="J350" s="102" t="s">
        <v>48</v>
      </c>
      <c r="K350" s="103" t="s">
        <v>48</v>
      </c>
      <c r="L350" s="103" t="s">
        <v>48</v>
      </c>
      <c r="M350" s="103" t="s">
        <v>48</v>
      </c>
      <c r="N350" s="103" t="s">
        <v>48</v>
      </c>
      <c r="O350" s="103" t="s">
        <v>48</v>
      </c>
      <c r="P350" s="103" t="s">
        <v>48</v>
      </c>
      <c r="Q350" s="102" t="s">
        <v>48</v>
      </c>
      <c r="R350" s="102" t="s">
        <v>48</v>
      </c>
      <c r="S350" s="102" t="s">
        <v>48</v>
      </c>
      <c r="T350" s="102" t="s">
        <v>48</v>
      </c>
      <c r="U350" s="102" t="s">
        <v>48</v>
      </c>
      <c r="V350" s="102" t="s">
        <v>1834</v>
      </c>
      <c r="W350" s="102" t="s">
        <v>1834</v>
      </c>
      <c r="X350" s="102" t="s">
        <v>1839</v>
      </c>
      <c r="Y350" s="102" t="s">
        <v>1708</v>
      </c>
      <c r="Z350" s="102" t="s">
        <v>1708</v>
      </c>
      <c r="AA350" s="102" t="s">
        <v>1840</v>
      </c>
      <c r="AB350" s="102" t="s">
        <v>595</v>
      </c>
      <c r="AC350" s="102" t="s">
        <v>1687</v>
      </c>
      <c r="AD350" s="109" t="s">
        <v>1893</v>
      </c>
      <c r="AE350" s="102" t="s">
        <v>82</v>
      </c>
      <c r="AF350" s="102" t="s">
        <v>1836</v>
      </c>
    </row>
    <row r="351" spans="1:32" ht="64.150000000000006" hidden="1" customHeight="1">
      <c r="A351" s="102" t="s">
        <v>1583</v>
      </c>
      <c r="B351" s="118" t="s">
        <v>1596</v>
      </c>
      <c r="C351" s="102" t="s">
        <v>1117</v>
      </c>
      <c r="D351" s="70">
        <v>15000</v>
      </c>
      <c r="E351" s="102" t="s">
        <v>48</v>
      </c>
      <c r="F351" s="102" t="s">
        <v>48</v>
      </c>
      <c r="G351" s="102" t="s">
        <v>48</v>
      </c>
      <c r="H351" s="102" t="s">
        <v>48</v>
      </c>
      <c r="I351" s="102" t="s">
        <v>48</v>
      </c>
      <c r="J351" s="102" t="s">
        <v>48</v>
      </c>
      <c r="K351" s="103" t="s">
        <v>48</v>
      </c>
      <c r="L351" s="103" t="s">
        <v>48</v>
      </c>
      <c r="M351" s="103" t="s">
        <v>48</v>
      </c>
      <c r="N351" s="103" t="s">
        <v>48</v>
      </c>
      <c r="O351" s="103" t="s">
        <v>48</v>
      </c>
      <c r="P351" s="103" t="s">
        <v>48</v>
      </c>
      <c r="Q351" s="102" t="s">
        <v>48</v>
      </c>
      <c r="R351" s="102" t="s">
        <v>48</v>
      </c>
      <c r="S351" s="102" t="s">
        <v>48</v>
      </c>
      <c r="T351" s="102" t="s">
        <v>48</v>
      </c>
      <c r="U351" s="102" t="s">
        <v>48</v>
      </c>
      <c r="V351" s="102" t="s">
        <v>1834</v>
      </c>
      <c r="W351" s="102" t="s">
        <v>1834</v>
      </c>
      <c r="X351" s="102" t="s">
        <v>1839</v>
      </c>
      <c r="Y351" s="102" t="s">
        <v>1708</v>
      </c>
      <c r="Z351" s="102" t="s">
        <v>1708</v>
      </c>
      <c r="AA351" s="102" t="s">
        <v>1840</v>
      </c>
      <c r="AB351" s="102" t="s">
        <v>595</v>
      </c>
      <c r="AC351" s="102" t="s">
        <v>1687</v>
      </c>
      <c r="AD351" s="109" t="s">
        <v>1893</v>
      </c>
      <c r="AE351" s="102" t="s">
        <v>82</v>
      </c>
      <c r="AF351" s="102" t="s">
        <v>1836</v>
      </c>
    </row>
    <row r="352" spans="1:32" ht="64.150000000000006" hidden="1" customHeight="1">
      <c r="A352" s="102" t="s">
        <v>1583</v>
      </c>
      <c r="B352" s="118" t="s">
        <v>949</v>
      </c>
      <c r="C352" s="102" t="s">
        <v>948</v>
      </c>
      <c r="D352" s="70">
        <v>15000</v>
      </c>
      <c r="E352" s="102" t="s">
        <v>48</v>
      </c>
      <c r="F352" s="102" t="s">
        <v>48</v>
      </c>
      <c r="G352" s="102" t="s">
        <v>48</v>
      </c>
      <c r="H352" s="102" t="s">
        <v>48</v>
      </c>
      <c r="I352" s="102" t="s">
        <v>48</v>
      </c>
      <c r="J352" s="102" t="s">
        <v>48</v>
      </c>
      <c r="K352" s="103" t="s">
        <v>48</v>
      </c>
      <c r="L352" s="103" t="s">
        <v>48</v>
      </c>
      <c r="M352" s="103" t="s">
        <v>48</v>
      </c>
      <c r="N352" s="103" t="s">
        <v>48</v>
      </c>
      <c r="O352" s="103" t="s">
        <v>48</v>
      </c>
      <c r="P352" s="103" t="s">
        <v>48</v>
      </c>
      <c r="Q352" s="102" t="s">
        <v>48</v>
      </c>
      <c r="R352" s="102" t="s">
        <v>48</v>
      </c>
      <c r="S352" s="102" t="s">
        <v>48</v>
      </c>
      <c r="T352" s="102" t="s">
        <v>48</v>
      </c>
      <c r="U352" s="102" t="s">
        <v>48</v>
      </c>
      <c r="V352" s="102" t="s">
        <v>1843</v>
      </c>
      <c r="W352" s="102" t="s">
        <v>1843</v>
      </c>
      <c r="X352" s="102" t="s">
        <v>1848</v>
      </c>
      <c r="Y352" s="102" t="s">
        <v>1708</v>
      </c>
      <c r="Z352" s="102" t="s">
        <v>1708</v>
      </c>
      <c r="AA352" s="102" t="s">
        <v>1849</v>
      </c>
      <c r="AB352" s="102" t="s">
        <v>595</v>
      </c>
      <c r="AC352" s="102" t="s">
        <v>1687</v>
      </c>
      <c r="AD352" s="102" t="s">
        <v>1847</v>
      </c>
      <c r="AE352" s="102" t="s">
        <v>82</v>
      </c>
      <c r="AF352" s="102" t="s">
        <v>1110</v>
      </c>
    </row>
    <row r="353" spans="1:32" ht="64.150000000000006" hidden="1" customHeight="1">
      <c r="A353" s="102" t="s">
        <v>1583</v>
      </c>
      <c r="B353" s="118" t="s">
        <v>949</v>
      </c>
      <c r="C353" s="102" t="s">
        <v>1108</v>
      </c>
      <c r="D353" s="70">
        <v>15000</v>
      </c>
      <c r="E353" s="102" t="s">
        <v>48</v>
      </c>
      <c r="F353" s="102" t="s">
        <v>48</v>
      </c>
      <c r="G353" s="102" t="s">
        <v>48</v>
      </c>
      <c r="H353" s="102" t="s">
        <v>48</v>
      </c>
      <c r="I353" s="102" t="s">
        <v>48</v>
      </c>
      <c r="J353" s="102" t="s">
        <v>48</v>
      </c>
      <c r="K353" s="103" t="s">
        <v>48</v>
      </c>
      <c r="L353" s="103" t="s">
        <v>48</v>
      </c>
      <c r="M353" s="103" t="s">
        <v>48</v>
      </c>
      <c r="N353" s="103" t="s">
        <v>48</v>
      </c>
      <c r="O353" s="103" t="s">
        <v>48</v>
      </c>
      <c r="P353" s="103" t="s">
        <v>48</v>
      </c>
      <c r="Q353" s="102" t="s">
        <v>48</v>
      </c>
      <c r="R353" s="102" t="s">
        <v>48</v>
      </c>
      <c r="S353" s="102" t="s">
        <v>48</v>
      </c>
      <c r="T353" s="102" t="s">
        <v>48</v>
      </c>
      <c r="U353" s="102" t="s">
        <v>48</v>
      </c>
      <c r="V353" s="102" t="s">
        <v>1843</v>
      </c>
      <c r="W353" s="102" t="s">
        <v>1843</v>
      </c>
      <c r="X353" s="102" t="s">
        <v>1848</v>
      </c>
      <c r="Y353" s="102" t="s">
        <v>1708</v>
      </c>
      <c r="Z353" s="102" t="s">
        <v>1708</v>
      </c>
      <c r="AA353" s="102" t="s">
        <v>1849</v>
      </c>
      <c r="AB353" s="102" t="s">
        <v>595</v>
      </c>
      <c r="AC353" s="102" t="s">
        <v>1687</v>
      </c>
      <c r="AD353" s="102" t="s">
        <v>1847</v>
      </c>
      <c r="AE353" s="102" t="s">
        <v>82</v>
      </c>
      <c r="AF353" s="102" t="s">
        <v>1110</v>
      </c>
    </row>
    <row r="354" spans="1:32" ht="64.150000000000006" hidden="1" customHeight="1">
      <c r="A354" s="102" t="s">
        <v>1583</v>
      </c>
      <c r="B354" s="118" t="s">
        <v>949</v>
      </c>
      <c r="C354" s="102" t="s">
        <v>1377</v>
      </c>
      <c r="D354" s="70">
        <v>15000</v>
      </c>
      <c r="E354" s="102" t="s">
        <v>48</v>
      </c>
      <c r="F354" s="102" t="s">
        <v>48</v>
      </c>
      <c r="G354" s="102" t="s">
        <v>48</v>
      </c>
      <c r="H354" s="102" t="s">
        <v>48</v>
      </c>
      <c r="I354" s="102" t="s">
        <v>48</v>
      </c>
      <c r="J354" s="102" t="s">
        <v>48</v>
      </c>
      <c r="K354" s="103" t="s">
        <v>48</v>
      </c>
      <c r="L354" s="103" t="s">
        <v>48</v>
      </c>
      <c r="M354" s="103" t="s">
        <v>48</v>
      </c>
      <c r="N354" s="103" t="s">
        <v>48</v>
      </c>
      <c r="O354" s="103" t="s">
        <v>48</v>
      </c>
      <c r="P354" s="103" t="s">
        <v>48</v>
      </c>
      <c r="Q354" s="102" t="s">
        <v>48</v>
      </c>
      <c r="R354" s="102" t="s">
        <v>48</v>
      </c>
      <c r="S354" s="102" t="s">
        <v>48</v>
      </c>
      <c r="T354" s="102" t="s">
        <v>48</v>
      </c>
      <c r="U354" s="102" t="s">
        <v>48</v>
      </c>
      <c r="V354" s="102" t="s">
        <v>1843</v>
      </c>
      <c r="W354" s="102" t="s">
        <v>1843</v>
      </c>
      <c r="X354" s="102" t="s">
        <v>1848</v>
      </c>
      <c r="Y354" s="102" t="s">
        <v>1708</v>
      </c>
      <c r="Z354" s="102" t="s">
        <v>1708</v>
      </c>
      <c r="AA354" s="102" t="s">
        <v>1849</v>
      </c>
      <c r="AB354" s="102" t="s">
        <v>595</v>
      </c>
      <c r="AC354" s="102" t="s">
        <v>1687</v>
      </c>
      <c r="AD354" s="102" t="s">
        <v>1847</v>
      </c>
      <c r="AE354" s="102" t="s">
        <v>82</v>
      </c>
      <c r="AF354" s="102" t="s">
        <v>1110</v>
      </c>
    </row>
    <row r="355" spans="1:32" ht="56.5" hidden="1" customHeight="1">
      <c r="A355" s="102" t="s">
        <v>1583</v>
      </c>
      <c r="B355" s="118" t="s">
        <v>949</v>
      </c>
      <c r="C355" s="102" t="s">
        <v>1582</v>
      </c>
      <c r="D355" s="70">
        <v>15000</v>
      </c>
      <c r="E355" s="102" t="s">
        <v>48</v>
      </c>
      <c r="F355" s="102" t="s">
        <v>48</v>
      </c>
      <c r="G355" s="102" t="s">
        <v>48</v>
      </c>
      <c r="H355" s="102" t="s">
        <v>48</v>
      </c>
      <c r="I355" s="102" t="s">
        <v>48</v>
      </c>
      <c r="J355" s="102" t="s">
        <v>48</v>
      </c>
      <c r="K355" s="103" t="s">
        <v>48</v>
      </c>
      <c r="L355" s="103" t="s">
        <v>48</v>
      </c>
      <c r="M355" s="103" t="s">
        <v>48</v>
      </c>
      <c r="N355" s="103" t="s">
        <v>48</v>
      </c>
      <c r="O355" s="103" t="s">
        <v>48</v>
      </c>
      <c r="P355" s="103" t="s">
        <v>48</v>
      </c>
      <c r="Q355" s="102" t="s">
        <v>48</v>
      </c>
      <c r="R355" s="102" t="s">
        <v>48</v>
      </c>
      <c r="S355" s="102" t="s">
        <v>48</v>
      </c>
      <c r="T355" s="102" t="s">
        <v>48</v>
      </c>
      <c r="U355" s="102" t="s">
        <v>48</v>
      </c>
      <c r="V355" s="102" t="s">
        <v>1843</v>
      </c>
      <c r="W355" s="102" t="s">
        <v>1843</v>
      </c>
      <c r="X355" s="102" t="s">
        <v>1848</v>
      </c>
      <c r="Y355" s="102" t="s">
        <v>1708</v>
      </c>
      <c r="Z355" s="102" t="s">
        <v>1708</v>
      </c>
      <c r="AA355" s="102" t="s">
        <v>1849</v>
      </c>
      <c r="AB355" s="102" t="s">
        <v>595</v>
      </c>
      <c r="AC355" s="102" t="s">
        <v>1687</v>
      </c>
      <c r="AD355" s="102" t="s">
        <v>1847</v>
      </c>
      <c r="AE355" s="102" t="s">
        <v>82</v>
      </c>
      <c r="AF355" s="102" t="s">
        <v>1110</v>
      </c>
    </row>
    <row r="356" spans="1:32" ht="56.5" hidden="1" customHeight="1">
      <c r="A356" s="102" t="s">
        <v>1584</v>
      </c>
      <c r="B356" s="118" t="s">
        <v>1595</v>
      </c>
      <c r="C356" s="102" t="s">
        <v>1130</v>
      </c>
      <c r="D356" s="70">
        <v>15000</v>
      </c>
      <c r="E356" s="102" t="s">
        <v>48</v>
      </c>
      <c r="F356" s="102" t="s">
        <v>48</v>
      </c>
      <c r="G356" s="102" t="s">
        <v>48</v>
      </c>
      <c r="H356" s="102" t="s">
        <v>48</v>
      </c>
      <c r="I356" s="102" t="s">
        <v>48</v>
      </c>
      <c r="J356" s="102" t="s">
        <v>48</v>
      </c>
      <c r="K356" s="103" t="s">
        <v>48</v>
      </c>
      <c r="L356" s="103" t="s">
        <v>48</v>
      </c>
      <c r="M356" s="103" t="s">
        <v>48</v>
      </c>
      <c r="N356" s="103" t="s">
        <v>48</v>
      </c>
      <c r="O356" s="103" t="s">
        <v>48</v>
      </c>
      <c r="P356" s="103" t="s">
        <v>48</v>
      </c>
      <c r="Q356" s="102" t="s">
        <v>48</v>
      </c>
      <c r="R356" s="102" t="s">
        <v>48</v>
      </c>
      <c r="S356" s="102" t="s">
        <v>48</v>
      </c>
      <c r="T356" s="102" t="s">
        <v>48</v>
      </c>
      <c r="U356" s="102" t="s">
        <v>48</v>
      </c>
      <c r="V356" s="102" t="s">
        <v>1117</v>
      </c>
      <c r="W356" s="102" t="s">
        <v>1117</v>
      </c>
      <c r="X356" s="102" t="s">
        <v>1196</v>
      </c>
      <c r="Y356" s="102" t="s">
        <v>48</v>
      </c>
      <c r="Z356" s="102" t="s">
        <v>48</v>
      </c>
      <c r="AA356" s="102" t="s">
        <v>48</v>
      </c>
      <c r="AB356" s="102" t="s">
        <v>1181</v>
      </c>
      <c r="AC356" s="102" t="s">
        <v>1119</v>
      </c>
      <c r="AD356" s="102" t="s">
        <v>1245</v>
      </c>
      <c r="AE356" s="102" t="s">
        <v>82</v>
      </c>
      <c r="AF356" s="102" t="s">
        <v>876</v>
      </c>
    </row>
    <row r="357" spans="1:32" ht="56.5" hidden="1" customHeight="1">
      <c r="A357" s="102" t="s">
        <v>1584</v>
      </c>
      <c r="B357" s="118" t="s">
        <v>1595</v>
      </c>
      <c r="C357" s="102" t="s">
        <v>904</v>
      </c>
      <c r="D357" s="70">
        <v>15000</v>
      </c>
      <c r="E357" s="102" t="s">
        <v>48</v>
      </c>
      <c r="F357" s="102" t="s">
        <v>48</v>
      </c>
      <c r="G357" s="102" t="s">
        <v>48</v>
      </c>
      <c r="H357" s="102" t="s">
        <v>48</v>
      </c>
      <c r="I357" s="102" t="s">
        <v>48</v>
      </c>
      <c r="J357" s="102" t="s">
        <v>48</v>
      </c>
      <c r="K357" s="103" t="s">
        <v>48</v>
      </c>
      <c r="L357" s="103" t="s">
        <v>48</v>
      </c>
      <c r="M357" s="103" t="s">
        <v>48</v>
      </c>
      <c r="N357" s="103" t="s">
        <v>48</v>
      </c>
      <c r="O357" s="103" t="s">
        <v>48</v>
      </c>
      <c r="P357" s="103" t="s">
        <v>48</v>
      </c>
      <c r="Q357" s="102" t="s">
        <v>48</v>
      </c>
      <c r="R357" s="102" t="s">
        <v>48</v>
      </c>
      <c r="S357" s="102" t="s">
        <v>48</v>
      </c>
      <c r="T357" s="102" t="s">
        <v>48</v>
      </c>
      <c r="U357" s="102" t="s">
        <v>48</v>
      </c>
      <c r="V357" s="102" t="s">
        <v>1117</v>
      </c>
      <c r="W357" s="102" t="s">
        <v>1117</v>
      </c>
      <c r="X357" s="102" t="s">
        <v>1196</v>
      </c>
      <c r="Y357" s="102" t="s">
        <v>48</v>
      </c>
      <c r="Z357" s="102" t="s">
        <v>48</v>
      </c>
      <c r="AA357" s="102" t="s">
        <v>48</v>
      </c>
      <c r="AB357" s="102" t="s">
        <v>1181</v>
      </c>
      <c r="AC357" s="102" t="s">
        <v>1119</v>
      </c>
      <c r="AD357" s="102" t="s">
        <v>1245</v>
      </c>
      <c r="AE357" s="102" t="s">
        <v>82</v>
      </c>
      <c r="AF357" s="102" t="s">
        <v>876</v>
      </c>
    </row>
    <row r="358" spans="1:32" ht="56.5" hidden="1" customHeight="1">
      <c r="A358" s="102" t="s">
        <v>1584</v>
      </c>
      <c r="B358" s="118" t="s">
        <v>1596</v>
      </c>
      <c r="C358" s="102" t="s">
        <v>786</v>
      </c>
      <c r="D358" s="70">
        <v>15000</v>
      </c>
      <c r="E358" s="102" t="s">
        <v>48</v>
      </c>
      <c r="F358" s="102" t="s">
        <v>48</v>
      </c>
      <c r="G358" s="102" t="s">
        <v>48</v>
      </c>
      <c r="H358" s="102" t="s">
        <v>48</v>
      </c>
      <c r="I358" s="102" t="s">
        <v>48</v>
      </c>
      <c r="J358" s="102" t="s">
        <v>48</v>
      </c>
      <c r="K358" s="103" t="s">
        <v>48</v>
      </c>
      <c r="L358" s="103" t="s">
        <v>48</v>
      </c>
      <c r="M358" s="103" t="s">
        <v>48</v>
      </c>
      <c r="N358" s="103" t="s">
        <v>48</v>
      </c>
      <c r="O358" s="103" t="s">
        <v>48</v>
      </c>
      <c r="P358" s="103" t="s">
        <v>48</v>
      </c>
      <c r="Q358" s="102" t="s">
        <v>48</v>
      </c>
      <c r="R358" s="102" t="s">
        <v>48</v>
      </c>
      <c r="S358" s="102" t="s">
        <v>48</v>
      </c>
      <c r="T358" s="102" t="s">
        <v>48</v>
      </c>
      <c r="U358" s="102" t="s">
        <v>48</v>
      </c>
      <c r="V358" s="102" t="s">
        <v>1834</v>
      </c>
      <c r="W358" s="102" t="s">
        <v>1834</v>
      </c>
      <c r="X358" s="102" t="s">
        <v>1839</v>
      </c>
      <c r="Y358" s="102" t="s">
        <v>1708</v>
      </c>
      <c r="Z358" s="102" t="s">
        <v>1708</v>
      </c>
      <c r="AA358" s="102" t="s">
        <v>1840</v>
      </c>
      <c r="AB358" s="102" t="s">
        <v>595</v>
      </c>
      <c r="AC358" s="102" t="s">
        <v>1687</v>
      </c>
      <c r="AD358" s="109" t="s">
        <v>1893</v>
      </c>
      <c r="AE358" s="102" t="s">
        <v>82</v>
      </c>
      <c r="AF358" s="102" t="s">
        <v>1836</v>
      </c>
    </row>
    <row r="359" spans="1:32" ht="56.5" hidden="1" customHeight="1">
      <c r="A359" s="102" t="s">
        <v>1584</v>
      </c>
      <c r="B359" s="118" t="s">
        <v>1596</v>
      </c>
      <c r="C359" s="102" t="s">
        <v>871</v>
      </c>
      <c r="D359" s="70">
        <v>15000</v>
      </c>
      <c r="E359" s="102" t="s">
        <v>48</v>
      </c>
      <c r="F359" s="102" t="s">
        <v>48</v>
      </c>
      <c r="G359" s="102" t="s">
        <v>48</v>
      </c>
      <c r="H359" s="102" t="s">
        <v>48</v>
      </c>
      <c r="I359" s="102" t="s">
        <v>48</v>
      </c>
      <c r="J359" s="102" t="s">
        <v>48</v>
      </c>
      <c r="K359" s="103" t="s">
        <v>48</v>
      </c>
      <c r="L359" s="103" t="s">
        <v>48</v>
      </c>
      <c r="M359" s="103" t="s">
        <v>48</v>
      </c>
      <c r="N359" s="103" t="s">
        <v>48</v>
      </c>
      <c r="O359" s="103" t="s">
        <v>48</v>
      </c>
      <c r="P359" s="103" t="s">
        <v>48</v>
      </c>
      <c r="Q359" s="102" t="s">
        <v>48</v>
      </c>
      <c r="R359" s="102" t="s">
        <v>48</v>
      </c>
      <c r="S359" s="102" t="s">
        <v>48</v>
      </c>
      <c r="T359" s="102" t="s">
        <v>48</v>
      </c>
      <c r="U359" s="102" t="s">
        <v>48</v>
      </c>
      <c r="V359" s="102" t="s">
        <v>1834</v>
      </c>
      <c r="W359" s="102" t="s">
        <v>1834</v>
      </c>
      <c r="X359" s="102" t="s">
        <v>1839</v>
      </c>
      <c r="Y359" s="102" t="s">
        <v>1708</v>
      </c>
      <c r="Z359" s="102" t="s">
        <v>1708</v>
      </c>
      <c r="AA359" s="102" t="s">
        <v>1840</v>
      </c>
      <c r="AB359" s="102" t="s">
        <v>595</v>
      </c>
      <c r="AC359" s="102" t="s">
        <v>1687</v>
      </c>
      <c r="AD359" s="109" t="s">
        <v>1893</v>
      </c>
      <c r="AE359" s="102" t="s">
        <v>82</v>
      </c>
      <c r="AF359" s="102" t="s">
        <v>1836</v>
      </c>
    </row>
    <row r="360" spans="1:32" ht="56.5" hidden="1" customHeight="1">
      <c r="A360" s="102" t="s">
        <v>1584</v>
      </c>
      <c r="B360" s="118" t="s">
        <v>1596</v>
      </c>
      <c r="C360" s="102" t="s">
        <v>1117</v>
      </c>
      <c r="D360" s="70">
        <v>15000</v>
      </c>
      <c r="E360" s="102" t="s">
        <v>48</v>
      </c>
      <c r="F360" s="102" t="s">
        <v>48</v>
      </c>
      <c r="G360" s="102" t="s">
        <v>48</v>
      </c>
      <c r="H360" s="102" t="s">
        <v>48</v>
      </c>
      <c r="I360" s="102" t="s">
        <v>48</v>
      </c>
      <c r="J360" s="102" t="s">
        <v>48</v>
      </c>
      <c r="K360" s="103" t="s">
        <v>48</v>
      </c>
      <c r="L360" s="103" t="s">
        <v>48</v>
      </c>
      <c r="M360" s="103" t="s">
        <v>48</v>
      </c>
      <c r="N360" s="103" t="s">
        <v>48</v>
      </c>
      <c r="O360" s="103" t="s">
        <v>48</v>
      </c>
      <c r="P360" s="103" t="s">
        <v>48</v>
      </c>
      <c r="Q360" s="102" t="s">
        <v>48</v>
      </c>
      <c r="R360" s="102" t="s">
        <v>48</v>
      </c>
      <c r="S360" s="102" t="s">
        <v>48</v>
      </c>
      <c r="T360" s="102" t="s">
        <v>48</v>
      </c>
      <c r="U360" s="102" t="s">
        <v>48</v>
      </c>
      <c r="V360" s="102" t="s">
        <v>1834</v>
      </c>
      <c r="W360" s="102" t="s">
        <v>1834</v>
      </c>
      <c r="X360" s="102" t="s">
        <v>1839</v>
      </c>
      <c r="Y360" s="102" t="s">
        <v>1708</v>
      </c>
      <c r="Z360" s="102" t="s">
        <v>1708</v>
      </c>
      <c r="AA360" s="102" t="s">
        <v>1840</v>
      </c>
      <c r="AB360" s="102" t="s">
        <v>595</v>
      </c>
      <c r="AC360" s="102" t="s">
        <v>1687</v>
      </c>
      <c r="AD360" s="109" t="s">
        <v>1893</v>
      </c>
      <c r="AE360" s="102" t="s">
        <v>82</v>
      </c>
      <c r="AF360" s="102" t="s">
        <v>1836</v>
      </c>
    </row>
    <row r="361" spans="1:32" ht="56.5" hidden="1" customHeight="1">
      <c r="A361" s="102" t="s">
        <v>1584</v>
      </c>
      <c r="B361" s="118" t="s">
        <v>949</v>
      </c>
      <c r="C361" s="102" t="s">
        <v>948</v>
      </c>
      <c r="D361" s="70">
        <v>15000</v>
      </c>
      <c r="E361" s="102" t="s">
        <v>48</v>
      </c>
      <c r="F361" s="102" t="s">
        <v>48</v>
      </c>
      <c r="G361" s="102" t="s">
        <v>48</v>
      </c>
      <c r="H361" s="102" t="s">
        <v>48</v>
      </c>
      <c r="I361" s="102" t="s">
        <v>48</v>
      </c>
      <c r="J361" s="102" t="s">
        <v>48</v>
      </c>
      <c r="K361" s="103" t="s">
        <v>48</v>
      </c>
      <c r="L361" s="103" t="s">
        <v>48</v>
      </c>
      <c r="M361" s="103" t="s">
        <v>48</v>
      </c>
      <c r="N361" s="103" t="s">
        <v>48</v>
      </c>
      <c r="O361" s="103" t="s">
        <v>48</v>
      </c>
      <c r="P361" s="103" t="s">
        <v>48</v>
      </c>
      <c r="Q361" s="102" t="s">
        <v>48</v>
      </c>
      <c r="R361" s="102" t="s">
        <v>48</v>
      </c>
      <c r="S361" s="102" t="s">
        <v>48</v>
      </c>
      <c r="T361" s="102" t="s">
        <v>48</v>
      </c>
      <c r="U361" s="102" t="s">
        <v>48</v>
      </c>
      <c r="V361" s="102" t="s">
        <v>1843</v>
      </c>
      <c r="W361" s="102" t="s">
        <v>1843</v>
      </c>
      <c r="X361" s="102" t="s">
        <v>1848</v>
      </c>
      <c r="Y361" s="102" t="s">
        <v>1708</v>
      </c>
      <c r="Z361" s="102" t="s">
        <v>1708</v>
      </c>
      <c r="AA361" s="102" t="s">
        <v>1849</v>
      </c>
      <c r="AB361" s="102" t="s">
        <v>595</v>
      </c>
      <c r="AC361" s="102" t="s">
        <v>1687</v>
      </c>
      <c r="AD361" s="102" t="s">
        <v>1847</v>
      </c>
      <c r="AE361" s="102" t="s">
        <v>82</v>
      </c>
      <c r="AF361" s="102" t="s">
        <v>1110</v>
      </c>
    </row>
    <row r="362" spans="1:32" ht="56.5" hidden="1" customHeight="1">
      <c r="A362" s="102" t="s">
        <v>1584</v>
      </c>
      <c r="B362" s="118" t="s">
        <v>949</v>
      </c>
      <c r="C362" s="102" t="s">
        <v>1108</v>
      </c>
      <c r="D362" s="70">
        <v>15000</v>
      </c>
      <c r="E362" s="102" t="s">
        <v>48</v>
      </c>
      <c r="F362" s="102" t="s">
        <v>48</v>
      </c>
      <c r="G362" s="102" t="s">
        <v>48</v>
      </c>
      <c r="H362" s="102" t="s">
        <v>48</v>
      </c>
      <c r="I362" s="102" t="s">
        <v>48</v>
      </c>
      <c r="J362" s="102" t="s">
        <v>48</v>
      </c>
      <c r="K362" s="103" t="s">
        <v>48</v>
      </c>
      <c r="L362" s="103" t="s">
        <v>48</v>
      </c>
      <c r="M362" s="103" t="s">
        <v>48</v>
      </c>
      <c r="N362" s="103" t="s">
        <v>48</v>
      </c>
      <c r="O362" s="103" t="s">
        <v>48</v>
      </c>
      <c r="P362" s="103" t="s">
        <v>48</v>
      </c>
      <c r="Q362" s="102" t="s">
        <v>48</v>
      </c>
      <c r="R362" s="102" t="s">
        <v>48</v>
      </c>
      <c r="S362" s="102" t="s">
        <v>48</v>
      </c>
      <c r="T362" s="102" t="s">
        <v>48</v>
      </c>
      <c r="U362" s="102" t="s">
        <v>48</v>
      </c>
      <c r="V362" s="102" t="s">
        <v>1843</v>
      </c>
      <c r="W362" s="102" t="s">
        <v>1843</v>
      </c>
      <c r="X362" s="102" t="s">
        <v>1848</v>
      </c>
      <c r="Y362" s="102" t="s">
        <v>1708</v>
      </c>
      <c r="Z362" s="102" t="s">
        <v>1708</v>
      </c>
      <c r="AA362" s="102" t="s">
        <v>1849</v>
      </c>
      <c r="AB362" s="102" t="s">
        <v>595</v>
      </c>
      <c r="AC362" s="102" t="s">
        <v>1687</v>
      </c>
      <c r="AD362" s="102" t="s">
        <v>1847</v>
      </c>
      <c r="AE362" s="102" t="s">
        <v>82</v>
      </c>
      <c r="AF362" s="102" t="s">
        <v>1110</v>
      </c>
    </row>
    <row r="363" spans="1:32" ht="56.5" hidden="1" customHeight="1">
      <c r="A363" s="102" t="s">
        <v>1584</v>
      </c>
      <c r="B363" s="118" t="s">
        <v>949</v>
      </c>
      <c r="C363" s="102" t="s">
        <v>1377</v>
      </c>
      <c r="D363" s="70">
        <v>15000</v>
      </c>
      <c r="E363" s="102" t="s">
        <v>48</v>
      </c>
      <c r="F363" s="102" t="s">
        <v>48</v>
      </c>
      <c r="G363" s="102" t="s">
        <v>48</v>
      </c>
      <c r="H363" s="102" t="s">
        <v>48</v>
      </c>
      <c r="I363" s="102" t="s">
        <v>48</v>
      </c>
      <c r="J363" s="102" t="s">
        <v>48</v>
      </c>
      <c r="K363" s="103" t="s">
        <v>48</v>
      </c>
      <c r="L363" s="103" t="s">
        <v>48</v>
      </c>
      <c r="M363" s="103" t="s">
        <v>48</v>
      </c>
      <c r="N363" s="103" t="s">
        <v>48</v>
      </c>
      <c r="O363" s="103" t="s">
        <v>48</v>
      </c>
      <c r="P363" s="103" t="s">
        <v>48</v>
      </c>
      <c r="Q363" s="102" t="s">
        <v>48</v>
      </c>
      <c r="R363" s="102" t="s">
        <v>48</v>
      </c>
      <c r="S363" s="102" t="s">
        <v>48</v>
      </c>
      <c r="T363" s="102" t="s">
        <v>48</v>
      </c>
      <c r="U363" s="102" t="s">
        <v>48</v>
      </c>
      <c r="V363" s="102" t="s">
        <v>1843</v>
      </c>
      <c r="W363" s="102" t="s">
        <v>1843</v>
      </c>
      <c r="X363" s="102" t="s">
        <v>1848</v>
      </c>
      <c r="Y363" s="102" t="s">
        <v>1708</v>
      </c>
      <c r="Z363" s="102" t="s">
        <v>1708</v>
      </c>
      <c r="AA363" s="102" t="s">
        <v>1849</v>
      </c>
      <c r="AB363" s="102" t="s">
        <v>595</v>
      </c>
      <c r="AC363" s="102" t="s">
        <v>1687</v>
      </c>
      <c r="AD363" s="102" t="s">
        <v>1847</v>
      </c>
      <c r="AE363" s="102" t="s">
        <v>82</v>
      </c>
      <c r="AF363" s="102" t="s">
        <v>1110</v>
      </c>
    </row>
    <row r="364" spans="1:32" ht="61.9" hidden="1" customHeight="1">
      <c r="A364" s="102" t="s">
        <v>1584</v>
      </c>
      <c r="B364" s="118" t="s">
        <v>949</v>
      </c>
      <c r="C364" s="102" t="s">
        <v>1582</v>
      </c>
      <c r="D364" s="70">
        <v>15000</v>
      </c>
      <c r="E364" s="102" t="s">
        <v>48</v>
      </c>
      <c r="F364" s="102" t="s">
        <v>48</v>
      </c>
      <c r="G364" s="102" t="s">
        <v>48</v>
      </c>
      <c r="H364" s="102" t="s">
        <v>48</v>
      </c>
      <c r="I364" s="102" t="s">
        <v>48</v>
      </c>
      <c r="J364" s="102" t="s">
        <v>48</v>
      </c>
      <c r="K364" s="103" t="s">
        <v>48</v>
      </c>
      <c r="L364" s="103" t="s">
        <v>48</v>
      </c>
      <c r="M364" s="103" t="s">
        <v>48</v>
      </c>
      <c r="N364" s="103" t="s">
        <v>48</v>
      </c>
      <c r="O364" s="103" t="s">
        <v>48</v>
      </c>
      <c r="P364" s="103" t="s">
        <v>48</v>
      </c>
      <c r="Q364" s="102" t="s">
        <v>48</v>
      </c>
      <c r="R364" s="102" t="s">
        <v>48</v>
      </c>
      <c r="S364" s="102" t="s">
        <v>48</v>
      </c>
      <c r="T364" s="102" t="s">
        <v>48</v>
      </c>
      <c r="U364" s="102" t="s">
        <v>48</v>
      </c>
      <c r="V364" s="102" t="s">
        <v>1843</v>
      </c>
      <c r="W364" s="102" t="s">
        <v>1843</v>
      </c>
      <c r="X364" s="102" t="s">
        <v>1848</v>
      </c>
      <c r="Y364" s="102" t="s">
        <v>1708</v>
      </c>
      <c r="Z364" s="102" t="s">
        <v>1708</v>
      </c>
      <c r="AA364" s="102" t="s">
        <v>1849</v>
      </c>
      <c r="AB364" s="102" t="s">
        <v>595</v>
      </c>
      <c r="AC364" s="102" t="s">
        <v>1687</v>
      </c>
      <c r="AD364" s="102" t="s">
        <v>1847</v>
      </c>
      <c r="AE364" s="102" t="s">
        <v>82</v>
      </c>
      <c r="AF364" s="102" t="s">
        <v>1110</v>
      </c>
    </row>
    <row r="365" spans="1:32" ht="75" hidden="1" customHeight="1">
      <c r="A365" s="102" t="s">
        <v>1599</v>
      </c>
      <c r="B365" s="102" t="s">
        <v>1600</v>
      </c>
      <c r="C365" s="102" t="s">
        <v>1582</v>
      </c>
      <c r="D365" s="70">
        <v>15000</v>
      </c>
      <c r="E365" s="102" t="s">
        <v>48</v>
      </c>
      <c r="F365" s="102" t="s">
        <v>48</v>
      </c>
      <c r="G365" s="102" t="s">
        <v>48</v>
      </c>
      <c r="H365" s="102" t="s">
        <v>48</v>
      </c>
      <c r="I365" s="102" t="s">
        <v>48</v>
      </c>
      <c r="J365" s="102" t="s">
        <v>48</v>
      </c>
      <c r="K365" s="103" t="s">
        <v>48</v>
      </c>
      <c r="L365" s="103" t="s">
        <v>48</v>
      </c>
      <c r="M365" s="103" t="s">
        <v>48</v>
      </c>
      <c r="N365" s="103" t="s">
        <v>48</v>
      </c>
      <c r="O365" s="103" t="s">
        <v>48</v>
      </c>
      <c r="P365" s="103" t="s">
        <v>48</v>
      </c>
      <c r="Q365" s="102" t="s">
        <v>48</v>
      </c>
      <c r="R365" s="102" t="s">
        <v>48</v>
      </c>
      <c r="S365" s="102" t="s">
        <v>48</v>
      </c>
      <c r="T365" s="102" t="s">
        <v>48</v>
      </c>
      <c r="U365" s="102" t="s">
        <v>48</v>
      </c>
      <c r="V365" s="102" t="s">
        <v>1866</v>
      </c>
      <c r="W365" s="102" t="s">
        <v>1866</v>
      </c>
      <c r="X365" s="102" t="s">
        <v>1712</v>
      </c>
      <c r="Y365" s="102" t="s">
        <v>1708</v>
      </c>
      <c r="Z365" s="102" t="s">
        <v>1708</v>
      </c>
      <c r="AA365" s="102" t="s">
        <v>1869</v>
      </c>
      <c r="AB365" s="102" t="s">
        <v>595</v>
      </c>
      <c r="AC365" s="102" t="s">
        <v>1687</v>
      </c>
      <c r="AD365" s="102" t="s">
        <v>1870</v>
      </c>
      <c r="AE365" s="102" t="s">
        <v>82</v>
      </c>
      <c r="AF365" s="102" t="s">
        <v>1868</v>
      </c>
    </row>
    <row r="366" spans="1:32" ht="75" hidden="1" customHeight="1">
      <c r="A366" s="102" t="s">
        <v>660</v>
      </c>
      <c r="B366" s="103" t="s">
        <v>971</v>
      </c>
      <c r="C366" s="102" t="s">
        <v>1613</v>
      </c>
      <c r="D366" s="70">
        <v>15000</v>
      </c>
      <c r="E366" s="102" t="s">
        <v>48</v>
      </c>
      <c r="F366" s="102" t="s">
        <v>48</v>
      </c>
      <c r="G366" s="102" t="s">
        <v>48</v>
      </c>
      <c r="H366" s="102" t="s">
        <v>48</v>
      </c>
      <c r="I366" s="102" t="s">
        <v>48</v>
      </c>
      <c r="J366" s="102" t="s">
        <v>48</v>
      </c>
      <c r="K366" s="103" t="s">
        <v>48</v>
      </c>
      <c r="L366" s="103" t="s">
        <v>48</v>
      </c>
      <c r="M366" s="103" t="s">
        <v>48</v>
      </c>
      <c r="N366" s="103" t="s">
        <v>48</v>
      </c>
      <c r="O366" s="103" t="s">
        <v>48</v>
      </c>
      <c r="P366" s="103" t="s">
        <v>48</v>
      </c>
      <c r="Q366" s="102" t="s">
        <v>48</v>
      </c>
      <c r="R366" s="102" t="s">
        <v>48</v>
      </c>
      <c r="S366" s="102" t="s">
        <v>48</v>
      </c>
      <c r="T366" s="102" t="s">
        <v>48</v>
      </c>
      <c r="U366" s="102" t="s">
        <v>48</v>
      </c>
      <c r="V366" s="102" t="s">
        <v>1726</v>
      </c>
      <c r="W366" s="102" t="s">
        <v>1726</v>
      </c>
      <c r="X366" s="102" t="s">
        <v>1712</v>
      </c>
      <c r="Y366" s="102" t="s">
        <v>1708</v>
      </c>
      <c r="Z366" s="102" t="s">
        <v>1708</v>
      </c>
      <c r="AA366" s="102" t="s">
        <v>1859</v>
      </c>
      <c r="AB366" s="102" t="s">
        <v>595</v>
      </c>
      <c r="AC366" s="102" t="s">
        <v>1687</v>
      </c>
      <c r="AD366" s="102" t="s">
        <v>1853</v>
      </c>
      <c r="AE366" s="102" t="s">
        <v>82</v>
      </c>
      <c r="AF366" s="102" t="s">
        <v>972</v>
      </c>
    </row>
    <row r="367" spans="1:32" ht="75" hidden="1" customHeight="1">
      <c r="A367" s="102" t="s">
        <v>660</v>
      </c>
      <c r="B367" s="103" t="s">
        <v>971</v>
      </c>
      <c r="C367" s="102" t="s">
        <v>1614</v>
      </c>
      <c r="D367" s="70">
        <v>15000</v>
      </c>
      <c r="E367" s="102" t="s">
        <v>48</v>
      </c>
      <c r="F367" s="102" t="s">
        <v>48</v>
      </c>
      <c r="G367" s="102" t="s">
        <v>48</v>
      </c>
      <c r="H367" s="102" t="s">
        <v>48</v>
      </c>
      <c r="I367" s="102" t="s">
        <v>48</v>
      </c>
      <c r="J367" s="102" t="s">
        <v>48</v>
      </c>
      <c r="K367" s="103" t="s">
        <v>48</v>
      </c>
      <c r="L367" s="103" t="s">
        <v>48</v>
      </c>
      <c r="M367" s="103" t="s">
        <v>48</v>
      </c>
      <c r="N367" s="103" t="s">
        <v>48</v>
      </c>
      <c r="O367" s="103" t="s">
        <v>48</v>
      </c>
      <c r="P367" s="103" t="s">
        <v>48</v>
      </c>
      <c r="Q367" s="102" t="s">
        <v>48</v>
      </c>
      <c r="R367" s="102" t="s">
        <v>48</v>
      </c>
      <c r="S367" s="102" t="s">
        <v>48</v>
      </c>
      <c r="T367" s="102" t="s">
        <v>48</v>
      </c>
      <c r="U367" s="102" t="s">
        <v>48</v>
      </c>
      <c r="V367" s="102" t="s">
        <v>1727</v>
      </c>
      <c r="W367" s="102" t="s">
        <v>1727</v>
      </c>
      <c r="X367" s="102" t="s">
        <v>1712</v>
      </c>
      <c r="Y367" s="102" t="s">
        <v>1708</v>
      </c>
      <c r="Z367" s="102" t="s">
        <v>1708</v>
      </c>
      <c r="AA367" s="102" t="s">
        <v>1856</v>
      </c>
      <c r="AB367" s="102" t="s">
        <v>595</v>
      </c>
      <c r="AC367" s="102" t="s">
        <v>1687</v>
      </c>
      <c r="AD367" s="102" t="s">
        <v>1853</v>
      </c>
      <c r="AE367" s="102" t="s">
        <v>82</v>
      </c>
      <c r="AF367" s="102" t="s">
        <v>1109</v>
      </c>
    </row>
    <row r="368" spans="1:32" ht="75" hidden="1" customHeight="1">
      <c r="A368" s="102" t="s">
        <v>233</v>
      </c>
      <c r="B368" s="102" t="s">
        <v>1619</v>
      </c>
      <c r="C368" s="102" t="s">
        <v>1618</v>
      </c>
      <c r="D368" s="70">
        <v>15000</v>
      </c>
      <c r="E368" s="102" t="s">
        <v>48</v>
      </c>
      <c r="F368" s="102" t="s">
        <v>48</v>
      </c>
      <c r="G368" s="102" t="s">
        <v>48</v>
      </c>
      <c r="H368" s="102" t="s">
        <v>48</v>
      </c>
      <c r="I368" s="102" t="s">
        <v>48</v>
      </c>
      <c r="J368" s="102" t="s">
        <v>48</v>
      </c>
      <c r="K368" s="103" t="s">
        <v>48</v>
      </c>
      <c r="L368" s="102" t="s">
        <v>48</v>
      </c>
      <c r="M368" s="103" t="s">
        <v>48</v>
      </c>
      <c r="N368" s="102" t="s">
        <v>48</v>
      </c>
      <c r="O368" s="102" t="s">
        <v>48</v>
      </c>
      <c r="P368" s="102" t="s">
        <v>48</v>
      </c>
      <c r="Q368" s="102" t="s">
        <v>48</v>
      </c>
      <c r="R368" s="102" t="s">
        <v>48</v>
      </c>
      <c r="S368" s="102" t="s">
        <v>48</v>
      </c>
      <c r="T368" s="102" t="s">
        <v>48</v>
      </c>
      <c r="U368" s="102" t="s">
        <v>48</v>
      </c>
      <c r="V368" s="102" t="s">
        <v>1698</v>
      </c>
      <c r="W368" s="102" t="s">
        <v>1698</v>
      </c>
      <c r="X368" s="102" t="s">
        <v>1786</v>
      </c>
      <c r="Y368" s="102" t="s">
        <v>1708</v>
      </c>
      <c r="Z368" s="102" t="s">
        <v>1708</v>
      </c>
      <c r="AA368" s="102" t="s">
        <v>1787</v>
      </c>
      <c r="AB368" s="102" t="s">
        <v>595</v>
      </c>
      <c r="AC368" s="102" t="s">
        <v>1687</v>
      </c>
      <c r="AD368" s="102" t="s">
        <v>48</v>
      </c>
      <c r="AE368" s="102" t="s">
        <v>82</v>
      </c>
      <c r="AF368" s="102" t="s">
        <v>1700</v>
      </c>
    </row>
    <row r="369" spans="1:32" ht="75" hidden="1" customHeight="1">
      <c r="A369" s="102" t="s">
        <v>41</v>
      </c>
      <c r="B369" s="102" t="s">
        <v>1619</v>
      </c>
      <c r="C369" s="102" t="s">
        <v>1618</v>
      </c>
      <c r="D369" s="70">
        <v>15000</v>
      </c>
      <c r="E369" s="102" t="s">
        <v>48</v>
      </c>
      <c r="F369" s="102" t="s">
        <v>48</v>
      </c>
      <c r="G369" s="102" t="s">
        <v>48</v>
      </c>
      <c r="H369" s="102" t="s">
        <v>48</v>
      </c>
      <c r="I369" s="102" t="s">
        <v>48</v>
      </c>
      <c r="J369" s="102" t="s">
        <v>48</v>
      </c>
      <c r="K369" s="103" t="s">
        <v>48</v>
      </c>
      <c r="L369" s="103" t="s">
        <v>48</v>
      </c>
      <c r="M369" s="103" t="s">
        <v>48</v>
      </c>
      <c r="N369" s="103" t="s">
        <v>48</v>
      </c>
      <c r="O369" s="103" t="s">
        <v>48</v>
      </c>
      <c r="P369" s="103" t="s">
        <v>48</v>
      </c>
      <c r="Q369" s="102" t="s">
        <v>48</v>
      </c>
      <c r="R369" s="102" t="s">
        <v>48</v>
      </c>
      <c r="S369" s="102" t="s">
        <v>48</v>
      </c>
      <c r="T369" s="102" t="s">
        <v>48</v>
      </c>
      <c r="U369" s="102" t="s">
        <v>48</v>
      </c>
      <c r="V369" s="102" t="s">
        <v>1698</v>
      </c>
      <c r="W369" s="102" t="s">
        <v>1698</v>
      </c>
      <c r="X369" s="102" t="s">
        <v>1812</v>
      </c>
      <c r="Y369" s="102" t="s">
        <v>1708</v>
      </c>
      <c r="Z369" s="102" t="s">
        <v>1708</v>
      </c>
      <c r="AA369" s="102" t="s">
        <v>1813</v>
      </c>
      <c r="AB369" s="102" t="s">
        <v>595</v>
      </c>
      <c r="AC369" s="102" t="s">
        <v>1687</v>
      </c>
      <c r="AD369" s="102" t="s">
        <v>1811</v>
      </c>
      <c r="AE369" s="102" t="s">
        <v>82</v>
      </c>
      <c r="AF369" s="102" t="s">
        <v>1700</v>
      </c>
    </row>
    <row r="370" spans="1:32" ht="75" hidden="1" customHeight="1">
      <c r="A370" s="102" t="s">
        <v>23</v>
      </c>
      <c r="B370" s="102" t="s">
        <v>1619</v>
      </c>
      <c r="C370" s="102" t="s">
        <v>1623</v>
      </c>
      <c r="D370" s="70">
        <v>15000</v>
      </c>
      <c r="E370" s="102" t="s">
        <v>48</v>
      </c>
      <c r="F370" s="102" t="s">
        <v>48</v>
      </c>
      <c r="G370" s="102" t="s">
        <v>48</v>
      </c>
      <c r="H370" s="102" t="s">
        <v>48</v>
      </c>
      <c r="I370" s="102" t="s">
        <v>48</v>
      </c>
      <c r="J370" s="102" t="s">
        <v>48</v>
      </c>
      <c r="K370" s="102" t="s">
        <v>48</v>
      </c>
      <c r="L370" s="102" t="s">
        <v>48</v>
      </c>
      <c r="M370" s="102" t="s">
        <v>48</v>
      </c>
      <c r="N370" s="102" t="s">
        <v>48</v>
      </c>
      <c r="O370" s="102" t="s">
        <v>48</v>
      </c>
      <c r="P370" s="102" t="s">
        <v>48</v>
      </c>
      <c r="Q370" s="102" t="s">
        <v>48</v>
      </c>
      <c r="R370" s="102" t="s">
        <v>48</v>
      </c>
      <c r="S370" s="102" t="s">
        <v>48</v>
      </c>
      <c r="T370" s="102" t="s">
        <v>48</v>
      </c>
      <c r="U370" s="102" t="s">
        <v>48</v>
      </c>
      <c r="V370" s="102" t="s">
        <v>1703</v>
      </c>
      <c r="W370" s="102" t="s">
        <v>1703</v>
      </c>
      <c r="X370" s="102" t="s">
        <v>1814</v>
      </c>
      <c r="Y370" s="102" t="s">
        <v>1708</v>
      </c>
      <c r="Z370" s="102" t="s">
        <v>1708</v>
      </c>
      <c r="AA370" s="102" t="s">
        <v>1815</v>
      </c>
      <c r="AB370" s="102" t="s">
        <v>595</v>
      </c>
      <c r="AC370" s="102" t="s">
        <v>1620</v>
      </c>
      <c r="AD370" s="102" t="s">
        <v>1811</v>
      </c>
      <c r="AE370" s="102" t="s">
        <v>82</v>
      </c>
      <c r="AF370" s="102" t="s">
        <v>1621</v>
      </c>
    </row>
    <row r="371" spans="1:32" ht="75" hidden="1" customHeight="1">
      <c r="A371" s="102" t="s">
        <v>1118</v>
      </c>
      <c r="B371" s="102" t="s">
        <v>1619</v>
      </c>
      <c r="C371" s="102" t="s">
        <v>1624</v>
      </c>
      <c r="D371" s="70">
        <v>15000</v>
      </c>
      <c r="E371" s="102" t="s">
        <v>48</v>
      </c>
      <c r="F371" s="102" t="s">
        <v>48</v>
      </c>
      <c r="G371" s="102" t="s">
        <v>48</v>
      </c>
      <c r="H371" s="102" t="s">
        <v>48</v>
      </c>
      <c r="I371" s="102" t="s">
        <v>48</v>
      </c>
      <c r="J371" s="102" t="s">
        <v>48</v>
      </c>
      <c r="K371" s="103" t="s">
        <v>48</v>
      </c>
      <c r="L371" s="103" t="s">
        <v>48</v>
      </c>
      <c r="M371" s="103" t="s">
        <v>48</v>
      </c>
      <c r="N371" s="103" t="s">
        <v>48</v>
      </c>
      <c r="O371" s="103" t="s">
        <v>48</v>
      </c>
      <c r="P371" s="103" t="s">
        <v>48</v>
      </c>
      <c r="Q371" s="102" t="s">
        <v>48</v>
      </c>
      <c r="R371" s="102" t="s">
        <v>48</v>
      </c>
      <c r="S371" s="102" t="s">
        <v>48</v>
      </c>
      <c r="T371" s="102" t="s">
        <v>48</v>
      </c>
      <c r="U371" s="102" t="s">
        <v>48</v>
      </c>
      <c r="V371" s="102" t="s">
        <v>1702</v>
      </c>
      <c r="W371" s="102" t="s">
        <v>1702</v>
      </c>
      <c r="X371" s="102" t="s">
        <v>1817</v>
      </c>
      <c r="Y371" s="102" t="s">
        <v>1708</v>
      </c>
      <c r="Z371" s="102" t="s">
        <v>1708</v>
      </c>
      <c r="AA371" s="102" t="s">
        <v>1818</v>
      </c>
      <c r="AB371" s="102" t="s">
        <v>595</v>
      </c>
      <c r="AC371" s="102" t="s">
        <v>1620</v>
      </c>
      <c r="AD371" s="102" t="s">
        <v>1811</v>
      </c>
      <c r="AE371" s="102" t="s">
        <v>82</v>
      </c>
      <c r="AF371" s="102" t="s">
        <v>1700</v>
      </c>
    </row>
    <row r="372" spans="1:32" ht="75" hidden="1" customHeight="1">
      <c r="A372" s="102" t="s">
        <v>1115</v>
      </c>
      <c r="B372" s="102" t="s">
        <v>1619</v>
      </c>
      <c r="C372" s="102" t="s">
        <v>1624</v>
      </c>
      <c r="D372" s="70">
        <v>15000</v>
      </c>
      <c r="E372" s="102" t="s">
        <v>48</v>
      </c>
      <c r="F372" s="102" t="s">
        <v>48</v>
      </c>
      <c r="G372" s="102" t="s">
        <v>48</v>
      </c>
      <c r="H372" s="102" t="s">
        <v>48</v>
      </c>
      <c r="I372" s="102" t="s">
        <v>48</v>
      </c>
      <c r="J372" s="102" t="s">
        <v>48</v>
      </c>
      <c r="K372" s="103" t="s">
        <v>48</v>
      </c>
      <c r="L372" s="103" t="s">
        <v>48</v>
      </c>
      <c r="M372" s="103" t="s">
        <v>48</v>
      </c>
      <c r="N372" s="103" t="s">
        <v>48</v>
      </c>
      <c r="O372" s="103" t="s">
        <v>48</v>
      </c>
      <c r="P372" s="103" t="s">
        <v>48</v>
      </c>
      <c r="Q372" s="102" t="s">
        <v>48</v>
      </c>
      <c r="R372" s="102" t="s">
        <v>48</v>
      </c>
      <c r="S372" s="102" t="s">
        <v>48</v>
      </c>
      <c r="T372" s="102" t="s">
        <v>48</v>
      </c>
      <c r="U372" s="102" t="s">
        <v>48</v>
      </c>
      <c r="V372" s="102" t="s">
        <v>1702</v>
      </c>
      <c r="W372" s="102" t="s">
        <v>1702</v>
      </c>
      <c r="X372" s="102" t="s">
        <v>1817</v>
      </c>
      <c r="Y372" s="102" t="s">
        <v>1708</v>
      </c>
      <c r="Z372" s="102" t="s">
        <v>1708</v>
      </c>
      <c r="AA372" s="102" t="s">
        <v>1818</v>
      </c>
      <c r="AB372" s="102" t="s">
        <v>595</v>
      </c>
      <c r="AC372" s="102" t="s">
        <v>1620</v>
      </c>
      <c r="AD372" s="102" t="s">
        <v>1811</v>
      </c>
      <c r="AE372" s="102" t="s">
        <v>82</v>
      </c>
      <c r="AF372" s="102" t="s">
        <v>1700</v>
      </c>
    </row>
    <row r="373" spans="1:32" ht="75" hidden="1" customHeight="1">
      <c r="A373" s="102" t="s">
        <v>660</v>
      </c>
      <c r="B373" s="102" t="s">
        <v>1619</v>
      </c>
      <c r="C373" s="102" t="s">
        <v>1625</v>
      </c>
      <c r="D373" s="70">
        <v>15000</v>
      </c>
      <c r="E373" s="102" t="s">
        <v>48</v>
      </c>
      <c r="F373" s="102" t="s">
        <v>48</v>
      </c>
      <c r="G373" s="102" t="s">
        <v>48</v>
      </c>
      <c r="H373" s="102" t="s">
        <v>48</v>
      </c>
      <c r="I373" s="102" t="s">
        <v>48</v>
      </c>
      <c r="J373" s="102" t="s">
        <v>1620</v>
      </c>
      <c r="K373" s="103" t="s">
        <v>48</v>
      </c>
      <c r="L373" s="103" t="s">
        <v>48</v>
      </c>
      <c r="M373" s="103" t="s">
        <v>48</v>
      </c>
      <c r="N373" s="103" t="s">
        <v>48</v>
      </c>
      <c r="O373" s="103" t="s">
        <v>48</v>
      </c>
      <c r="P373" s="103" t="s">
        <v>48</v>
      </c>
      <c r="Q373" s="102" t="s">
        <v>48</v>
      </c>
      <c r="R373" s="102" t="s">
        <v>48</v>
      </c>
      <c r="S373" s="102" t="s">
        <v>48</v>
      </c>
      <c r="T373" s="102" t="s">
        <v>48</v>
      </c>
      <c r="U373" s="102" t="s">
        <v>48</v>
      </c>
      <c r="V373" s="102" t="s">
        <v>1701</v>
      </c>
      <c r="W373" s="102" t="s">
        <v>1728</v>
      </c>
      <c r="X373" s="102" t="s">
        <v>1809</v>
      </c>
      <c r="Y373" s="102" t="s">
        <v>1708</v>
      </c>
      <c r="Z373" s="102" t="s">
        <v>1708</v>
      </c>
      <c r="AA373" s="102" t="s">
        <v>1810</v>
      </c>
      <c r="AB373" s="102" t="s">
        <v>595</v>
      </c>
      <c r="AC373" s="102" t="s">
        <v>1687</v>
      </c>
      <c r="AD373" s="102" t="s">
        <v>1811</v>
      </c>
      <c r="AE373" s="102" t="s">
        <v>82</v>
      </c>
      <c r="AF373" s="102" t="s">
        <v>1700</v>
      </c>
    </row>
    <row r="374" spans="1:32" ht="75" hidden="1" customHeight="1">
      <c r="A374" s="102" t="s">
        <v>31</v>
      </c>
      <c r="B374" s="102" t="s">
        <v>1627</v>
      </c>
      <c r="C374" s="102" t="s">
        <v>1626</v>
      </c>
      <c r="D374" s="70">
        <v>30000</v>
      </c>
      <c r="E374" s="102" t="s">
        <v>48</v>
      </c>
      <c r="F374" s="102" t="s">
        <v>48</v>
      </c>
      <c r="G374" s="102" t="s">
        <v>48</v>
      </c>
      <c r="H374" s="102" t="s">
        <v>48</v>
      </c>
      <c r="I374" s="102" t="s">
        <v>48</v>
      </c>
      <c r="J374" s="102" t="s">
        <v>48</v>
      </c>
      <c r="K374" s="103" t="s">
        <v>48</v>
      </c>
      <c r="L374" s="103" t="s">
        <v>48</v>
      </c>
      <c r="M374" s="103" t="s">
        <v>48</v>
      </c>
      <c r="N374" s="103" t="s">
        <v>48</v>
      </c>
      <c r="O374" s="103" t="s">
        <v>48</v>
      </c>
      <c r="P374" s="103" t="s">
        <v>48</v>
      </c>
      <c r="Q374" s="102" t="s">
        <v>48</v>
      </c>
      <c r="R374" s="102" t="s">
        <v>48</v>
      </c>
      <c r="S374" s="102" t="s">
        <v>48</v>
      </c>
      <c r="T374" s="102" t="s">
        <v>48</v>
      </c>
      <c r="U374" s="102" t="s">
        <v>48</v>
      </c>
      <c r="V374" s="102" t="s">
        <v>1793</v>
      </c>
      <c r="W374" s="102" t="s">
        <v>1793</v>
      </c>
      <c r="X374" s="102" t="s">
        <v>1794</v>
      </c>
      <c r="Y374" s="102" t="s">
        <v>1708</v>
      </c>
      <c r="Z374" s="102" t="s">
        <v>1708</v>
      </c>
      <c r="AA374" s="102" t="s">
        <v>1795</v>
      </c>
      <c r="AB374" s="102" t="s">
        <v>595</v>
      </c>
      <c r="AC374" s="102" t="s">
        <v>1687</v>
      </c>
      <c r="AD374" s="102" t="s">
        <v>1773</v>
      </c>
      <c r="AE374" s="102" t="s">
        <v>49</v>
      </c>
      <c r="AF374" s="102" t="s">
        <v>1700</v>
      </c>
    </row>
    <row r="375" spans="1:32" ht="75" hidden="1" customHeight="1">
      <c r="A375" s="102" t="s">
        <v>865</v>
      </c>
      <c r="B375" s="102" t="s">
        <v>1685</v>
      </c>
      <c r="C375" s="102" t="s">
        <v>1686</v>
      </c>
      <c r="D375" s="70">
        <v>30000</v>
      </c>
      <c r="E375" s="102" t="s">
        <v>48</v>
      </c>
      <c r="F375" s="102" t="s">
        <v>48</v>
      </c>
      <c r="G375" s="102" t="s">
        <v>48</v>
      </c>
      <c r="H375" s="102" t="s">
        <v>48</v>
      </c>
      <c r="I375" s="102" t="s">
        <v>48</v>
      </c>
      <c r="J375" s="102" t="s">
        <v>48</v>
      </c>
      <c r="K375" s="103" t="s">
        <v>48</v>
      </c>
      <c r="L375" s="103" t="s">
        <v>48</v>
      </c>
      <c r="M375" s="103" t="s">
        <v>48</v>
      </c>
      <c r="N375" s="103" t="s">
        <v>48</v>
      </c>
      <c r="O375" s="103" t="s">
        <v>48</v>
      </c>
      <c r="P375" s="103" t="s">
        <v>48</v>
      </c>
      <c r="Q375" s="102" t="s">
        <v>48</v>
      </c>
      <c r="R375" s="102" t="s">
        <v>48</v>
      </c>
      <c r="S375" s="102" t="s">
        <v>48</v>
      </c>
      <c r="T375" s="102" t="s">
        <v>48</v>
      </c>
      <c r="U375" s="102" t="s">
        <v>48</v>
      </c>
      <c r="V375" s="102" t="s">
        <v>1686</v>
      </c>
      <c r="W375" s="102" t="s">
        <v>1686</v>
      </c>
      <c r="X375" s="102" t="s">
        <v>48</v>
      </c>
      <c r="Y375" s="102" t="s">
        <v>48</v>
      </c>
      <c r="Z375" s="102" t="s">
        <v>48</v>
      </c>
      <c r="AA375" s="102" t="s">
        <v>48</v>
      </c>
      <c r="AB375" s="102" t="s">
        <v>48</v>
      </c>
      <c r="AC375" s="102" t="s">
        <v>1687</v>
      </c>
      <c r="AD375" s="102" t="s">
        <v>48</v>
      </c>
      <c r="AE375" s="102" t="s">
        <v>49</v>
      </c>
      <c r="AF375" s="122" t="s">
        <v>1689</v>
      </c>
    </row>
    <row r="376" spans="1:32" ht="75" hidden="1" customHeight="1">
      <c r="A376" s="102" t="s">
        <v>232</v>
      </c>
      <c r="B376" s="102" t="s">
        <v>1690</v>
      </c>
      <c r="C376" s="102" t="s">
        <v>1691</v>
      </c>
      <c r="D376" s="70">
        <v>15000</v>
      </c>
      <c r="E376" s="102" t="s">
        <v>48</v>
      </c>
      <c r="F376" s="102" t="s">
        <v>48</v>
      </c>
      <c r="G376" s="102" t="s">
        <v>48</v>
      </c>
      <c r="H376" s="102" t="s">
        <v>48</v>
      </c>
      <c r="I376" s="102" t="s">
        <v>48</v>
      </c>
      <c r="J376" s="102" t="s">
        <v>48</v>
      </c>
      <c r="K376" s="103" t="s">
        <v>48</v>
      </c>
      <c r="L376" s="103" t="s">
        <v>48</v>
      </c>
      <c r="M376" s="103" t="s">
        <v>48</v>
      </c>
      <c r="N376" s="103" t="s">
        <v>48</v>
      </c>
      <c r="O376" s="103" t="s">
        <v>48</v>
      </c>
      <c r="P376" s="103" t="s">
        <v>48</v>
      </c>
      <c r="Q376" s="102" t="s">
        <v>48</v>
      </c>
      <c r="R376" s="102" t="s">
        <v>48</v>
      </c>
      <c r="S376" s="102" t="s">
        <v>48</v>
      </c>
      <c r="T376" s="102" t="s">
        <v>48</v>
      </c>
      <c r="U376" s="102" t="s">
        <v>48</v>
      </c>
      <c r="V376" s="102" t="s">
        <v>1691</v>
      </c>
      <c r="W376" s="102" t="s">
        <v>1691</v>
      </c>
      <c r="X376" s="102" t="s">
        <v>48</v>
      </c>
      <c r="Y376" s="102" t="s">
        <v>48</v>
      </c>
      <c r="Z376" s="102" t="s">
        <v>48</v>
      </c>
      <c r="AA376" s="102" t="s">
        <v>48</v>
      </c>
      <c r="AB376" s="102" t="s">
        <v>48</v>
      </c>
      <c r="AC376" s="102" t="s">
        <v>1687</v>
      </c>
      <c r="AD376" s="102" t="s">
        <v>48</v>
      </c>
      <c r="AE376" s="102" t="s">
        <v>49</v>
      </c>
      <c r="AF376" s="102" t="s">
        <v>1692</v>
      </c>
    </row>
    <row r="377" spans="1:32" ht="75" hidden="1" customHeight="1">
      <c r="A377" s="102" t="s">
        <v>41</v>
      </c>
      <c r="B377" s="102" t="s">
        <v>931</v>
      </c>
      <c r="C377" s="102" t="s">
        <v>1694</v>
      </c>
      <c r="D377" s="70">
        <v>15000</v>
      </c>
      <c r="E377" s="102" t="s">
        <v>48</v>
      </c>
      <c r="F377" s="102" t="s">
        <v>48</v>
      </c>
      <c r="G377" s="102" t="s">
        <v>48</v>
      </c>
      <c r="H377" s="102" t="s">
        <v>48</v>
      </c>
      <c r="I377" s="102" t="s">
        <v>48</v>
      </c>
      <c r="J377" s="102" t="s">
        <v>48</v>
      </c>
      <c r="K377" s="103" t="s">
        <v>48</v>
      </c>
      <c r="L377" s="103" t="s">
        <v>48</v>
      </c>
      <c r="M377" s="103" t="s">
        <v>48</v>
      </c>
      <c r="N377" s="103" t="s">
        <v>48</v>
      </c>
      <c r="O377" s="103" t="s">
        <v>48</v>
      </c>
      <c r="P377" s="103" t="s">
        <v>48</v>
      </c>
      <c r="Q377" s="102" t="s">
        <v>48</v>
      </c>
      <c r="R377" s="102" t="s">
        <v>48</v>
      </c>
      <c r="S377" s="102" t="s">
        <v>48</v>
      </c>
      <c r="T377" s="102" t="s">
        <v>48</v>
      </c>
      <c r="U377" s="102" t="s">
        <v>48</v>
      </c>
      <c r="V377" s="102" t="s">
        <v>1694</v>
      </c>
      <c r="W377" s="102" t="s">
        <v>1694</v>
      </c>
      <c r="X377" s="102" t="s">
        <v>48</v>
      </c>
      <c r="Y377" s="102" t="s">
        <v>48</v>
      </c>
      <c r="Z377" s="102" t="s">
        <v>48</v>
      </c>
      <c r="AA377" s="102" t="s">
        <v>48</v>
      </c>
      <c r="AB377" s="102" t="s">
        <v>48</v>
      </c>
      <c r="AC377" s="102" t="s">
        <v>954</v>
      </c>
      <c r="AD377" s="102" t="s">
        <v>48</v>
      </c>
      <c r="AE377" s="102" t="s">
        <v>82</v>
      </c>
      <c r="AF377" s="102" t="s">
        <v>932</v>
      </c>
    </row>
    <row r="378" spans="1:32" ht="75" hidden="1" customHeight="1">
      <c r="A378" s="102" t="s">
        <v>41</v>
      </c>
      <c r="B378" s="102" t="s">
        <v>1619</v>
      </c>
      <c r="C378" s="102" t="s">
        <v>1698</v>
      </c>
      <c r="D378" s="70">
        <v>15000</v>
      </c>
      <c r="E378" s="102" t="s">
        <v>48</v>
      </c>
      <c r="F378" s="102" t="s">
        <v>48</v>
      </c>
      <c r="G378" s="102" t="s">
        <v>48</v>
      </c>
      <c r="H378" s="102" t="s">
        <v>48</v>
      </c>
      <c r="I378" s="102" t="s">
        <v>48</v>
      </c>
      <c r="J378" s="102" t="s">
        <v>48</v>
      </c>
      <c r="K378" s="103" t="s">
        <v>48</v>
      </c>
      <c r="L378" s="103" t="s">
        <v>48</v>
      </c>
      <c r="M378" s="103" t="s">
        <v>48</v>
      </c>
      <c r="N378" s="103" t="s">
        <v>48</v>
      </c>
      <c r="O378" s="103" t="s">
        <v>48</v>
      </c>
      <c r="P378" s="103" t="s">
        <v>48</v>
      </c>
      <c r="Q378" s="102" t="s">
        <v>48</v>
      </c>
      <c r="R378" s="102" t="s">
        <v>48</v>
      </c>
      <c r="S378" s="102" t="s">
        <v>48</v>
      </c>
      <c r="T378" s="102" t="s">
        <v>48</v>
      </c>
      <c r="U378" s="102" t="s">
        <v>48</v>
      </c>
      <c r="V378" s="102" t="s">
        <v>1698</v>
      </c>
      <c r="W378" s="102" t="s">
        <v>1698</v>
      </c>
      <c r="X378" s="102" t="s">
        <v>48</v>
      </c>
      <c r="Y378" s="102" t="s">
        <v>48</v>
      </c>
      <c r="Z378" s="102" t="s">
        <v>48</v>
      </c>
      <c r="AA378" s="102" t="s">
        <v>48</v>
      </c>
      <c r="AB378" s="102" t="s">
        <v>48</v>
      </c>
      <c r="AC378" s="102" t="s">
        <v>1620</v>
      </c>
      <c r="AD378" s="102" t="s">
        <v>48</v>
      </c>
      <c r="AE378" s="102" t="s">
        <v>82</v>
      </c>
      <c r="AF378" s="102" t="s">
        <v>1700</v>
      </c>
    </row>
    <row r="379" spans="1:32" ht="75" hidden="1" customHeight="1">
      <c r="A379" s="102" t="s">
        <v>232</v>
      </c>
      <c r="B379" s="102" t="s">
        <v>1619</v>
      </c>
      <c r="C379" s="102" t="s">
        <v>1698</v>
      </c>
      <c r="D379" s="70">
        <v>15000</v>
      </c>
      <c r="E379" s="102" t="s">
        <v>48</v>
      </c>
      <c r="F379" s="102" t="s">
        <v>48</v>
      </c>
      <c r="G379" s="102" t="s">
        <v>48</v>
      </c>
      <c r="H379" s="102" t="s">
        <v>48</v>
      </c>
      <c r="I379" s="102" t="s">
        <v>48</v>
      </c>
      <c r="J379" s="102" t="s">
        <v>48</v>
      </c>
      <c r="K379" s="103" t="s">
        <v>48</v>
      </c>
      <c r="L379" s="103" t="s">
        <v>48</v>
      </c>
      <c r="M379" s="103" t="s">
        <v>48</v>
      </c>
      <c r="N379" s="103" t="s">
        <v>48</v>
      </c>
      <c r="O379" s="103" t="s">
        <v>48</v>
      </c>
      <c r="P379" s="103" t="s">
        <v>48</v>
      </c>
      <c r="Q379" s="102" t="s">
        <v>48</v>
      </c>
      <c r="R379" s="102" t="s">
        <v>48</v>
      </c>
      <c r="S379" s="102" t="s">
        <v>48</v>
      </c>
      <c r="T379" s="102" t="s">
        <v>48</v>
      </c>
      <c r="U379" s="102" t="s">
        <v>48</v>
      </c>
      <c r="V379" s="102" t="s">
        <v>1698</v>
      </c>
      <c r="W379" s="102" t="s">
        <v>1698</v>
      </c>
      <c r="X379" s="102" t="s">
        <v>48</v>
      </c>
      <c r="Y379" s="102" t="s">
        <v>48</v>
      </c>
      <c r="Z379" s="102" t="s">
        <v>48</v>
      </c>
      <c r="AA379" s="102" t="s">
        <v>48</v>
      </c>
      <c r="AB379" s="102" t="s">
        <v>48</v>
      </c>
      <c r="AC379" s="102" t="s">
        <v>1620</v>
      </c>
      <c r="AD379" s="102" t="s">
        <v>48</v>
      </c>
      <c r="AE379" s="102" t="s">
        <v>82</v>
      </c>
      <c r="AF379" s="102" t="s">
        <v>1700</v>
      </c>
    </row>
    <row r="380" spans="1:32" ht="75" hidden="1" customHeight="1">
      <c r="A380" s="102" t="s">
        <v>233</v>
      </c>
      <c r="B380" s="102" t="s">
        <v>1619</v>
      </c>
      <c r="C380" s="102" t="s">
        <v>1698</v>
      </c>
      <c r="D380" s="70">
        <v>15000</v>
      </c>
      <c r="E380" s="102" t="s">
        <v>48</v>
      </c>
      <c r="F380" s="102" t="s">
        <v>48</v>
      </c>
      <c r="G380" s="102" t="s">
        <v>48</v>
      </c>
      <c r="H380" s="102" t="s">
        <v>48</v>
      </c>
      <c r="I380" s="102" t="s">
        <v>48</v>
      </c>
      <c r="J380" s="102" t="s">
        <v>48</v>
      </c>
      <c r="K380" s="103" t="s">
        <v>48</v>
      </c>
      <c r="L380" s="103" t="s">
        <v>48</v>
      </c>
      <c r="M380" s="103" t="s">
        <v>48</v>
      </c>
      <c r="N380" s="103" t="s">
        <v>48</v>
      </c>
      <c r="O380" s="103" t="s">
        <v>48</v>
      </c>
      <c r="P380" s="103" t="s">
        <v>48</v>
      </c>
      <c r="Q380" s="102" t="s">
        <v>48</v>
      </c>
      <c r="R380" s="102" t="s">
        <v>48</v>
      </c>
      <c r="S380" s="102" t="s">
        <v>48</v>
      </c>
      <c r="T380" s="102" t="s">
        <v>48</v>
      </c>
      <c r="U380" s="102" t="s">
        <v>48</v>
      </c>
      <c r="V380" s="102" t="s">
        <v>1698</v>
      </c>
      <c r="W380" s="102" t="s">
        <v>1698</v>
      </c>
      <c r="X380" s="102" t="s">
        <v>48</v>
      </c>
      <c r="Y380" s="102" t="s">
        <v>48</v>
      </c>
      <c r="Z380" s="102" t="s">
        <v>48</v>
      </c>
      <c r="AA380" s="102" t="s">
        <v>48</v>
      </c>
      <c r="AB380" s="102" t="s">
        <v>48</v>
      </c>
      <c r="AC380" s="102" t="s">
        <v>1620</v>
      </c>
      <c r="AD380" s="102" t="s">
        <v>48</v>
      </c>
      <c r="AE380" s="102" t="s">
        <v>82</v>
      </c>
      <c r="AF380" s="102" t="s">
        <v>1700</v>
      </c>
    </row>
    <row r="381" spans="1:32" ht="75" hidden="1" customHeight="1">
      <c r="A381" s="102" t="s">
        <v>660</v>
      </c>
      <c r="B381" s="102" t="s">
        <v>1619</v>
      </c>
      <c r="C381" s="102" t="s">
        <v>1701</v>
      </c>
      <c r="D381" s="70">
        <v>15000</v>
      </c>
      <c r="E381" s="102" t="s">
        <v>48</v>
      </c>
      <c r="F381" s="102" t="s">
        <v>48</v>
      </c>
      <c r="G381" s="102" t="s">
        <v>48</v>
      </c>
      <c r="H381" s="102" t="s">
        <v>48</v>
      </c>
      <c r="I381" s="102" t="s">
        <v>48</v>
      </c>
      <c r="J381" s="102" t="s">
        <v>48</v>
      </c>
      <c r="K381" s="103" t="s">
        <v>48</v>
      </c>
      <c r="L381" s="103" t="s">
        <v>48</v>
      </c>
      <c r="M381" s="103" t="s">
        <v>48</v>
      </c>
      <c r="N381" s="103" t="s">
        <v>48</v>
      </c>
      <c r="O381" s="103" t="s">
        <v>48</v>
      </c>
      <c r="P381" s="103" t="s">
        <v>48</v>
      </c>
      <c r="Q381" s="102" t="s">
        <v>48</v>
      </c>
      <c r="R381" s="102" t="s">
        <v>48</v>
      </c>
      <c r="S381" s="102" t="s">
        <v>48</v>
      </c>
      <c r="T381" s="102" t="s">
        <v>48</v>
      </c>
      <c r="U381" s="102" t="s">
        <v>48</v>
      </c>
      <c r="V381" s="102" t="s">
        <v>1701</v>
      </c>
      <c r="W381" s="102" t="s">
        <v>1701</v>
      </c>
      <c r="X381" s="102" t="s">
        <v>48</v>
      </c>
      <c r="Y381" s="102" t="s">
        <v>48</v>
      </c>
      <c r="Z381" s="102" t="s">
        <v>48</v>
      </c>
      <c r="AA381" s="102" t="s">
        <v>48</v>
      </c>
      <c r="AB381" s="102" t="s">
        <v>48</v>
      </c>
      <c r="AC381" s="102" t="s">
        <v>1620</v>
      </c>
      <c r="AD381" s="102" t="s">
        <v>48</v>
      </c>
      <c r="AE381" s="102" t="s">
        <v>82</v>
      </c>
      <c r="AF381" s="102" t="s">
        <v>1700</v>
      </c>
    </row>
    <row r="382" spans="1:32" ht="75" hidden="1" customHeight="1">
      <c r="A382" s="102" t="s">
        <v>1118</v>
      </c>
      <c r="B382" s="102" t="s">
        <v>1619</v>
      </c>
      <c r="C382" s="102" t="s">
        <v>1702</v>
      </c>
      <c r="D382" s="70">
        <v>15000</v>
      </c>
      <c r="E382" s="102" t="s">
        <v>48</v>
      </c>
      <c r="F382" s="102" t="s">
        <v>48</v>
      </c>
      <c r="G382" s="102" t="s">
        <v>48</v>
      </c>
      <c r="H382" s="102" t="s">
        <v>48</v>
      </c>
      <c r="I382" s="102" t="s">
        <v>48</v>
      </c>
      <c r="J382" s="102" t="s">
        <v>48</v>
      </c>
      <c r="K382" s="103" t="s">
        <v>48</v>
      </c>
      <c r="L382" s="103" t="s">
        <v>48</v>
      </c>
      <c r="M382" s="103" t="s">
        <v>48</v>
      </c>
      <c r="N382" s="103" t="s">
        <v>48</v>
      </c>
      <c r="O382" s="103" t="s">
        <v>48</v>
      </c>
      <c r="P382" s="103" t="s">
        <v>48</v>
      </c>
      <c r="Q382" s="102" t="s">
        <v>48</v>
      </c>
      <c r="R382" s="102" t="s">
        <v>48</v>
      </c>
      <c r="S382" s="102" t="s">
        <v>48</v>
      </c>
      <c r="T382" s="102" t="s">
        <v>48</v>
      </c>
      <c r="U382" s="102" t="s">
        <v>48</v>
      </c>
      <c r="V382" s="102" t="s">
        <v>1702</v>
      </c>
      <c r="W382" s="102" t="s">
        <v>1702</v>
      </c>
      <c r="X382" s="102" t="s">
        <v>48</v>
      </c>
      <c r="Y382" s="102" t="s">
        <v>48</v>
      </c>
      <c r="Z382" s="102" t="s">
        <v>48</v>
      </c>
      <c r="AA382" s="102" t="s">
        <v>48</v>
      </c>
      <c r="AB382" s="102" t="s">
        <v>48</v>
      </c>
      <c r="AC382" s="102" t="s">
        <v>1620</v>
      </c>
      <c r="AD382" s="102" t="s">
        <v>48</v>
      </c>
      <c r="AE382" s="102" t="s">
        <v>82</v>
      </c>
      <c r="AF382" s="102" t="s">
        <v>1700</v>
      </c>
    </row>
    <row r="383" spans="1:32" ht="75" hidden="1" customHeight="1">
      <c r="A383" s="102" t="s">
        <v>1115</v>
      </c>
      <c r="B383" s="102" t="s">
        <v>1619</v>
      </c>
      <c r="C383" s="102" t="s">
        <v>1702</v>
      </c>
      <c r="D383" s="70">
        <v>15000</v>
      </c>
      <c r="E383" s="102" t="s">
        <v>48</v>
      </c>
      <c r="F383" s="102" t="s">
        <v>48</v>
      </c>
      <c r="G383" s="102" t="s">
        <v>48</v>
      </c>
      <c r="H383" s="102" t="s">
        <v>48</v>
      </c>
      <c r="I383" s="102" t="s">
        <v>48</v>
      </c>
      <c r="J383" s="102" t="s">
        <v>48</v>
      </c>
      <c r="K383" s="103" t="s">
        <v>48</v>
      </c>
      <c r="L383" s="103" t="s">
        <v>48</v>
      </c>
      <c r="M383" s="103" t="s">
        <v>48</v>
      </c>
      <c r="N383" s="103" t="s">
        <v>48</v>
      </c>
      <c r="O383" s="103" t="s">
        <v>48</v>
      </c>
      <c r="P383" s="103" t="s">
        <v>48</v>
      </c>
      <c r="Q383" s="102" t="s">
        <v>48</v>
      </c>
      <c r="R383" s="102" t="s">
        <v>48</v>
      </c>
      <c r="S383" s="102" t="s">
        <v>48</v>
      </c>
      <c r="T383" s="102" t="s">
        <v>48</v>
      </c>
      <c r="U383" s="102" t="s">
        <v>48</v>
      </c>
      <c r="V383" s="102" t="s">
        <v>1702</v>
      </c>
      <c r="W383" s="102" t="s">
        <v>1702</v>
      </c>
      <c r="X383" s="102" t="s">
        <v>48</v>
      </c>
      <c r="Y383" s="102" t="s">
        <v>48</v>
      </c>
      <c r="Z383" s="102" t="s">
        <v>48</v>
      </c>
      <c r="AA383" s="102" t="s">
        <v>48</v>
      </c>
      <c r="AB383" s="102" t="s">
        <v>48</v>
      </c>
      <c r="AC383" s="102" t="s">
        <v>1620</v>
      </c>
      <c r="AD383" s="102" t="s">
        <v>48</v>
      </c>
      <c r="AE383" s="102" t="s">
        <v>82</v>
      </c>
      <c r="AF383" s="102" t="s">
        <v>1700</v>
      </c>
    </row>
    <row r="384" spans="1:32" ht="75" hidden="1" customHeight="1">
      <c r="A384" s="102" t="s">
        <v>23</v>
      </c>
      <c r="B384" s="102" t="s">
        <v>1619</v>
      </c>
      <c r="C384" s="102" t="s">
        <v>1703</v>
      </c>
      <c r="D384" s="70">
        <v>15000</v>
      </c>
      <c r="E384" s="102" t="s">
        <v>48</v>
      </c>
      <c r="F384" s="102" t="s">
        <v>48</v>
      </c>
      <c r="G384" s="102" t="s">
        <v>48</v>
      </c>
      <c r="H384" s="102" t="s">
        <v>48</v>
      </c>
      <c r="I384" s="102" t="s">
        <v>48</v>
      </c>
      <c r="J384" s="102" t="s">
        <v>48</v>
      </c>
      <c r="K384" s="103" t="s">
        <v>48</v>
      </c>
      <c r="L384" s="103" t="s">
        <v>48</v>
      </c>
      <c r="M384" s="103" t="s">
        <v>48</v>
      </c>
      <c r="N384" s="103" t="s">
        <v>48</v>
      </c>
      <c r="O384" s="103" t="s">
        <v>48</v>
      </c>
      <c r="P384" s="103" t="s">
        <v>48</v>
      </c>
      <c r="Q384" s="102" t="s">
        <v>48</v>
      </c>
      <c r="R384" s="102" t="s">
        <v>48</v>
      </c>
      <c r="S384" s="102" t="s">
        <v>48</v>
      </c>
      <c r="T384" s="102" t="s">
        <v>48</v>
      </c>
      <c r="U384" s="102" t="s">
        <v>48</v>
      </c>
      <c r="V384" s="102" t="s">
        <v>1703</v>
      </c>
      <c r="W384" s="102" t="s">
        <v>1703</v>
      </c>
      <c r="X384" s="102" t="s">
        <v>48</v>
      </c>
      <c r="Y384" s="102" t="s">
        <v>48</v>
      </c>
      <c r="Z384" s="102" t="s">
        <v>48</v>
      </c>
      <c r="AA384" s="102" t="s">
        <v>48</v>
      </c>
      <c r="AB384" s="102" t="s">
        <v>48</v>
      </c>
      <c r="AC384" s="102" t="s">
        <v>1620</v>
      </c>
      <c r="AD384" s="102" t="s">
        <v>48</v>
      </c>
      <c r="AE384" s="102" t="s">
        <v>82</v>
      </c>
      <c r="AF384" s="102" t="s">
        <v>1700</v>
      </c>
    </row>
    <row r="385" spans="1:32" ht="75" hidden="1" customHeight="1">
      <c r="A385" s="102" t="s">
        <v>1704</v>
      </c>
      <c r="B385" s="102" t="s">
        <v>1707</v>
      </c>
      <c r="C385" s="102" t="s">
        <v>1691</v>
      </c>
      <c r="D385" s="70">
        <v>15000</v>
      </c>
      <c r="E385" s="102" t="s">
        <v>48</v>
      </c>
      <c r="F385" s="102" t="s">
        <v>48</v>
      </c>
      <c r="G385" s="102" t="s">
        <v>48</v>
      </c>
      <c r="H385" s="102" t="s">
        <v>48</v>
      </c>
      <c r="I385" s="102" t="s">
        <v>48</v>
      </c>
      <c r="J385" s="102" t="s">
        <v>48</v>
      </c>
      <c r="K385" s="102" t="s">
        <v>48</v>
      </c>
      <c r="L385" s="102" t="s">
        <v>48</v>
      </c>
      <c r="M385" s="102" t="s">
        <v>48</v>
      </c>
      <c r="N385" s="102" t="s">
        <v>48</v>
      </c>
      <c r="O385" s="102" t="s">
        <v>48</v>
      </c>
      <c r="P385" s="102" t="s">
        <v>48</v>
      </c>
      <c r="Q385" s="102" t="s">
        <v>48</v>
      </c>
      <c r="R385" s="102" t="s">
        <v>48</v>
      </c>
      <c r="S385" s="102" t="s">
        <v>48</v>
      </c>
      <c r="T385" s="102" t="s">
        <v>48</v>
      </c>
      <c r="U385" s="102" t="s">
        <v>48</v>
      </c>
      <c r="V385" s="102" t="s">
        <v>1691</v>
      </c>
      <c r="W385" s="102" t="s">
        <v>1691</v>
      </c>
      <c r="X385" s="102" t="s">
        <v>48</v>
      </c>
      <c r="Y385" s="102" t="s">
        <v>48</v>
      </c>
      <c r="Z385" s="102" t="s">
        <v>48</v>
      </c>
      <c r="AA385" s="102" t="s">
        <v>48</v>
      </c>
      <c r="AB385" s="102" t="s">
        <v>48</v>
      </c>
      <c r="AC385" s="102" t="s">
        <v>1687</v>
      </c>
      <c r="AD385" s="102" t="s">
        <v>48</v>
      </c>
      <c r="AE385" s="102" t="s">
        <v>49</v>
      </c>
      <c r="AF385" s="102" t="s">
        <v>1692</v>
      </c>
    </row>
    <row r="386" spans="1:32" ht="75" hidden="1" customHeight="1">
      <c r="A386" s="102" t="s">
        <v>23</v>
      </c>
      <c r="B386" s="102" t="s">
        <v>874</v>
      </c>
      <c r="C386" s="102" t="s">
        <v>1705</v>
      </c>
      <c r="D386" s="70">
        <v>15000</v>
      </c>
      <c r="E386" s="102" t="s">
        <v>48</v>
      </c>
      <c r="F386" s="102" t="s">
        <v>48</v>
      </c>
      <c r="G386" s="102" t="s">
        <v>48</v>
      </c>
      <c r="H386" s="102" t="s">
        <v>48</v>
      </c>
      <c r="I386" s="102" t="s">
        <v>48</v>
      </c>
      <c r="J386" s="102" t="s">
        <v>48</v>
      </c>
      <c r="K386" s="103" t="s">
        <v>48</v>
      </c>
      <c r="L386" s="103" t="s">
        <v>48</v>
      </c>
      <c r="M386" s="103" t="s">
        <v>48</v>
      </c>
      <c r="N386" s="103" t="s">
        <v>48</v>
      </c>
      <c r="O386" s="103" t="s">
        <v>48</v>
      </c>
      <c r="P386" s="103" t="s">
        <v>48</v>
      </c>
      <c r="Q386" s="102" t="s">
        <v>48</v>
      </c>
      <c r="R386" s="102" t="s">
        <v>48</v>
      </c>
      <c r="S386" s="102" t="s">
        <v>48</v>
      </c>
      <c r="T386" s="102" t="s">
        <v>48</v>
      </c>
      <c r="U386" s="102" t="s">
        <v>48</v>
      </c>
      <c r="V386" s="102" t="s">
        <v>1825</v>
      </c>
      <c r="W386" s="102" t="s">
        <v>1825</v>
      </c>
      <c r="X386" s="102" t="s">
        <v>1831</v>
      </c>
      <c r="Y386" s="102" t="s">
        <v>1708</v>
      </c>
      <c r="Z386" s="102" t="s">
        <v>1708</v>
      </c>
      <c r="AA386" s="102" t="s">
        <v>1832</v>
      </c>
      <c r="AB386" s="102" t="s">
        <v>595</v>
      </c>
      <c r="AC386" s="102" t="s">
        <v>1687</v>
      </c>
      <c r="AD386" s="102" t="s">
        <v>1830</v>
      </c>
      <c r="AE386" s="102" t="s">
        <v>82</v>
      </c>
      <c r="AF386" s="102" t="s">
        <v>1827</v>
      </c>
    </row>
    <row r="387" spans="1:32" ht="75" hidden="1" customHeight="1">
      <c r="A387" s="102" t="s">
        <v>40</v>
      </c>
      <c r="B387" s="102" t="s">
        <v>1707</v>
      </c>
      <c r="C387" s="102" t="s">
        <v>1691</v>
      </c>
      <c r="D387" s="70">
        <v>15000</v>
      </c>
      <c r="E387" s="102" t="s">
        <v>48</v>
      </c>
      <c r="F387" s="102" t="s">
        <v>48</v>
      </c>
      <c r="G387" s="102" t="s">
        <v>48</v>
      </c>
      <c r="H387" s="102" t="s">
        <v>48</v>
      </c>
      <c r="I387" s="102" t="s">
        <v>48</v>
      </c>
      <c r="J387" s="102" t="s">
        <v>48</v>
      </c>
      <c r="K387" s="102" t="s">
        <v>48</v>
      </c>
      <c r="L387" s="102" t="s">
        <v>48</v>
      </c>
      <c r="M387" s="102" t="s">
        <v>48</v>
      </c>
      <c r="N387" s="102" t="s">
        <v>48</v>
      </c>
      <c r="O387" s="102" t="s">
        <v>48</v>
      </c>
      <c r="P387" s="102" t="s">
        <v>48</v>
      </c>
      <c r="Q387" s="102" t="s">
        <v>48</v>
      </c>
      <c r="R387" s="102" t="s">
        <v>48</v>
      </c>
      <c r="S387" s="102" t="s">
        <v>48</v>
      </c>
      <c r="T387" s="102" t="s">
        <v>48</v>
      </c>
      <c r="U387" s="102" t="s">
        <v>48</v>
      </c>
      <c r="V387" s="102" t="s">
        <v>1691</v>
      </c>
      <c r="W387" s="102" t="s">
        <v>1691</v>
      </c>
      <c r="X387" s="102" t="s">
        <v>48</v>
      </c>
      <c r="Y387" s="102" t="s">
        <v>48</v>
      </c>
      <c r="Z387" s="102" t="s">
        <v>48</v>
      </c>
      <c r="AA387" s="102" t="s">
        <v>48</v>
      </c>
      <c r="AB387" s="102" t="s">
        <v>48</v>
      </c>
      <c r="AC387" s="102" t="s">
        <v>1687</v>
      </c>
      <c r="AD387" s="102" t="s">
        <v>48</v>
      </c>
      <c r="AE387" s="102" t="s">
        <v>49</v>
      </c>
      <c r="AF387" s="102" t="s">
        <v>1692</v>
      </c>
    </row>
    <row r="388" spans="1:32" ht="75" hidden="1" customHeight="1">
      <c r="A388" s="102" t="s">
        <v>231</v>
      </c>
      <c r="B388" s="102" t="s">
        <v>1707</v>
      </c>
      <c r="C388" s="102" t="s">
        <v>1691</v>
      </c>
      <c r="D388" s="70">
        <v>15000</v>
      </c>
      <c r="E388" s="102" t="s">
        <v>48</v>
      </c>
      <c r="F388" s="102" t="s">
        <v>48</v>
      </c>
      <c r="G388" s="102" t="s">
        <v>48</v>
      </c>
      <c r="H388" s="102" t="s">
        <v>48</v>
      </c>
      <c r="I388" s="102" t="s">
        <v>48</v>
      </c>
      <c r="J388" s="102" t="s">
        <v>48</v>
      </c>
      <c r="K388" s="102" t="s">
        <v>48</v>
      </c>
      <c r="L388" s="102" t="s">
        <v>48</v>
      </c>
      <c r="M388" s="102" t="s">
        <v>48</v>
      </c>
      <c r="N388" s="102" t="s">
        <v>48</v>
      </c>
      <c r="O388" s="102" t="s">
        <v>48</v>
      </c>
      <c r="P388" s="102" t="s">
        <v>48</v>
      </c>
      <c r="Q388" s="102" t="s">
        <v>48</v>
      </c>
      <c r="R388" s="102" t="s">
        <v>48</v>
      </c>
      <c r="S388" s="102" t="s">
        <v>48</v>
      </c>
      <c r="T388" s="102" t="s">
        <v>48</v>
      </c>
      <c r="U388" s="102" t="s">
        <v>48</v>
      </c>
      <c r="V388" s="102" t="s">
        <v>1691</v>
      </c>
      <c r="W388" s="102" t="s">
        <v>1691</v>
      </c>
      <c r="X388" s="102" t="s">
        <v>48</v>
      </c>
      <c r="Y388" s="102" t="s">
        <v>48</v>
      </c>
      <c r="Z388" s="102" t="s">
        <v>48</v>
      </c>
      <c r="AA388" s="102" t="s">
        <v>48</v>
      </c>
      <c r="AB388" s="102" t="s">
        <v>48</v>
      </c>
      <c r="AC388" s="102" t="s">
        <v>1687</v>
      </c>
      <c r="AD388" s="102" t="s">
        <v>48</v>
      </c>
      <c r="AE388" s="102" t="s">
        <v>49</v>
      </c>
      <c r="AF388" s="102" t="s">
        <v>1692</v>
      </c>
    </row>
    <row r="389" spans="1:32" ht="75" hidden="1" customHeight="1">
      <c r="A389" s="102" t="s">
        <v>36</v>
      </c>
      <c r="B389" s="102" t="s">
        <v>1707</v>
      </c>
      <c r="C389" s="102" t="s">
        <v>1691</v>
      </c>
      <c r="D389" s="70">
        <v>30000</v>
      </c>
      <c r="E389" s="102" t="s">
        <v>48</v>
      </c>
      <c r="F389" s="102" t="s">
        <v>48</v>
      </c>
      <c r="G389" s="102" t="s">
        <v>48</v>
      </c>
      <c r="H389" s="102" t="s">
        <v>48</v>
      </c>
      <c r="I389" s="102" t="s">
        <v>48</v>
      </c>
      <c r="J389" s="102" t="s">
        <v>48</v>
      </c>
      <c r="K389" s="102" t="s">
        <v>48</v>
      </c>
      <c r="L389" s="102" t="s">
        <v>48</v>
      </c>
      <c r="M389" s="102" t="s">
        <v>48</v>
      </c>
      <c r="N389" s="102" t="s">
        <v>48</v>
      </c>
      <c r="O389" s="102" t="s">
        <v>48</v>
      </c>
      <c r="P389" s="102" t="s">
        <v>48</v>
      </c>
      <c r="Q389" s="102" t="s">
        <v>48</v>
      </c>
      <c r="R389" s="102" t="s">
        <v>48</v>
      </c>
      <c r="S389" s="102" t="s">
        <v>48</v>
      </c>
      <c r="T389" s="102" t="s">
        <v>48</v>
      </c>
      <c r="U389" s="102" t="s">
        <v>48</v>
      </c>
      <c r="V389" s="102" t="s">
        <v>1691</v>
      </c>
      <c r="W389" s="102" t="s">
        <v>1691</v>
      </c>
      <c r="X389" s="102" t="s">
        <v>48</v>
      </c>
      <c r="Y389" s="102" t="s">
        <v>48</v>
      </c>
      <c r="Z389" s="102" t="s">
        <v>48</v>
      </c>
      <c r="AA389" s="102" t="s">
        <v>48</v>
      </c>
      <c r="AB389" s="102" t="s">
        <v>48</v>
      </c>
      <c r="AC389" s="102" t="s">
        <v>1687</v>
      </c>
      <c r="AD389" s="102" t="s">
        <v>48</v>
      </c>
      <c r="AE389" s="102" t="s">
        <v>49</v>
      </c>
      <c r="AF389" s="102" t="s">
        <v>1692</v>
      </c>
    </row>
    <row r="390" spans="1:32" ht="75" hidden="1" customHeight="1">
      <c r="A390" s="102" t="s">
        <v>940</v>
      </c>
      <c r="B390" s="102" t="s">
        <v>1707</v>
      </c>
      <c r="C390" s="102" t="s">
        <v>1691</v>
      </c>
      <c r="D390" s="70">
        <v>30000</v>
      </c>
      <c r="E390" s="102" t="s">
        <v>48</v>
      </c>
      <c r="F390" s="102" t="s">
        <v>48</v>
      </c>
      <c r="G390" s="102" t="s">
        <v>48</v>
      </c>
      <c r="H390" s="102" t="s">
        <v>48</v>
      </c>
      <c r="I390" s="102" t="s">
        <v>48</v>
      </c>
      <c r="J390" s="102" t="s">
        <v>48</v>
      </c>
      <c r="K390" s="102" t="s">
        <v>48</v>
      </c>
      <c r="L390" s="102" t="s">
        <v>48</v>
      </c>
      <c r="M390" s="102" t="s">
        <v>48</v>
      </c>
      <c r="N390" s="102" t="s">
        <v>48</v>
      </c>
      <c r="O390" s="102" t="s">
        <v>48</v>
      </c>
      <c r="P390" s="102" t="s">
        <v>48</v>
      </c>
      <c r="Q390" s="102" t="s">
        <v>48</v>
      </c>
      <c r="R390" s="102" t="s">
        <v>48</v>
      </c>
      <c r="S390" s="102" t="s">
        <v>48</v>
      </c>
      <c r="T390" s="102" t="s">
        <v>48</v>
      </c>
      <c r="U390" s="102" t="s">
        <v>48</v>
      </c>
      <c r="V390" s="102" t="s">
        <v>1691</v>
      </c>
      <c r="W390" s="102" t="s">
        <v>1691</v>
      </c>
      <c r="X390" s="102" t="s">
        <v>48</v>
      </c>
      <c r="Y390" s="102" t="s">
        <v>48</v>
      </c>
      <c r="Z390" s="102" t="s">
        <v>48</v>
      </c>
      <c r="AA390" s="102" t="s">
        <v>48</v>
      </c>
      <c r="AB390" s="102" t="s">
        <v>48</v>
      </c>
      <c r="AC390" s="102" t="s">
        <v>1687</v>
      </c>
      <c r="AD390" s="102" t="s">
        <v>48</v>
      </c>
      <c r="AE390" s="102" t="s">
        <v>49</v>
      </c>
      <c r="AF390" s="102" t="s">
        <v>1692</v>
      </c>
    </row>
    <row r="391" spans="1:32" ht="75" hidden="1" customHeight="1">
      <c r="A391" s="102" t="s">
        <v>660</v>
      </c>
      <c r="B391" s="102" t="s">
        <v>1619</v>
      </c>
      <c r="C391" s="102" t="s">
        <v>1713</v>
      </c>
      <c r="D391" s="70">
        <v>15000</v>
      </c>
      <c r="E391" s="102" t="s">
        <v>48</v>
      </c>
      <c r="F391" s="102" t="s">
        <v>48</v>
      </c>
      <c r="G391" s="102" t="s">
        <v>48</v>
      </c>
      <c r="H391" s="102" t="s">
        <v>48</v>
      </c>
      <c r="I391" s="102" t="s">
        <v>48</v>
      </c>
      <c r="J391" s="102" t="s">
        <v>48</v>
      </c>
      <c r="K391" s="102" t="s">
        <v>48</v>
      </c>
      <c r="L391" s="102" t="s">
        <v>48</v>
      </c>
      <c r="M391" s="102" t="s">
        <v>48</v>
      </c>
      <c r="N391" s="102" t="s">
        <v>48</v>
      </c>
      <c r="O391" s="102" t="s">
        <v>48</v>
      </c>
      <c r="P391" s="102" t="s">
        <v>48</v>
      </c>
      <c r="Q391" s="102" t="s">
        <v>48</v>
      </c>
      <c r="R391" s="102" t="s">
        <v>48</v>
      </c>
      <c r="S391" s="102" t="s">
        <v>48</v>
      </c>
      <c r="T391" s="102" t="s">
        <v>48</v>
      </c>
      <c r="U391" s="102" t="s">
        <v>48</v>
      </c>
      <c r="V391" s="102" t="s">
        <v>1713</v>
      </c>
      <c r="W391" s="102" t="s">
        <v>1713</v>
      </c>
      <c r="X391" s="102" t="s">
        <v>48</v>
      </c>
      <c r="Y391" s="102" t="s">
        <v>48</v>
      </c>
      <c r="Z391" s="102" t="s">
        <v>48</v>
      </c>
      <c r="AA391" s="102" t="s">
        <v>48</v>
      </c>
      <c r="AB391" s="102" t="s">
        <v>48</v>
      </c>
      <c r="AC391" s="102" t="s">
        <v>1620</v>
      </c>
      <c r="AD391" s="102" t="s">
        <v>48</v>
      </c>
      <c r="AE391" s="102" t="s">
        <v>82</v>
      </c>
      <c r="AF391" s="102" t="s">
        <v>1700</v>
      </c>
    </row>
    <row r="392" spans="1:32" ht="75" hidden="1" customHeight="1">
      <c r="A392" s="102" t="s">
        <v>1118</v>
      </c>
      <c r="B392" s="102" t="s">
        <v>1619</v>
      </c>
      <c r="C392" s="102" t="s">
        <v>1715</v>
      </c>
      <c r="D392" s="70">
        <v>15000</v>
      </c>
      <c r="E392" s="102" t="s">
        <v>48</v>
      </c>
      <c r="F392" s="102" t="s">
        <v>48</v>
      </c>
      <c r="G392" s="102" t="s">
        <v>48</v>
      </c>
      <c r="H392" s="102" t="s">
        <v>48</v>
      </c>
      <c r="I392" s="102" t="s">
        <v>48</v>
      </c>
      <c r="J392" s="102" t="s">
        <v>48</v>
      </c>
      <c r="K392" s="102" t="s">
        <v>48</v>
      </c>
      <c r="L392" s="102" t="s">
        <v>48</v>
      </c>
      <c r="M392" s="102" t="s">
        <v>48</v>
      </c>
      <c r="N392" s="102" t="s">
        <v>48</v>
      </c>
      <c r="O392" s="102" t="s">
        <v>48</v>
      </c>
      <c r="P392" s="102" t="s">
        <v>48</v>
      </c>
      <c r="Q392" s="102" t="s">
        <v>48</v>
      </c>
      <c r="R392" s="102" t="s">
        <v>48</v>
      </c>
      <c r="S392" s="102" t="s">
        <v>48</v>
      </c>
      <c r="T392" s="102" t="s">
        <v>48</v>
      </c>
      <c r="U392" s="102" t="s">
        <v>48</v>
      </c>
      <c r="V392" s="102" t="s">
        <v>1715</v>
      </c>
      <c r="W392" s="102" t="s">
        <v>1715</v>
      </c>
      <c r="X392" s="102" t="s">
        <v>48</v>
      </c>
      <c r="Y392" s="102" t="s">
        <v>48</v>
      </c>
      <c r="Z392" s="102" t="s">
        <v>48</v>
      </c>
      <c r="AA392" s="102" t="s">
        <v>48</v>
      </c>
      <c r="AB392" s="102" t="s">
        <v>48</v>
      </c>
      <c r="AC392" s="102" t="s">
        <v>1620</v>
      </c>
      <c r="AD392" s="102" t="s">
        <v>48</v>
      </c>
      <c r="AE392" s="102" t="s">
        <v>82</v>
      </c>
      <c r="AF392" s="102" t="s">
        <v>1700</v>
      </c>
    </row>
    <row r="393" spans="1:32" ht="75" hidden="1" customHeight="1">
      <c r="A393" s="102" t="s">
        <v>1115</v>
      </c>
      <c r="B393" s="102" t="s">
        <v>1619</v>
      </c>
      <c r="C393" s="102" t="s">
        <v>1715</v>
      </c>
      <c r="D393" s="70">
        <v>15000</v>
      </c>
      <c r="E393" s="102" t="s">
        <v>48</v>
      </c>
      <c r="F393" s="102" t="s">
        <v>48</v>
      </c>
      <c r="G393" s="102" t="s">
        <v>48</v>
      </c>
      <c r="H393" s="102" t="s">
        <v>48</v>
      </c>
      <c r="I393" s="102" t="s">
        <v>48</v>
      </c>
      <c r="J393" s="102" t="s">
        <v>48</v>
      </c>
      <c r="K393" s="102" t="s">
        <v>48</v>
      </c>
      <c r="L393" s="102" t="s">
        <v>48</v>
      </c>
      <c r="M393" s="102" t="s">
        <v>48</v>
      </c>
      <c r="N393" s="102" t="s">
        <v>48</v>
      </c>
      <c r="O393" s="102" t="s">
        <v>48</v>
      </c>
      <c r="P393" s="102" t="s">
        <v>48</v>
      </c>
      <c r="Q393" s="102" t="s">
        <v>48</v>
      </c>
      <c r="R393" s="102" t="s">
        <v>48</v>
      </c>
      <c r="S393" s="102" t="s">
        <v>48</v>
      </c>
      <c r="T393" s="102" t="s">
        <v>48</v>
      </c>
      <c r="U393" s="102" t="s">
        <v>48</v>
      </c>
      <c r="V393" s="102" t="s">
        <v>1715</v>
      </c>
      <c r="W393" s="102" t="s">
        <v>1715</v>
      </c>
      <c r="X393" s="102" t="s">
        <v>48</v>
      </c>
      <c r="Y393" s="102" t="s">
        <v>48</v>
      </c>
      <c r="Z393" s="102" t="s">
        <v>48</v>
      </c>
      <c r="AA393" s="102" t="s">
        <v>48</v>
      </c>
      <c r="AB393" s="102" t="s">
        <v>48</v>
      </c>
      <c r="AC393" s="102" t="s">
        <v>1620</v>
      </c>
      <c r="AD393" s="102" t="s">
        <v>48</v>
      </c>
      <c r="AE393" s="102" t="s">
        <v>82</v>
      </c>
      <c r="AF393" s="102" t="s">
        <v>1700</v>
      </c>
    </row>
    <row r="394" spans="1:32" ht="75" hidden="1" customHeight="1">
      <c r="A394" s="102" t="s">
        <v>660</v>
      </c>
      <c r="B394" s="102" t="s">
        <v>971</v>
      </c>
      <c r="C394" s="102" t="s">
        <v>1726</v>
      </c>
      <c r="D394" s="70">
        <v>15000</v>
      </c>
      <c r="E394" s="102" t="s">
        <v>48</v>
      </c>
      <c r="F394" s="102" t="s">
        <v>48</v>
      </c>
      <c r="G394" s="102" t="s">
        <v>48</v>
      </c>
      <c r="H394" s="102" t="s">
        <v>48</v>
      </c>
      <c r="I394" s="102" t="s">
        <v>48</v>
      </c>
      <c r="J394" s="102" t="s">
        <v>48</v>
      </c>
      <c r="K394" s="102" t="s">
        <v>48</v>
      </c>
      <c r="L394" s="102" t="s">
        <v>48</v>
      </c>
      <c r="M394" s="102" t="s">
        <v>48</v>
      </c>
      <c r="N394" s="102" t="s">
        <v>48</v>
      </c>
      <c r="O394" s="102" t="s">
        <v>48</v>
      </c>
      <c r="P394" s="102" t="s">
        <v>48</v>
      </c>
      <c r="Q394" s="102" t="s">
        <v>48</v>
      </c>
      <c r="R394" s="102" t="s">
        <v>48</v>
      </c>
      <c r="S394" s="102" t="s">
        <v>48</v>
      </c>
      <c r="T394" s="102" t="s">
        <v>48</v>
      </c>
      <c r="U394" s="102" t="s">
        <v>48</v>
      </c>
      <c r="V394" s="102" t="s">
        <v>1726</v>
      </c>
      <c r="W394" s="102" t="s">
        <v>1726</v>
      </c>
      <c r="X394" s="102" t="s">
        <v>48</v>
      </c>
      <c r="Y394" s="102" t="s">
        <v>48</v>
      </c>
      <c r="Z394" s="102" t="s">
        <v>48</v>
      </c>
      <c r="AA394" s="102" t="s">
        <v>48</v>
      </c>
      <c r="AB394" s="102" t="s">
        <v>48</v>
      </c>
      <c r="AC394" s="102" t="s">
        <v>1687</v>
      </c>
      <c r="AD394" s="102" t="s">
        <v>48</v>
      </c>
      <c r="AE394" s="102" t="s">
        <v>82</v>
      </c>
      <c r="AF394" s="102" t="s">
        <v>972</v>
      </c>
    </row>
    <row r="395" spans="1:32" ht="75" hidden="1" customHeight="1">
      <c r="A395" s="102" t="s">
        <v>660</v>
      </c>
      <c r="B395" s="102" t="s">
        <v>971</v>
      </c>
      <c r="C395" s="102" t="s">
        <v>1727</v>
      </c>
      <c r="D395" s="70">
        <v>15000</v>
      </c>
      <c r="E395" s="102" t="s">
        <v>48</v>
      </c>
      <c r="F395" s="102" t="s">
        <v>48</v>
      </c>
      <c r="G395" s="102" t="s">
        <v>48</v>
      </c>
      <c r="H395" s="102" t="s">
        <v>48</v>
      </c>
      <c r="I395" s="102" t="s">
        <v>48</v>
      </c>
      <c r="J395" s="102" t="s">
        <v>48</v>
      </c>
      <c r="K395" s="102" t="s">
        <v>48</v>
      </c>
      <c r="L395" s="102" t="s">
        <v>48</v>
      </c>
      <c r="M395" s="102" t="s">
        <v>48</v>
      </c>
      <c r="N395" s="102" t="s">
        <v>48</v>
      </c>
      <c r="O395" s="102" t="s">
        <v>48</v>
      </c>
      <c r="P395" s="102" t="s">
        <v>48</v>
      </c>
      <c r="Q395" s="102" t="s">
        <v>48</v>
      </c>
      <c r="R395" s="102" t="s">
        <v>48</v>
      </c>
      <c r="S395" s="102" t="s">
        <v>48</v>
      </c>
      <c r="T395" s="102" t="s">
        <v>48</v>
      </c>
      <c r="U395" s="102" t="s">
        <v>48</v>
      </c>
      <c r="V395" s="102" t="s">
        <v>1727</v>
      </c>
      <c r="W395" s="102" t="s">
        <v>1727</v>
      </c>
      <c r="X395" s="102" t="s">
        <v>48</v>
      </c>
      <c r="Y395" s="102" t="s">
        <v>48</v>
      </c>
      <c r="Z395" s="102" t="s">
        <v>48</v>
      </c>
      <c r="AA395" s="102" t="s">
        <v>48</v>
      </c>
      <c r="AB395" s="102" t="s">
        <v>48</v>
      </c>
      <c r="AC395" s="102" t="s">
        <v>1687</v>
      </c>
      <c r="AD395" s="102" t="s">
        <v>48</v>
      </c>
      <c r="AE395" s="102" t="s">
        <v>82</v>
      </c>
      <c r="AF395" s="102" t="s">
        <v>1109</v>
      </c>
    </row>
    <row r="396" spans="1:32" ht="75" hidden="1" customHeight="1">
      <c r="A396" s="102" t="s">
        <v>660</v>
      </c>
      <c r="B396" s="102" t="s">
        <v>1730</v>
      </c>
      <c r="C396" s="102" t="s">
        <v>1728</v>
      </c>
      <c r="D396" s="70">
        <v>15000</v>
      </c>
      <c r="E396" s="102" t="s">
        <v>48</v>
      </c>
      <c r="F396" s="102" t="s">
        <v>48</v>
      </c>
      <c r="G396" s="102" t="s">
        <v>48</v>
      </c>
      <c r="H396" s="102" t="s">
        <v>48</v>
      </c>
      <c r="I396" s="102" t="s">
        <v>48</v>
      </c>
      <c r="J396" s="102" t="s">
        <v>48</v>
      </c>
      <c r="K396" s="102" t="s">
        <v>48</v>
      </c>
      <c r="L396" s="102" t="s">
        <v>48</v>
      </c>
      <c r="M396" s="102" t="s">
        <v>48</v>
      </c>
      <c r="N396" s="102" t="s">
        <v>48</v>
      </c>
      <c r="O396" s="102" t="s">
        <v>48</v>
      </c>
      <c r="P396" s="102" t="s">
        <v>48</v>
      </c>
      <c r="Q396" s="102" t="s">
        <v>48</v>
      </c>
      <c r="R396" s="102" t="s">
        <v>48</v>
      </c>
      <c r="S396" s="102" t="s">
        <v>48</v>
      </c>
      <c r="T396" s="102" t="s">
        <v>48</v>
      </c>
      <c r="U396" s="102" t="s">
        <v>48</v>
      </c>
      <c r="V396" s="102" t="s">
        <v>1854</v>
      </c>
      <c r="W396" s="102" t="s">
        <v>1854</v>
      </c>
      <c r="X396" s="103" t="s">
        <v>1712</v>
      </c>
      <c r="Y396" s="102" t="s">
        <v>1708</v>
      </c>
      <c r="Z396" s="102" t="s">
        <v>1708</v>
      </c>
      <c r="AA396" s="102" t="s">
        <v>1855</v>
      </c>
      <c r="AB396" s="102" t="s">
        <v>595</v>
      </c>
      <c r="AC396" s="102" t="s">
        <v>1687</v>
      </c>
      <c r="AD396" s="102" t="s">
        <v>1853</v>
      </c>
      <c r="AE396" s="102" t="s">
        <v>82</v>
      </c>
      <c r="AF396" s="102" t="s">
        <v>1858</v>
      </c>
    </row>
    <row r="397" spans="1:32" ht="75" hidden="1" customHeight="1">
      <c r="A397" s="102" t="s">
        <v>660</v>
      </c>
      <c r="B397" s="102" t="s">
        <v>1731</v>
      </c>
      <c r="C397" s="102" t="s">
        <v>1729</v>
      </c>
      <c r="D397" s="70">
        <v>15000</v>
      </c>
      <c r="E397" s="102" t="s">
        <v>48</v>
      </c>
      <c r="F397" s="102" t="s">
        <v>48</v>
      </c>
      <c r="G397" s="102" t="s">
        <v>48</v>
      </c>
      <c r="H397" s="102" t="s">
        <v>48</v>
      </c>
      <c r="I397" s="102" t="s">
        <v>48</v>
      </c>
      <c r="J397" s="102" t="s">
        <v>48</v>
      </c>
      <c r="K397" s="102" t="s">
        <v>48</v>
      </c>
      <c r="L397" s="102" t="s">
        <v>48</v>
      </c>
      <c r="M397" s="102" t="s">
        <v>48</v>
      </c>
      <c r="N397" s="102" t="s">
        <v>48</v>
      </c>
      <c r="O397" s="102" t="s">
        <v>48</v>
      </c>
      <c r="P397" s="102" t="s">
        <v>48</v>
      </c>
      <c r="Q397" s="102" t="s">
        <v>48</v>
      </c>
      <c r="R397" s="102" t="s">
        <v>48</v>
      </c>
      <c r="S397" s="102" t="s">
        <v>48</v>
      </c>
      <c r="T397" s="102" t="s">
        <v>48</v>
      </c>
      <c r="U397" s="102" t="s">
        <v>48</v>
      </c>
      <c r="V397" s="102" t="s">
        <v>1851</v>
      </c>
      <c r="W397" s="102" t="str">
        <f>V397</f>
        <v>PX26.0_R04_2127.a
PX26.3_R04_2127.a
VX28.0_R05_2127.a</v>
      </c>
      <c r="X397" s="102" t="s">
        <v>1712</v>
      </c>
      <c r="Y397" s="102" t="s">
        <v>1708</v>
      </c>
      <c r="Z397" s="102" t="s">
        <v>1708</v>
      </c>
      <c r="AA397" s="102" t="s">
        <v>1852</v>
      </c>
      <c r="AB397" s="102" t="s">
        <v>595</v>
      </c>
      <c r="AC397" s="102" t="s">
        <v>1687</v>
      </c>
      <c r="AD397" s="102" t="s">
        <v>1853</v>
      </c>
      <c r="AE397" s="102" t="s">
        <v>82</v>
      </c>
      <c r="AF397" s="102" t="s">
        <v>1857</v>
      </c>
    </row>
    <row r="398" spans="1:32" ht="75" hidden="1" customHeight="1">
      <c r="A398" s="102" t="s">
        <v>231</v>
      </c>
      <c r="B398" s="102" t="s">
        <v>1742</v>
      </c>
      <c r="C398" s="102" t="s">
        <v>1706</v>
      </c>
      <c r="D398" s="70">
        <v>15000</v>
      </c>
      <c r="E398" s="102" t="s">
        <v>48</v>
      </c>
      <c r="F398" s="102" t="s">
        <v>48</v>
      </c>
      <c r="G398" s="102" t="s">
        <v>48</v>
      </c>
      <c r="H398" s="102" t="s">
        <v>48</v>
      </c>
      <c r="I398" s="102" t="s">
        <v>48</v>
      </c>
      <c r="J398" s="102" t="s">
        <v>48</v>
      </c>
      <c r="K398" s="102" t="s">
        <v>48</v>
      </c>
      <c r="L398" s="102" t="s">
        <v>48</v>
      </c>
      <c r="M398" s="102" t="s">
        <v>48</v>
      </c>
      <c r="N398" s="102" t="s">
        <v>48</v>
      </c>
      <c r="O398" s="102" t="s">
        <v>48</v>
      </c>
      <c r="P398" s="102" t="s">
        <v>48</v>
      </c>
      <c r="Q398" s="102" t="s">
        <v>48</v>
      </c>
      <c r="R398" s="102" t="s">
        <v>48</v>
      </c>
      <c r="S398" s="102" t="s">
        <v>48</v>
      </c>
      <c r="T398" s="102" t="s">
        <v>48</v>
      </c>
      <c r="U398" s="102" t="s">
        <v>48</v>
      </c>
      <c r="V398" s="102" t="s">
        <v>1706</v>
      </c>
      <c r="W398" s="102" t="s">
        <v>1706</v>
      </c>
      <c r="X398" s="102" t="s">
        <v>48</v>
      </c>
      <c r="Y398" s="102" t="s">
        <v>48</v>
      </c>
      <c r="Z398" s="102" t="s">
        <v>48</v>
      </c>
      <c r="AA398" s="102" t="s">
        <v>48</v>
      </c>
      <c r="AB398" s="102" t="s">
        <v>48</v>
      </c>
      <c r="AC398" s="102" t="s">
        <v>1687</v>
      </c>
      <c r="AD398" s="102" t="s">
        <v>48</v>
      </c>
      <c r="AE398" s="102" t="s">
        <v>49</v>
      </c>
      <c r="AF398" s="102" t="s">
        <v>1743</v>
      </c>
    </row>
    <row r="399" spans="1:32" ht="75" hidden="1" customHeight="1">
      <c r="A399" s="102" t="s">
        <v>232</v>
      </c>
      <c r="B399" s="102" t="s">
        <v>1742</v>
      </c>
      <c r="C399" s="102" t="s">
        <v>1706</v>
      </c>
      <c r="D399" s="70">
        <v>15000</v>
      </c>
      <c r="E399" s="102" t="s">
        <v>48</v>
      </c>
      <c r="F399" s="102" t="s">
        <v>48</v>
      </c>
      <c r="G399" s="102" t="s">
        <v>48</v>
      </c>
      <c r="H399" s="102" t="s">
        <v>48</v>
      </c>
      <c r="I399" s="102" t="s">
        <v>48</v>
      </c>
      <c r="J399" s="102" t="s">
        <v>48</v>
      </c>
      <c r="K399" s="102" t="s">
        <v>48</v>
      </c>
      <c r="L399" s="102" t="s">
        <v>48</v>
      </c>
      <c r="M399" s="102" t="s">
        <v>48</v>
      </c>
      <c r="N399" s="102" t="s">
        <v>48</v>
      </c>
      <c r="O399" s="102" t="s">
        <v>48</v>
      </c>
      <c r="P399" s="102" t="s">
        <v>48</v>
      </c>
      <c r="Q399" s="102" t="s">
        <v>48</v>
      </c>
      <c r="R399" s="102" t="s">
        <v>48</v>
      </c>
      <c r="S399" s="102" t="s">
        <v>48</v>
      </c>
      <c r="T399" s="102" t="s">
        <v>48</v>
      </c>
      <c r="U399" s="102" t="s">
        <v>48</v>
      </c>
      <c r="V399" s="102" t="s">
        <v>1706</v>
      </c>
      <c r="W399" s="102" t="s">
        <v>1706</v>
      </c>
      <c r="X399" s="102" t="s">
        <v>48</v>
      </c>
      <c r="Y399" s="102" t="s">
        <v>48</v>
      </c>
      <c r="Z399" s="102" t="s">
        <v>48</v>
      </c>
      <c r="AA399" s="102" t="s">
        <v>48</v>
      </c>
      <c r="AB399" s="102" t="s">
        <v>48</v>
      </c>
      <c r="AC399" s="102" t="s">
        <v>1687</v>
      </c>
      <c r="AD399" s="102" t="s">
        <v>48</v>
      </c>
      <c r="AE399" s="102" t="s">
        <v>49</v>
      </c>
      <c r="AF399" s="102" t="s">
        <v>1743</v>
      </c>
    </row>
    <row r="400" spans="1:32" ht="75" hidden="1" customHeight="1">
      <c r="A400" s="102" t="s">
        <v>36</v>
      </c>
      <c r="B400" s="102" t="s">
        <v>1742</v>
      </c>
      <c r="C400" s="102" t="s">
        <v>1706</v>
      </c>
      <c r="D400" s="70">
        <v>30000</v>
      </c>
      <c r="E400" s="102" t="s">
        <v>48</v>
      </c>
      <c r="F400" s="102" t="s">
        <v>48</v>
      </c>
      <c r="G400" s="102" t="s">
        <v>48</v>
      </c>
      <c r="H400" s="102" t="s">
        <v>48</v>
      </c>
      <c r="I400" s="102" t="s">
        <v>48</v>
      </c>
      <c r="J400" s="102" t="s">
        <v>48</v>
      </c>
      <c r="K400" s="102" t="s">
        <v>48</v>
      </c>
      <c r="L400" s="102" t="s">
        <v>48</v>
      </c>
      <c r="M400" s="102" t="s">
        <v>48</v>
      </c>
      <c r="N400" s="102" t="s">
        <v>48</v>
      </c>
      <c r="O400" s="102" t="s">
        <v>48</v>
      </c>
      <c r="P400" s="102" t="s">
        <v>48</v>
      </c>
      <c r="Q400" s="102" t="s">
        <v>48</v>
      </c>
      <c r="R400" s="102" t="s">
        <v>48</v>
      </c>
      <c r="S400" s="102" t="s">
        <v>48</v>
      </c>
      <c r="T400" s="102" t="s">
        <v>48</v>
      </c>
      <c r="U400" s="102" t="s">
        <v>48</v>
      </c>
      <c r="V400" s="102" t="s">
        <v>1706</v>
      </c>
      <c r="W400" s="102" t="s">
        <v>1706</v>
      </c>
      <c r="X400" s="102" t="s">
        <v>48</v>
      </c>
      <c r="Y400" s="102" t="s">
        <v>48</v>
      </c>
      <c r="Z400" s="102" t="s">
        <v>48</v>
      </c>
      <c r="AA400" s="102" t="s">
        <v>48</v>
      </c>
      <c r="AB400" s="102" t="s">
        <v>48</v>
      </c>
      <c r="AC400" s="102" t="s">
        <v>1687</v>
      </c>
      <c r="AD400" s="102" t="s">
        <v>48</v>
      </c>
      <c r="AE400" s="102" t="s">
        <v>49</v>
      </c>
      <c r="AF400" s="102" t="s">
        <v>1743</v>
      </c>
    </row>
    <row r="401" spans="1:32" ht="75" hidden="1" customHeight="1">
      <c r="A401" s="102" t="s">
        <v>940</v>
      </c>
      <c r="B401" s="102" t="s">
        <v>1742</v>
      </c>
      <c r="C401" s="102" t="s">
        <v>1706</v>
      </c>
      <c r="D401" s="70">
        <v>30000</v>
      </c>
      <c r="E401" s="102" t="s">
        <v>48</v>
      </c>
      <c r="F401" s="102" t="s">
        <v>48</v>
      </c>
      <c r="G401" s="102" t="s">
        <v>48</v>
      </c>
      <c r="H401" s="102" t="s">
        <v>48</v>
      </c>
      <c r="I401" s="102" t="s">
        <v>48</v>
      </c>
      <c r="J401" s="102" t="s">
        <v>48</v>
      </c>
      <c r="K401" s="102" t="s">
        <v>48</v>
      </c>
      <c r="L401" s="102" t="s">
        <v>48</v>
      </c>
      <c r="M401" s="102" t="s">
        <v>48</v>
      </c>
      <c r="N401" s="102" t="s">
        <v>48</v>
      </c>
      <c r="O401" s="102" t="s">
        <v>48</v>
      </c>
      <c r="P401" s="102" t="s">
        <v>48</v>
      </c>
      <c r="Q401" s="102" t="s">
        <v>48</v>
      </c>
      <c r="R401" s="102" t="s">
        <v>48</v>
      </c>
      <c r="S401" s="102" t="s">
        <v>48</v>
      </c>
      <c r="T401" s="102" t="s">
        <v>48</v>
      </c>
      <c r="U401" s="102" t="s">
        <v>48</v>
      </c>
      <c r="V401" s="102" t="s">
        <v>1706</v>
      </c>
      <c r="W401" s="102" t="s">
        <v>1706</v>
      </c>
      <c r="X401" s="102" t="s">
        <v>48</v>
      </c>
      <c r="Y401" s="102" t="s">
        <v>48</v>
      </c>
      <c r="Z401" s="102" t="s">
        <v>48</v>
      </c>
      <c r="AA401" s="102" t="s">
        <v>48</v>
      </c>
      <c r="AB401" s="102" t="s">
        <v>48</v>
      </c>
      <c r="AC401" s="102" t="s">
        <v>1687</v>
      </c>
      <c r="AD401" s="102" t="s">
        <v>48</v>
      </c>
      <c r="AE401" s="102" t="s">
        <v>49</v>
      </c>
      <c r="AF401" s="102" t="s">
        <v>1743</v>
      </c>
    </row>
    <row r="402" spans="1:32" ht="75" hidden="1" customHeight="1">
      <c r="A402" s="102" t="s">
        <v>231</v>
      </c>
      <c r="B402" s="102" t="s">
        <v>1749</v>
      </c>
      <c r="C402" s="102" t="s">
        <v>1748</v>
      </c>
      <c r="D402" s="70">
        <v>15000</v>
      </c>
      <c r="E402" s="102" t="s">
        <v>48</v>
      </c>
      <c r="F402" s="102" t="s">
        <v>48</v>
      </c>
      <c r="G402" s="102" t="s">
        <v>48</v>
      </c>
      <c r="H402" s="102" t="s">
        <v>48</v>
      </c>
      <c r="I402" s="102" t="s">
        <v>48</v>
      </c>
      <c r="J402" s="102" t="s">
        <v>48</v>
      </c>
      <c r="K402" s="102" t="s">
        <v>48</v>
      </c>
      <c r="L402" s="102" t="s">
        <v>48</v>
      </c>
      <c r="M402" s="102" t="s">
        <v>48</v>
      </c>
      <c r="N402" s="102" t="s">
        <v>48</v>
      </c>
      <c r="O402" s="102" t="s">
        <v>48</v>
      </c>
      <c r="P402" s="102" t="s">
        <v>48</v>
      </c>
      <c r="Q402" s="102" t="s">
        <v>48</v>
      </c>
      <c r="R402" s="102" t="s">
        <v>48</v>
      </c>
      <c r="S402" s="102" t="s">
        <v>48</v>
      </c>
      <c r="T402" s="102" t="s">
        <v>48</v>
      </c>
      <c r="U402" s="102" t="s">
        <v>48</v>
      </c>
      <c r="V402" s="102" t="s">
        <v>1748</v>
      </c>
      <c r="W402" s="102" t="s">
        <v>1748</v>
      </c>
      <c r="X402" s="102" t="s">
        <v>48</v>
      </c>
      <c r="Y402" s="102" t="s">
        <v>48</v>
      </c>
      <c r="Z402" s="102" t="s">
        <v>48</v>
      </c>
      <c r="AA402" s="102" t="s">
        <v>48</v>
      </c>
      <c r="AB402" s="102" t="s">
        <v>48</v>
      </c>
      <c r="AC402" s="102" t="s">
        <v>1687</v>
      </c>
      <c r="AD402" s="102" t="s">
        <v>48</v>
      </c>
      <c r="AE402" s="102" t="s">
        <v>49</v>
      </c>
      <c r="AF402" s="102" t="s">
        <v>1744</v>
      </c>
    </row>
    <row r="403" spans="1:32" ht="75" hidden="1" customHeight="1">
      <c r="A403" s="102" t="s">
        <v>232</v>
      </c>
      <c r="B403" s="102" t="s">
        <v>1749</v>
      </c>
      <c r="C403" s="102" t="s">
        <v>1748</v>
      </c>
      <c r="D403" s="70">
        <v>15000</v>
      </c>
      <c r="E403" s="102" t="s">
        <v>48</v>
      </c>
      <c r="F403" s="102" t="s">
        <v>48</v>
      </c>
      <c r="G403" s="102" t="s">
        <v>48</v>
      </c>
      <c r="H403" s="102" t="s">
        <v>48</v>
      </c>
      <c r="I403" s="102" t="s">
        <v>48</v>
      </c>
      <c r="J403" s="102" t="s">
        <v>48</v>
      </c>
      <c r="K403" s="102" t="s">
        <v>48</v>
      </c>
      <c r="L403" s="102" t="s">
        <v>48</v>
      </c>
      <c r="M403" s="102" t="s">
        <v>48</v>
      </c>
      <c r="N403" s="102" t="s">
        <v>48</v>
      </c>
      <c r="O403" s="102" t="s">
        <v>48</v>
      </c>
      <c r="P403" s="102" t="s">
        <v>48</v>
      </c>
      <c r="Q403" s="102" t="s">
        <v>48</v>
      </c>
      <c r="R403" s="102" t="s">
        <v>48</v>
      </c>
      <c r="S403" s="102" t="s">
        <v>48</v>
      </c>
      <c r="T403" s="102" t="s">
        <v>48</v>
      </c>
      <c r="U403" s="102" t="s">
        <v>48</v>
      </c>
      <c r="V403" s="102" t="s">
        <v>1748</v>
      </c>
      <c r="W403" s="102" t="s">
        <v>1748</v>
      </c>
      <c r="X403" s="102" t="s">
        <v>48</v>
      </c>
      <c r="Y403" s="102" t="s">
        <v>48</v>
      </c>
      <c r="Z403" s="102" t="s">
        <v>48</v>
      </c>
      <c r="AA403" s="102" t="s">
        <v>48</v>
      </c>
      <c r="AB403" s="102" t="s">
        <v>48</v>
      </c>
      <c r="AC403" s="102" t="s">
        <v>1687</v>
      </c>
      <c r="AD403" s="102" t="s">
        <v>48</v>
      </c>
      <c r="AE403" s="102" t="s">
        <v>49</v>
      </c>
      <c r="AF403" s="102" t="s">
        <v>1744</v>
      </c>
    </row>
    <row r="404" spans="1:32" ht="75" hidden="1" customHeight="1">
      <c r="A404" s="102" t="s">
        <v>36</v>
      </c>
      <c r="B404" s="102" t="s">
        <v>1749</v>
      </c>
      <c r="C404" s="102" t="s">
        <v>1748</v>
      </c>
      <c r="D404" s="70">
        <v>30000</v>
      </c>
      <c r="E404" s="102" t="s">
        <v>48</v>
      </c>
      <c r="F404" s="102" t="s">
        <v>48</v>
      </c>
      <c r="G404" s="102" t="s">
        <v>48</v>
      </c>
      <c r="H404" s="102" t="s">
        <v>48</v>
      </c>
      <c r="I404" s="102" t="s">
        <v>48</v>
      </c>
      <c r="J404" s="102" t="s">
        <v>48</v>
      </c>
      <c r="K404" s="102" t="s">
        <v>48</v>
      </c>
      <c r="L404" s="102" t="s">
        <v>48</v>
      </c>
      <c r="M404" s="102" t="s">
        <v>48</v>
      </c>
      <c r="N404" s="102" t="s">
        <v>48</v>
      </c>
      <c r="O404" s="102" t="s">
        <v>48</v>
      </c>
      <c r="P404" s="102" t="s">
        <v>48</v>
      </c>
      <c r="Q404" s="102" t="s">
        <v>48</v>
      </c>
      <c r="R404" s="102" t="s">
        <v>48</v>
      </c>
      <c r="S404" s="102" t="s">
        <v>48</v>
      </c>
      <c r="T404" s="102" t="s">
        <v>48</v>
      </c>
      <c r="U404" s="102" t="s">
        <v>48</v>
      </c>
      <c r="V404" s="102" t="s">
        <v>1748</v>
      </c>
      <c r="W404" s="102" t="s">
        <v>1748</v>
      </c>
      <c r="X404" s="102" t="s">
        <v>48</v>
      </c>
      <c r="Y404" s="102" t="s">
        <v>48</v>
      </c>
      <c r="Z404" s="102" t="s">
        <v>48</v>
      </c>
      <c r="AA404" s="102" t="s">
        <v>48</v>
      </c>
      <c r="AB404" s="102" t="s">
        <v>48</v>
      </c>
      <c r="AC404" s="102" t="s">
        <v>1687</v>
      </c>
      <c r="AD404" s="102" t="s">
        <v>48</v>
      </c>
      <c r="AE404" s="102" t="s">
        <v>49</v>
      </c>
      <c r="AF404" s="102" t="s">
        <v>1744</v>
      </c>
    </row>
    <row r="405" spans="1:32" ht="75" hidden="1" customHeight="1">
      <c r="A405" s="102" t="s">
        <v>940</v>
      </c>
      <c r="B405" s="102" t="s">
        <v>1749</v>
      </c>
      <c r="C405" s="102" t="s">
        <v>1748</v>
      </c>
      <c r="D405" s="70">
        <v>30000</v>
      </c>
      <c r="E405" s="102" t="s">
        <v>48</v>
      </c>
      <c r="F405" s="102" t="s">
        <v>48</v>
      </c>
      <c r="G405" s="102" t="s">
        <v>48</v>
      </c>
      <c r="H405" s="102" t="s">
        <v>48</v>
      </c>
      <c r="I405" s="102" t="s">
        <v>48</v>
      </c>
      <c r="J405" s="102" t="s">
        <v>48</v>
      </c>
      <c r="K405" s="102" t="s">
        <v>48</v>
      </c>
      <c r="L405" s="102" t="s">
        <v>48</v>
      </c>
      <c r="M405" s="102" t="s">
        <v>48</v>
      </c>
      <c r="N405" s="102" t="s">
        <v>48</v>
      </c>
      <c r="O405" s="102" t="s">
        <v>48</v>
      </c>
      <c r="P405" s="102" t="s">
        <v>48</v>
      </c>
      <c r="Q405" s="102" t="s">
        <v>48</v>
      </c>
      <c r="R405" s="102" t="s">
        <v>48</v>
      </c>
      <c r="S405" s="102" t="s">
        <v>48</v>
      </c>
      <c r="T405" s="102" t="s">
        <v>48</v>
      </c>
      <c r="U405" s="102" t="s">
        <v>48</v>
      </c>
      <c r="V405" s="102" t="s">
        <v>1748</v>
      </c>
      <c r="W405" s="102" t="s">
        <v>1748</v>
      </c>
      <c r="X405" s="102" t="s">
        <v>48</v>
      </c>
      <c r="Y405" s="102" t="s">
        <v>48</v>
      </c>
      <c r="Z405" s="102" t="s">
        <v>48</v>
      </c>
      <c r="AA405" s="102" t="s">
        <v>48</v>
      </c>
      <c r="AB405" s="102" t="s">
        <v>48</v>
      </c>
      <c r="AC405" s="102" t="s">
        <v>1687</v>
      </c>
      <c r="AD405" s="102" t="s">
        <v>48</v>
      </c>
      <c r="AE405" s="102" t="s">
        <v>49</v>
      </c>
      <c r="AF405" s="102" t="s">
        <v>1744</v>
      </c>
    </row>
    <row r="406" spans="1:32" ht="75" hidden="1" customHeight="1">
      <c r="A406" s="102" t="s">
        <v>40</v>
      </c>
      <c r="B406" s="102" t="s">
        <v>866</v>
      </c>
      <c r="C406" s="102" t="s">
        <v>1754</v>
      </c>
      <c r="D406" s="70">
        <v>30000</v>
      </c>
      <c r="E406" s="102" t="s">
        <v>48</v>
      </c>
      <c r="F406" s="102" t="s">
        <v>48</v>
      </c>
      <c r="G406" s="102" t="s">
        <v>48</v>
      </c>
      <c r="H406" s="102" t="s">
        <v>48</v>
      </c>
      <c r="I406" s="102" t="s">
        <v>48</v>
      </c>
      <c r="J406" s="102" t="s">
        <v>48</v>
      </c>
      <c r="K406" s="103" t="s">
        <v>48</v>
      </c>
      <c r="L406" s="103" t="s">
        <v>48</v>
      </c>
      <c r="M406" s="103" t="s">
        <v>48</v>
      </c>
      <c r="N406" s="103" t="s">
        <v>48</v>
      </c>
      <c r="O406" s="103" t="s">
        <v>48</v>
      </c>
      <c r="P406" s="103" t="s">
        <v>48</v>
      </c>
      <c r="Q406" s="102" t="s">
        <v>48</v>
      </c>
      <c r="R406" s="102" t="s">
        <v>48</v>
      </c>
      <c r="S406" s="102" t="s">
        <v>48</v>
      </c>
      <c r="T406" s="102" t="s">
        <v>48</v>
      </c>
      <c r="U406" s="102" t="s">
        <v>48</v>
      </c>
      <c r="V406" s="102" t="s">
        <v>1753</v>
      </c>
      <c r="W406" s="102" t="s">
        <v>1753</v>
      </c>
      <c r="X406" s="102" t="s">
        <v>1759</v>
      </c>
      <c r="Y406" s="102" t="s">
        <v>1708</v>
      </c>
      <c r="Z406" s="102" t="s">
        <v>1708</v>
      </c>
      <c r="AA406" s="102" t="s">
        <v>1760</v>
      </c>
      <c r="AB406" s="102" t="s">
        <v>595</v>
      </c>
      <c r="AC406" s="102" t="s">
        <v>1687</v>
      </c>
      <c r="AD406" s="102" t="s">
        <v>1768</v>
      </c>
      <c r="AE406" s="102" t="s">
        <v>49</v>
      </c>
      <c r="AF406" s="102"/>
    </row>
    <row r="407" spans="1:32" ht="75" hidden="1" customHeight="1">
      <c r="A407" s="102" t="s">
        <v>40</v>
      </c>
      <c r="B407" s="102" t="s">
        <v>943</v>
      </c>
      <c r="C407" s="102" t="s">
        <v>1755</v>
      </c>
      <c r="D407" s="70">
        <v>30000</v>
      </c>
      <c r="E407" s="102" t="s">
        <v>48</v>
      </c>
      <c r="F407" s="102" t="s">
        <v>48</v>
      </c>
      <c r="G407" s="102" t="s">
        <v>48</v>
      </c>
      <c r="H407" s="102" t="s">
        <v>48</v>
      </c>
      <c r="I407" s="102" t="s">
        <v>48</v>
      </c>
      <c r="J407" s="102" t="s">
        <v>48</v>
      </c>
      <c r="K407" s="103" t="s">
        <v>48</v>
      </c>
      <c r="L407" s="103" t="s">
        <v>48</v>
      </c>
      <c r="M407" s="103" t="s">
        <v>48</v>
      </c>
      <c r="N407" s="103" t="s">
        <v>48</v>
      </c>
      <c r="O407" s="103" t="s">
        <v>48</v>
      </c>
      <c r="P407" s="103" t="s">
        <v>48</v>
      </c>
      <c r="Q407" s="102" t="s">
        <v>48</v>
      </c>
      <c r="R407" s="102" t="s">
        <v>48</v>
      </c>
      <c r="S407" s="102" t="s">
        <v>48</v>
      </c>
      <c r="T407" s="102" t="s">
        <v>48</v>
      </c>
      <c r="U407" s="102" t="s">
        <v>48</v>
      </c>
      <c r="V407" s="102" t="s">
        <v>1753</v>
      </c>
      <c r="W407" s="102" t="s">
        <v>1753</v>
      </c>
      <c r="X407" s="102" t="s">
        <v>1759</v>
      </c>
      <c r="Y407" s="102" t="s">
        <v>1708</v>
      </c>
      <c r="Z407" s="102" t="s">
        <v>1708</v>
      </c>
      <c r="AA407" s="102" t="s">
        <v>1760</v>
      </c>
      <c r="AB407" s="102" t="s">
        <v>595</v>
      </c>
      <c r="AC407" s="102" t="s">
        <v>1687</v>
      </c>
      <c r="AD407" s="102" t="s">
        <v>1768</v>
      </c>
      <c r="AE407" s="102" t="s">
        <v>49</v>
      </c>
      <c r="AF407" s="102"/>
    </row>
    <row r="408" spans="1:32" ht="75" hidden="1" customHeight="1">
      <c r="A408" s="102" t="s">
        <v>967</v>
      </c>
      <c r="B408" s="102" t="s">
        <v>968</v>
      </c>
      <c r="C408" s="102" t="s">
        <v>1756</v>
      </c>
      <c r="D408" s="70">
        <v>30000</v>
      </c>
      <c r="E408" s="102" t="s">
        <v>48</v>
      </c>
      <c r="F408" s="102" t="s">
        <v>48</v>
      </c>
      <c r="G408" s="102" t="s">
        <v>48</v>
      </c>
      <c r="H408" s="102" t="s">
        <v>48</v>
      </c>
      <c r="I408" s="102" t="s">
        <v>48</v>
      </c>
      <c r="J408" s="102" t="s">
        <v>48</v>
      </c>
      <c r="K408" s="103" t="s">
        <v>48</v>
      </c>
      <c r="L408" s="103" t="s">
        <v>48</v>
      </c>
      <c r="M408" s="103" t="s">
        <v>48</v>
      </c>
      <c r="N408" s="103" t="s">
        <v>48</v>
      </c>
      <c r="O408" s="103" t="s">
        <v>48</v>
      </c>
      <c r="P408" s="103" t="s">
        <v>48</v>
      </c>
      <c r="Q408" s="102" t="s">
        <v>48</v>
      </c>
      <c r="R408" s="102" t="s">
        <v>48</v>
      </c>
      <c r="S408" s="102" t="s">
        <v>48</v>
      </c>
      <c r="T408" s="102" t="s">
        <v>48</v>
      </c>
      <c r="U408" s="102" t="s">
        <v>48</v>
      </c>
      <c r="V408" s="102" t="s">
        <v>1753</v>
      </c>
      <c r="W408" s="102" t="s">
        <v>1753</v>
      </c>
      <c r="X408" s="102" t="s">
        <v>1759</v>
      </c>
      <c r="Y408" s="102" t="s">
        <v>1708</v>
      </c>
      <c r="Z408" s="102" t="s">
        <v>1708</v>
      </c>
      <c r="AA408" s="102" t="s">
        <v>1760</v>
      </c>
      <c r="AB408" s="102" t="s">
        <v>595</v>
      </c>
      <c r="AC408" s="102" t="s">
        <v>1687</v>
      </c>
      <c r="AD408" s="102" t="s">
        <v>1768</v>
      </c>
      <c r="AE408" s="102" t="s">
        <v>49</v>
      </c>
      <c r="AF408" s="102"/>
    </row>
    <row r="409" spans="1:32" ht="75" hidden="1" customHeight="1">
      <c r="A409" s="102" t="s">
        <v>967</v>
      </c>
      <c r="B409" s="102" t="s">
        <v>1001</v>
      </c>
      <c r="C409" s="102" t="s">
        <v>1757</v>
      </c>
      <c r="D409" s="70">
        <v>30000</v>
      </c>
      <c r="E409" s="102" t="s">
        <v>48</v>
      </c>
      <c r="F409" s="102" t="s">
        <v>48</v>
      </c>
      <c r="G409" s="102" t="s">
        <v>48</v>
      </c>
      <c r="H409" s="102" t="s">
        <v>48</v>
      </c>
      <c r="I409" s="102" t="s">
        <v>48</v>
      </c>
      <c r="J409" s="102" t="s">
        <v>48</v>
      </c>
      <c r="K409" s="103" t="s">
        <v>48</v>
      </c>
      <c r="L409" s="103" t="s">
        <v>48</v>
      </c>
      <c r="M409" s="103" t="s">
        <v>48</v>
      </c>
      <c r="N409" s="103" t="s">
        <v>48</v>
      </c>
      <c r="O409" s="103" t="s">
        <v>48</v>
      </c>
      <c r="P409" s="103" t="s">
        <v>48</v>
      </c>
      <c r="Q409" s="102" t="s">
        <v>48</v>
      </c>
      <c r="R409" s="102" t="s">
        <v>48</v>
      </c>
      <c r="S409" s="102" t="s">
        <v>48</v>
      </c>
      <c r="T409" s="102" t="s">
        <v>48</v>
      </c>
      <c r="U409" s="102" t="s">
        <v>48</v>
      </c>
      <c r="V409" s="102" t="s">
        <v>1753</v>
      </c>
      <c r="W409" s="102" t="s">
        <v>1753</v>
      </c>
      <c r="X409" s="102" t="s">
        <v>1759</v>
      </c>
      <c r="Y409" s="102" t="s">
        <v>1708</v>
      </c>
      <c r="Z409" s="102" t="s">
        <v>1708</v>
      </c>
      <c r="AA409" s="102" t="s">
        <v>1760</v>
      </c>
      <c r="AB409" s="102" t="s">
        <v>595</v>
      </c>
      <c r="AC409" s="102" t="s">
        <v>1687</v>
      </c>
      <c r="AD409" s="102" t="s">
        <v>1768</v>
      </c>
      <c r="AE409" s="102" t="s">
        <v>49</v>
      </c>
      <c r="AF409" s="102"/>
    </row>
    <row r="410" spans="1:32" ht="75" hidden="1" customHeight="1">
      <c r="A410" s="102" t="s">
        <v>40</v>
      </c>
      <c r="B410" s="102" t="s">
        <v>1395</v>
      </c>
      <c r="C410" s="102" t="s">
        <v>1758</v>
      </c>
      <c r="D410" s="70">
        <v>30000</v>
      </c>
      <c r="E410" s="102" t="s">
        <v>48</v>
      </c>
      <c r="F410" s="102" t="s">
        <v>48</v>
      </c>
      <c r="G410" s="102" t="s">
        <v>48</v>
      </c>
      <c r="H410" s="102" t="s">
        <v>48</v>
      </c>
      <c r="I410" s="102" t="s">
        <v>48</v>
      </c>
      <c r="J410" s="102" t="s">
        <v>48</v>
      </c>
      <c r="K410" s="103" t="s">
        <v>48</v>
      </c>
      <c r="L410" s="103" t="s">
        <v>48</v>
      </c>
      <c r="M410" s="103" t="s">
        <v>48</v>
      </c>
      <c r="N410" s="103" t="s">
        <v>48</v>
      </c>
      <c r="O410" s="103" t="s">
        <v>48</v>
      </c>
      <c r="P410" s="103" t="s">
        <v>48</v>
      </c>
      <c r="Q410" s="102" t="s">
        <v>48</v>
      </c>
      <c r="R410" s="102" t="s">
        <v>48</v>
      </c>
      <c r="S410" s="102" t="s">
        <v>48</v>
      </c>
      <c r="T410" s="102" t="s">
        <v>48</v>
      </c>
      <c r="U410" s="102" t="s">
        <v>48</v>
      </c>
      <c r="V410" s="102" t="s">
        <v>1753</v>
      </c>
      <c r="W410" s="102" t="s">
        <v>1753</v>
      </c>
      <c r="X410" s="102" t="s">
        <v>1759</v>
      </c>
      <c r="Y410" s="102" t="s">
        <v>1708</v>
      </c>
      <c r="Z410" s="102" t="s">
        <v>1708</v>
      </c>
      <c r="AA410" s="102" t="s">
        <v>1760</v>
      </c>
      <c r="AB410" s="102" t="s">
        <v>595</v>
      </c>
      <c r="AC410" s="102" t="s">
        <v>1687</v>
      </c>
      <c r="AD410" s="102" t="s">
        <v>1768</v>
      </c>
      <c r="AE410" s="102" t="s">
        <v>49</v>
      </c>
      <c r="AF410" s="102"/>
    </row>
    <row r="411" spans="1:32" ht="75" hidden="1" customHeight="1">
      <c r="A411" s="102" t="s">
        <v>40</v>
      </c>
      <c r="B411" s="102" t="s">
        <v>1712</v>
      </c>
      <c r="C411" s="102" t="s">
        <v>1753</v>
      </c>
      <c r="D411" s="70">
        <v>30000</v>
      </c>
      <c r="E411" s="102" t="s">
        <v>48</v>
      </c>
      <c r="F411" s="102" t="s">
        <v>48</v>
      </c>
      <c r="G411" s="102" t="s">
        <v>48</v>
      </c>
      <c r="H411" s="102" t="s">
        <v>48</v>
      </c>
      <c r="I411" s="102" t="s">
        <v>48</v>
      </c>
      <c r="J411" s="102" t="s">
        <v>48</v>
      </c>
      <c r="K411" s="102" t="s">
        <v>48</v>
      </c>
      <c r="L411" s="102" t="s">
        <v>48</v>
      </c>
      <c r="M411" s="102" t="s">
        <v>48</v>
      </c>
      <c r="N411" s="102" t="s">
        <v>48</v>
      </c>
      <c r="O411" s="102" t="s">
        <v>48</v>
      </c>
      <c r="P411" s="102" t="s">
        <v>48</v>
      </c>
      <c r="Q411" s="102" t="s">
        <v>48</v>
      </c>
      <c r="R411" s="102" t="s">
        <v>48</v>
      </c>
      <c r="S411" s="102" t="s">
        <v>48</v>
      </c>
      <c r="T411" s="102" t="s">
        <v>48</v>
      </c>
      <c r="U411" s="102" t="s">
        <v>48</v>
      </c>
      <c r="V411" s="102" t="s">
        <v>1753</v>
      </c>
      <c r="W411" s="102" t="s">
        <v>1753</v>
      </c>
      <c r="X411" s="102" t="s">
        <v>48</v>
      </c>
      <c r="Y411" s="102" t="s">
        <v>48</v>
      </c>
      <c r="Z411" s="102" t="s">
        <v>48</v>
      </c>
      <c r="AA411" s="102" t="s">
        <v>48</v>
      </c>
      <c r="AB411" s="102" t="s">
        <v>48</v>
      </c>
      <c r="AC411" s="102" t="s">
        <v>1687</v>
      </c>
      <c r="AD411" s="102" t="s">
        <v>48</v>
      </c>
      <c r="AE411" s="102" t="s">
        <v>49</v>
      </c>
      <c r="AF411" s="102"/>
    </row>
    <row r="412" spans="1:32" ht="75" hidden="1" customHeight="1">
      <c r="A412" s="102" t="s">
        <v>40</v>
      </c>
      <c r="B412" s="102" t="s">
        <v>1712</v>
      </c>
      <c r="C412" s="102" t="s">
        <v>1761</v>
      </c>
      <c r="D412" s="70">
        <v>30000</v>
      </c>
      <c r="E412" s="102" t="s">
        <v>48</v>
      </c>
      <c r="F412" s="102" t="s">
        <v>48</v>
      </c>
      <c r="G412" s="102" t="s">
        <v>48</v>
      </c>
      <c r="H412" s="102" t="s">
        <v>48</v>
      </c>
      <c r="I412" s="102" t="s">
        <v>48</v>
      </c>
      <c r="J412" s="102" t="s">
        <v>48</v>
      </c>
      <c r="K412" s="102" t="s">
        <v>48</v>
      </c>
      <c r="L412" s="102" t="s">
        <v>48</v>
      </c>
      <c r="M412" s="102" t="s">
        <v>48</v>
      </c>
      <c r="N412" s="102" t="s">
        <v>48</v>
      </c>
      <c r="O412" s="102" t="s">
        <v>48</v>
      </c>
      <c r="P412" s="102" t="s">
        <v>48</v>
      </c>
      <c r="Q412" s="102" t="s">
        <v>48</v>
      </c>
      <c r="R412" s="102" t="s">
        <v>48</v>
      </c>
      <c r="S412" s="102" t="s">
        <v>48</v>
      </c>
      <c r="T412" s="102" t="s">
        <v>48</v>
      </c>
      <c r="U412" s="102" t="s">
        <v>48</v>
      </c>
      <c r="V412" s="102" t="s">
        <v>1761</v>
      </c>
      <c r="W412" s="102" t="s">
        <v>1761</v>
      </c>
      <c r="X412" s="102" t="s">
        <v>48</v>
      </c>
      <c r="Y412" s="102" t="s">
        <v>48</v>
      </c>
      <c r="Z412" s="102" t="s">
        <v>48</v>
      </c>
      <c r="AA412" s="102" t="s">
        <v>48</v>
      </c>
      <c r="AB412" s="102" t="s">
        <v>48</v>
      </c>
      <c r="AC412" s="102" t="s">
        <v>1687</v>
      </c>
      <c r="AD412" s="102" t="s">
        <v>48</v>
      </c>
      <c r="AE412" s="102" t="s">
        <v>49</v>
      </c>
      <c r="AF412" s="102"/>
    </row>
    <row r="413" spans="1:32" ht="75" hidden="1" customHeight="1">
      <c r="A413" s="102" t="s">
        <v>865</v>
      </c>
      <c r="B413" s="102" t="s">
        <v>866</v>
      </c>
      <c r="C413" s="102" t="s">
        <v>1778</v>
      </c>
      <c r="D413" s="70">
        <v>30000</v>
      </c>
      <c r="E413" s="102" t="s">
        <v>48</v>
      </c>
      <c r="F413" s="102" t="s">
        <v>48</v>
      </c>
      <c r="G413" s="102" t="s">
        <v>48</v>
      </c>
      <c r="H413" s="102" t="s">
        <v>48</v>
      </c>
      <c r="I413" s="102" t="s">
        <v>48</v>
      </c>
      <c r="J413" s="102" t="s">
        <v>48</v>
      </c>
      <c r="K413" s="103" t="s">
        <v>65</v>
      </c>
      <c r="L413" s="102" t="s">
        <v>48</v>
      </c>
      <c r="M413" s="8" t="s">
        <v>48</v>
      </c>
      <c r="N413" s="102" t="s">
        <v>48</v>
      </c>
      <c r="O413" s="102" t="s">
        <v>48</v>
      </c>
      <c r="P413" s="102" t="s">
        <v>48</v>
      </c>
      <c r="Q413" s="102" t="s">
        <v>48</v>
      </c>
      <c r="R413" s="102" t="s">
        <v>48</v>
      </c>
      <c r="S413" s="102" t="s">
        <v>48</v>
      </c>
      <c r="T413" s="102" t="s">
        <v>48</v>
      </c>
      <c r="U413" s="102" t="s">
        <v>48</v>
      </c>
      <c r="V413" s="7" t="s">
        <v>1775</v>
      </c>
      <c r="W413" s="7" t="s">
        <v>1775</v>
      </c>
      <c r="X413" s="102" t="s">
        <v>1782</v>
      </c>
      <c r="Y413" s="102" t="s">
        <v>1708</v>
      </c>
      <c r="Z413" s="102" t="s">
        <v>1708</v>
      </c>
      <c r="AA413" s="102" t="s">
        <v>1783</v>
      </c>
      <c r="AB413" s="102" t="s">
        <v>595</v>
      </c>
      <c r="AC413" s="102" t="s">
        <v>1687</v>
      </c>
      <c r="AD413" s="102" t="s">
        <v>1774</v>
      </c>
      <c r="AE413" s="102" t="s">
        <v>49</v>
      </c>
      <c r="AF413" s="102"/>
    </row>
    <row r="414" spans="1:32" ht="75" hidden="1" customHeight="1">
      <c r="A414" s="102" t="s">
        <v>865</v>
      </c>
      <c r="B414" s="102" t="s">
        <v>943</v>
      </c>
      <c r="C414" s="102" t="s">
        <v>1779</v>
      </c>
      <c r="D414" s="70">
        <v>30000</v>
      </c>
      <c r="E414" s="102" t="s">
        <v>48</v>
      </c>
      <c r="F414" s="102" t="s">
        <v>48</v>
      </c>
      <c r="G414" s="102" t="s">
        <v>48</v>
      </c>
      <c r="H414" s="102" t="s">
        <v>48</v>
      </c>
      <c r="I414" s="102" t="s">
        <v>48</v>
      </c>
      <c r="J414" s="102" t="s">
        <v>48</v>
      </c>
      <c r="K414" s="103" t="s">
        <v>48</v>
      </c>
      <c r="L414" s="103" t="s">
        <v>48</v>
      </c>
      <c r="M414" s="103" t="s">
        <v>48</v>
      </c>
      <c r="N414" s="103" t="s">
        <v>48</v>
      </c>
      <c r="O414" s="103" t="s">
        <v>48</v>
      </c>
      <c r="P414" s="103" t="s">
        <v>48</v>
      </c>
      <c r="Q414" s="102" t="s">
        <v>48</v>
      </c>
      <c r="R414" s="102" t="s">
        <v>48</v>
      </c>
      <c r="S414" s="102" t="s">
        <v>48</v>
      </c>
      <c r="T414" s="102" t="s">
        <v>48</v>
      </c>
      <c r="U414" s="102" t="s">
        <v>48</v>
      </c>
      <c r="V414" s="102" t="s">
        <v>1775</v>
      </c>
      <c r="W414" s="102" t="s">
        <v>1775</v>
      </c>
      <c r="X414" s="102" t="s">
        <v>1782</v>
      </c>
      <c r="Y414" s="102" t="s">
        <v>1708</v>
      </c>
      <c r="Z414" s="102" t="s">
        <v>1708</v>
      </c>
      <c r="AA414" s="102" t="s">
        <v>1783</v>
      </c>
      <c r="AB414" s="102" t="s">
        <v>595</v>
      </c>
      <c r="AC414" s="102" t="s">
        <v>1687</v>
      </c>
      <c r="AD414" s="102" t="s">
        <v>1774</v>
      </c>
      <c r="AE414" s="102" t="s">
        <v>49</v>
      </c>
      <c r="AF414" s="102"/>
    </row>
    <row r="415" spans="1:32" ht="75" hidden="1" customHeight="1">
      <c r="A415" s="102" t="s">
        <v>865</v>
      </c>
      <c r="B415" s="102" t="s">
        <v>1001</v>
      </c>
      <c r="C415" s="102" t="s">
        <v>1780</v>
      </c>
      <c r="D415" s="70">
        <v>30000</v>
      </c>
      <c r="E415" s="102" t="s">
        <v>48</v>
      </c>
      <c r="F415" s="102" t="s">
        <v>48</v>
      </c>
      <c r="G415" s="102" t="s">
        <v>48</v>
      </c>
      <c r="H415" s="102" t="s">
        <v>48</v>
      </c>
      <c r="I415" s="102" t="s">
        <v>48</v>
      </c>
      <c r="J415" s="102" t="s">
        <v>48</v>
      </c>
      <c r="K415" s="103" t="s">
        <v>48</v>
      </c>
      <c r="L415" s="103" t="s">
        <v>48</v>
      </c>
      <c r="M415" s="103" t="s">
        <v>48</v>
      </c>
      <c r="N415" s="103" t="s">
        <v>48</v>
      </c>
      <c r="O415" s="103" t="s">
        <v>48</v>
      </c>
      <c r="P415" s="103" t="s">
        <v>48</v>
      </c>
      <c r="Q415" s="102" t="s">
        <v>48</v>
      </c>
      <c r="R415" s="102" t="s">
        <v>48</v>
      </c>
      <c r="S415" s="102" t="s">
        <v>48</v>
      </c>
      <c r="T415" s="102" t="s">
        <v>48</v>
      </c>
      <c r="U415" s="102" t="s">
        <v>48</v>
      </c>
      <c r="V415" s="102" t="s">
        <v>1775</v>
      </c>
      <c r="W415" s="102" t="s">
        <v>1775</v>
      </c>
      <c r="X415" s="102" t="s">
        <v>1782</v>
      </c>
      <c r="Y415" s="102" t="s">
        <v>1708</v>
      </c>
      <c r="Z415" s="102" t="s">
        <v>1708</v>
      </c>
      <c r="AA415" s="102" t="s">
        <v>1783</v>
      </c>
      <c r="AB415" s="102" t="s">
        <v>595</v>
      </c>
      <c r="AC415" s="102" t="s">
        <v>1687</v>
      </c>
      <c r="AD415" s="102" t="s">
        <v>1774</v>
      </c>
      <c r="AE415" s="102" t="s">
        <v>49</v>
      </c>
      <c r="AF415" s="102"/>
    </row>
    <row r="416" spans="1:32" ht="75" hidden="1" customHeight="1">
      <c r="A416" s="102" t="s">
        <v>865</v>
      </c>
      <c r="B416" s="103" t="s">
        <v>1395</v>
      </c>
      <c r="C416" s="102" t="s">
        <v>1781</v>
      </c>
      <c r="D416" s="70">
        <v>30000</v>
      </c>
      <c r="E416" s="102" t="s">
        <v>48</v>
      </c>
      <c r="F416" s="102" t="s">
        <v>48</v>
      </c>
      <c r="G416" s="102" t="s">
        <v>48</v>
      </c>
      <c r="H416" s="102" t="s">
        <v>48</v>
      </c>
      <c r="I416" s="102" t="s">
        <v>48</v>
      </c>
      <c r="J416" s="102" t="s">
        <v>48</v>
      </c>
      <c r="K416" s="103" t="s">
        <v>48</v>
      </c>
      <c r="L416" s="103" t="s">
        <v>48</v>
      </c>
      <c r="M416" s="103" t="s">
        <v>48</v>
      </c>
      <c r="N416" s="103" t="s">
        <v>48</v>
      </c>
      <c r="O416" s="103" t="s">
        <v>48</v>
      </c>
      <c r="P416" s="103" t="s">
        <v>48</v>
      </c>
      <c r="Q416" s="102" t="s">
        <v>48</v>
      </c>
      <c r="R416" s="102" t="s">
        <v>48</v>
      </c>
      <c r="S416" s="102" t="s">
        <v>48</v>
      </c>
      <c r="T416" s="102" t="s">
        <v>48</v>
      </c>
      <c r="U416" s="102" t="s">
        <v>48</v>
      </c>
      <c r="V416" s="102" t="s">
        <v>1775</v>
      </c>
      <c r="W416" s="102" t="s">
        <v>1775</v>
      </c>
      <c r="X416" s="102" t="s">
        <v>1782</v>
      </c>
      <c r="Y416" s="102" t="s">
        <v>1708</v>
      </c>
      <c r="Z416" s="102" t="s">
        <v>1708</v>
      </c>
      <c r="AA416" s="102" t="s">
        <v>1783</v>
      </c>
      <c r="AB416" s="102" t="s">
        <v>595</v>
      </c>
      <c r="AC416" s="102" t="s">
        <v>1687</v>
      </c>
      <c r="AD416" s="102" t="s">
        <v>1774</v>
      </c>
      <c r="AE416" s="102" t="s">
        <v>49</v>
      </c>
      <c r="AF416" s="102"/>
    </row>
    <row r="417" spans="1:32" ht="75" hidden="1" customHeight="1">
      <c r="A417" s="102" t="s">
        <v>865</v>
      </c>
      <c r="B417" s="102" t="s">
        <v>1712</v>
      </c>
      <c r="C417" s="102" t="s">
        <v>1775</v>
      </c>
      <c r="D417" s="70">
        <v>30000</v>
      </c>
      <c r="E417" s="102" t="s">
        <v>48</v>
      </c>
      <c r="F417" s="102" t="s">
        <v>48</v>
      </c>
      <c r="G417" s="102" t="s">
        <v>48</v>
      </c>
      <c r="H417" s="102" t="s">
        <v>48</v>
      </c>
      <c r="I417" s="102" t="s">
        <v>48</v>
      </c>
      <c r="J417" s="102" t="s">
        <v>48</v>
      </c>
      <c r="K417" s="102" t="s">
        <v>48</v>
      </c>
      <c r="L417" s="102" t="s">
        <v>48</v>
      </c>
      <c r="M417" s="102" t="s">
        <v>48</v>
      </c>
      <c r="N417" s="102" t="s">
        <v>48</v>
      </c>
      <c r="O417" s="102" t="s">
        <v>48</v>
      </c>
      <c r="P417" s="102" t="s">
        <v>48</v>
      </c>
      <c r="Q417" s="102" t="s">
        <v>48</v>
      </c>
      <c r="R417" s="102" t="s">
        <v>48</v>
      </c>
      <c r="S417" s="102" t="s">
        <v>48</v>
      </c>
      <c r="T417" s="102" t="s">
        <v>48</v>
      </c>
      <c r="U417" s="102" t="s">
        <v>48</v>
      </c>
      <c r="V417" s="102" t="s">
        <v>1775</v>
      </c>
      <c r="W417" s="102" t="s">
        <v>1775</v>
      </c>
      <c r="X417" s="102" t="s">
        <v>48</v>
      </c>
      <c r="Y417" s="102" t="s">
        <v>48</v>
      </c>
      <c r="Z417" s="102" t="s">
        <v>48</v>
      </c>
      <c r="AA417" s="102" t="s">
        <v>48</v>
      </c>
      <c r="AB417" s="102" t="s">
        <v>48</v>
      </c>
      <c r="AC417" s="102" t="s">
        <v>1687</v>
      </c>
      <c r="AD417" s="102" t="s">
        <v>48</v>
      </c>
      <c r="AE417" s="102" t="s">
        <v>49</v>
      </c>
      <c r="AF417" s="102"/>
    </row>
    <row r="418" spans="1:32" ht="75" hidden="1" customHeight="1">
      <c r="A418" s="102" t="s">
        <v>865</v>
      </c>
      <c r="B418" s="102" t="s">
        <v>1712</v>
      </c>
      <c r="C418" s="102" t="s">
        <v>1776</v>
      </c>
      <c r="D418" s="70">
        <v>30000</v>
      </c>
      <c r="E418" s="102" t="s">
        <v>48</v>
      </c>
      <c r="F418" s="102" t="s">
        <v>48</v>
      </c>
      <c r="G418" s="102" t="s">
        <v>48</v>
      </c>
      <c r="H418" s="102" t="s">
        <v>48</v>
      </c>
      <c r="I418" s="102" t="s">
        <v>48</v>
      </c>
      <c r="J418" s="102" t="s">
        <v>48</v>
      </c>
      <c r="K418" s="102" t="s">
        <v>48</v>
      </c>
      <c r="L418" s="102" t="s">
        <v>48</v>
      </c>
      <c r="M418" s="102" t="s">
        <v>48</v>
      </c>
      <c r="N418" s="102" t="s">
        <v>48</v>
      </c>
      <c r="O418" s="102" t="s">
        <v>48</v>
      </c>
      <c r="P418" s="102" t="s">
        <v>48</v>
      </c>
      <c r="Q418" s="102" t="s">
        <v>48</v>
      </c>
      <c r="R418" s="102" t="s">
        <v>48</v>
      </c>
      <c r="S418" s="102" t="s">
        <v>48</v>
      </c>
      <c r="T418" s="102" t="s">
        <v>48</v>
      </c>
      <c r="U418" s="102" t="s">
        <v>48</v>
      </c>
      <c r="V418" s="102" t="s">
        <v>1776</v>
      </c>
      <c r="W418" s="102" t="s">
        <v>1776</v>
      </c>
      <c r="X418" s="102" t="s">
        <v>48</v>
      </c>
      <c r="Y418" s="102" t="s">
        <v>48</v>
      </c>
      <c r="Z418" s="102" t="s">
        <v>48</v>
      </c>
      <c r="AA418" s="102" t="s">
        <v>48</v>
      </c>
      <c r="AB418" s="102" t="s">
        <v>48</v>
      </c>
      <c r="AC418" s="102" t="s">
        <v>1687</v>
      </c>
      <c r="AD418" s="102" t="s">
        <v>48</v>
      </c>
      <c r="AE418" s="102" t="s">
        <v>49</v>
      </c>
      <c r="AF418" s="102"/>
    </row>
    <row r="419" spans="1:32" ht="75" hidden="1" customHeight="1">
      <c r="A419" s="102" t="s">
        <v>36</v>
      </c>
      <c r="B419" s="102" t="s">
        <v>1627</v>
      </c>
      <c r="C419" s="102" t="s">
        <v>1618</v>
      </c>
      <c r="D419" s="70">
        <v>30000</v>
      </c>
      <c r="E419" s="102" t="s">
        <v>48</v>
      </c>
      <c r="F419" s="102" t="s">
        <v>48</v>
      </c>
      <c r="G419" s="102" t="s">
        <v>48</v>
      </c>
      <c r="H419" s="102" t="s">
        <v>48</v>
      </c>
      <c r="I419" s="102" t="s">
        <v>48</v>
      </c>
      <c r="J419" s="102" t="s">
        <v>48</v>
      </c>
      <c r="K419" s="102" t="s">
        <v>48</v>
      </c>
      <c r="L419" s="102" t="s">
        <v>48</v>
      </c>
      <c r="M419" s="102" t="s">
        <v>48</v>
      </c>
      <c r="N419" s="102" t="s">
        <v>48</v>
      </c>
      <c r="O419" s="102" t="s">
        <v>48</v>
      </c>
      <c r="P419" s="102" t="s">
        <v>48</v>
      </c>
      <c r="Q419" s="102" t="s">
        <v>48</v>
      </c>
      <c r="R419" s="102" t="s">
        <v>48</v>
      </c>
      <c r="S419" s="102" t="s">
        <v>48</v>
      </c>
      <c r="T419" s="102" t="s">
        <v>48</v>
      </c>
      <c r="U419" s="102" t="s">
        <v>48</v>
      </c>
      <c r="V419" s="102" t="s">
        <v>1698</v>
      </c>
      <c r="W419" s="102" t="s">
        <v>1698</v>
      </c>
      <c r="X419" s="102" t="s">
        <v>1786</v>
      </c>
      <c r="Y419" s="102" t="s">
        <v>1708</v>
      </c>
      <c r="Z419" s="102" t="s">
        <v>1708</v>
      </c>
      <c r="AA419" s="102" t="s">
        <v>1787</v>
      </c>
      <c r="AB419" s="102" t="s">
        <v>595</v>
      </c>
      <c r="AC419" s="102" t="s">
        <v>1687</v>
      </c>
      <c r="AD419" s="102" t="s">
        <v>48</v>
      </c>
      <c r="AE419" s="102" t="s">
        <v>49</v>
      </c>
      <c r="AF419" s="102" t="s">
        <v>1700</v>
      </c>
    </row>
    <row r="420" spans="1:32" ht="75" hidden="1" customHeight="1">
      <c r="A420" s="102" t="s">
        <v>940</v>
      </c>
      <c r="B420" s="102" t="s">
        <v>1627</v>
      </c>
      <c r="C420" s="102" t="s">
        <v>1618</v>
      </c>
      <c r="D420" s="70">
        <v>30000</v>
      </c>
      <c r="E420" s="102" t="s">
        <v>48</v>
      </c>
      <c r="F420" s="102" t="s">
        <v>48</v>
      </c>
      <c r="G420" s="102" t="s">
        <v>48</v>
      </c>
      <c r="H420" s="102" t="s">
        <v>48</v>
      </c>
      <c r="I420" s="102" t="s">
        <v>48</v>
      </c>
      <c r="J420" s="102" t="s">
        <v>48</v>
      </c>
      <c r="K420" s="102" t="s">
        <v>48</v>
      </c>
      <c r="L420" s="102" t="s">
        <v>48</v>
      </c>
      <c r="M420" s="102" t="s">
        <v>48</v>
      </c>
      <c r="N420" s="102" t="s">
        <v>48</v>
      </c>
      <c r="O420" s="102" t="s">
        <v>48</v>
      </c>
      <c r="P420" s="102" t="s">
        <v>48</v>
      </c>
      <c r="Q420" s="102" t="s">
        <v>48</v>
      </c>
      <c r="R420" s="102" t="s">
        <v>48</v>
      </c>
      <c r="S420" s="102" t="s">
        <v>48</v>
      </c>
      <c r="T420" s="102" t="s">
        <v>48</v>
      </c>
      <c r="U420" s="102" t="s">
        <v>48</v>
      </c>
      <c r="V420" s="102" t="s">
        <v>1698</v>
      </c>
      <c r="W420" s="102" t="s">
        <v>1698</v>
      </c>
      <c r="X420" s="102" t="s">
        <v>1786</v>
      </c>
      <c r="Y420" s="102" t="s">
        <v>1708</v>
      </c>
      <c r="Z420" s="102" t="s">
        <v>1708</v>
      </c>
      <c r="AA420" s="102" t="s">
        <v>1787</v>
      </c>
      <c r="AB420" s="102" t="s">
        <v>595</v>
      </c>
      <c r="AC420" s="102" t="s">
        <v>1687</v>
      </c>
      <c r="AD420" s="102" t="s">
        <v>48</v>
      </c>
      <c r="AE420" s="102" t="s">
        <v>49</v>
      </c>
      <c r="AF420" s="102" t="s">
        <v>1700</v>
      </c>
    </row>
    <row r="421" spans="1:32" ht="75" hidden="1" customHeight="1">
      <c r="A421" s="102" t="s">
        <v>36</v>
      </c>
      <c r="B421" s="102" t="s">
        <v>1627</v>
      </c>
      <c r="C421" s="102" t="s">
        <v>1698</v>
      </c>
      <c r="D421" s="70">
        <v>30000</v>
      </c>
      <c r="E421" s="102" t="s">
        <v>48</v>
      </c>
      <c r="F421" s="102" t="s">
        <v>48</v>
      </c>
      <c r="G421" s="102" t="s">
        <v>48</v>
      </c>
      <c r="H421" s="102" t="s">
        <v>48</v>
      </c>
      <c r="I421" s="102" t="s">
        <v>48</v>
      </c>
      <c r="J421" s="102" t="s">
        <v>48</v>
      </c>
      <c r="K421" s="102" t="s">
        <v>48</v>
      </c>
      <c r="L421" s="102" t="s">
        <v>48</v>
      </c>
      <c r="M421" s="102" t="s">
        <v>48</v>
      </c>
      <c r="N421" s="102" t="s">
        <v>48</v>
      </c>
      <c r="O421" s="102" t="s">
        <v>48</v>
      </c>
      <c r="P421" s="102" t="s">
        <v>48</v>
      </c>
      <c r="Q421" s="102" t="s">
        <v>48</v>
      </c>
      <c r="R421" s="102" t="s">
        <v>48</v>
      </c>
      <c r="S421" s="102" t="s">
        <v>48</v>
      </c>
      <c r="T421" s="102" t="s">
        <v>48</v>
      </c>
      <c r="U421" s="102" t="s">
        <v>48</v>
      </c>
      <c r="V421" s="102" t="s">
        <v>1698</v>
      </c>
      <c r="W421" s="102" t="s">
        <v>1698</v>
      </c>
      <c r="X421" s="102" t="s">
        <v>48</v>
      </c>
      <c r="Y421" s="102" t="s">
        <v>48</v>
      </c>
      <c r="Z421" s="102" t="s">
        <v>48</v>
      </c>
      <c r="AA421" s="102" t="s">
        <v>48</v>
      </c>
      <c r="AB421" s="102" t="s">
        <v>48</v>
      </c>
      <c r="AC421" s="102" t="s">
        <v>1620</v>
      </c>
      <c r="AD421" s="102" t="s">
        <v>48</v>
      </c>
      <c r="AE421" s="102" t="s">
        <v>49</v>
      </c>
      <c r="AF421" s="102" t="s">
        <v>1700</v>
      </c>
    </row>
    <row r="422" spans="1:32" ht="75" hidden="1" customHeight="1">
      <c r="A422" s="102" t="s">
        <v>940</v>
      </c>
      <c r="B422" s="102" t="s">
        <v>1627</v>
      </c>
      <c r="C422" s="102" t="s">
        <v>1698</v>
      </c>
      <c r="D422" s="70">
        <v>30000</v>
      </c>
      <c r="E422" s="102" t="s">
        <v>48</v>
      </c>
      <c r="F422" s="102" t="s">
        <v>48</v>
      </c>
      <c r="G422" s="102" t="s">
        <v>48</v>
      </c>
      <c r="H422" s="102" t="s">
        <v>48</v>
      </c>
      <c r="I422" s="102" t="s">
        <v>48</v>
      </c>
      <c r="J422" s="102" t="s">
        <v>48</v>
      </c>
      <c r="K422" s="102" t="s">
        <v>48</v>
      </c>
      <c r="L422" s="102" t="s">
        <v>48</v>
      </c>
      <c r="M422" s="102" t="s">
        <v>48</v>
      </c>
      <c r="N422" s="102" t="s">
        <v>48</v>
      </c>
      <c r="O422" s="102" t="s">
        <v>48</v>
      </c>
      <c r="P422" s="102" t="s">
        <v>48</v>
      </c>
      <c r="Q422" s="102" t="s">
        <v>48</v>
      </c>
      <c r="R422" s="102" t="s">
        <v>48</v>
      </c>
      <c r="S422" s="102" t="s">
        <v>48</v>
      </c>
      <c r="T422" s="102" t="s">
        <v>48</v>
      </c>
      <c r="U422" s="102" t="s">
        <v>48</v>
      </c>
      <c r="V422" s="102" t="s">
        <v>1698</v>
      </c>
      <c r="W422" s="102" t="s">
        <v>1698</v>
      </c>
      <c r="X422" s="102" t="s">
        <v>48</v>
      </c>
      <c r="Y422" s="102" t="s">
        <v>48</v>
      </c>
      <c r="Z422" s="102" t="s">
        <v>48</v>
      </c>
      <c r="AA422" s="102" t="s">
        <v>48</v>
      </c>
      <c r="AB422" s="102" t="s">
        <v>48</v>
      </c>
      <c r="AC422" s="102" t="s">
        <v>1620</v>
      </c>
      <c r="AD422" s="102" t="s">
        <v>48</v>
      </c>
      <c r="AE422" s="102" t="s">
        <v>49</v>
      </c>
      <c r="AF422" s="102" t="s">
        <v>1700</v>
      </c>
    </row>
    <row r="423" spans="1:32" ht="75" hidden="1" customHeight="1">
      <c r="A423" s="102" t="s">
        <v>40</v>
      </c>
      <c r="B423" s="102" t="s">
        <v>1627</v>
      </c>
      <c r="C423" s="102" t="s">
        <v>1618</v>
      </c>
      <c r="D423" s="70">
        <v>30000</v>
      </c>
      <c r="E423" s="102" t="s">
        <v>48</v>
      </c>
      <c r="F423" s="102" t="s">
        <v>48</v>
      </c>
      <c r="G423" s="102" t="s">
        <v>48</v>
      </c>
      <c r="H423" s="102" t="s">
        <v>48</v>
      </c>
      <c r="I423" s="102" t="s">
        <v>48</v>
      </c>
      <c r="J423" s="102" t="s">
        <v>48</v>
      </c>
      <c r="K423" s="102" t="s">
        <v>48</v>
      </c>
      <c r="L423" s="102" t="s">
        <v>48</v>
      </c>
      <c r="M423" s="102" t="s">
        <v>48</v>
      </c>
      <c r="N423" s="102" t="s">
        <v>48</v>
      </c>
      <c r="O423" s="102" t="s">
        <v>48</v>
      </c>
      <c r="P423" s="102" t="s">
        <v>48</v>
      </c>
      <c r="Q423" s="102" t="s">
        <v>48</v>
      </c>
      <c r="R423" s="102" t="s">
        <v>48</v>
      </c>
      <c r="S423" s="102" t="s">
        <v>48</v>
      </c>
      <c r="T423" s="102" t="s">
        <v>48</v>
      </c>
      <c r="U423" s="102" t="s">
        <v>48</v>
      </c>
      <c r="V423" s="102" t="s">
        <v>1698</v>
      </c>
      <c r="W423" s="102" t="s">
        <v>1698</v>
      </c>
      <c r="X423" s="102" t="s">
        <v>1786</v>
      </c>
      <c r="Y423" s="102" t="s">
        <v>1708</v>
      </c>
      <c r="Z423" s="102" t="s">
        <v>1708</v>
      </c>
      <c r="AA423" s="102" t="s">
        <v>1787</v>
      </c>
      <c r="AB423" s="102" t="s">
        <v>595</v>
      </c>
      <c r="AC423" s="102" t="s">
        <v>1687</v>
      </c>
      <c r="AD423" s="102" t="s">
        <v>48</v>
      </c>
      <c r="AE423" s="102" t="s">
        <v>49</v>
      </c>
      <c r="AF423" s="102" t="s">
        <v>1700</v>
      </c>
    </row>
    <row r="424" spans="1:32" ht="75" hidden="1" customHeight="1">
      <c r="A424" s="102" t="s">
        <v>40</v>
      </c>
      <c r="B424" s="102" t="s">
        <v>1627</v>
      </c>
      <c r="C424" s="102" t="s">
        <v>1698</v>
      </c>
      <c r="D424" s="70">
        <v>30000</v>
      </c>
      <c r="E424" s="102" t="s">
        <v>48</v>
      </c>
      <c r="F424" s="102" t="s">
        <v>48</v>
      </c>
      <c r="G424" s="102" t="s">
        <v>48</v>
      </c>
      <c r="H424" s="102" t="s">
        <v>48</v>
      </c>
      <c r="I424" s="102" t="s">
        <v>48</v>
      </c>
      <c r="J424" s="102" t="s">
        <v>48</v>
      </c>
      <c r="K424" s="102" t="s">
        <v>48</v>
      </c>
      <c r="L424" s="102" t="s">
        <v>48</v>
      </c>
      <c r="M424" s="102" t="s">
        <v>48</v>
      </c>
      <c r="N424" s="102" t="s">
        <v>48</v>
      </c>
      <c r="O424" s="102" t="s">
        <v>48</v>
      </c>
      <c r="P424" s="102" t="s">
        <v>48</v>
      </c>
      <c r="Q424" s="102" t="s">
        <v>48</v>
      </c>
      <c r="R424" s="102" t="s">
        <v>48</v>
      </c>
      <c r="S424" s="102" t="s">
        <v>48</v>
      </c>
      <c r="T424" s="102" t="s">
        <v>48</v>
      </c>
      <c r="U424" s="102" t="s">
        <v>48</v>
      </c>
      <c r="V424" s="102" t="s">
        <v>1698</v>
      </c>
      <c r="W424" s="102" t="s">
        <v>1698</v>
      </c>
      <c r="X424" s="102" t="s">
        <v>48</v>
      </c>
      <c r="Y424" s="102" t="s">
        <v>48</v>
      </c>
      <c r="Z424" s="102" t="s">
        <v>48</v>
      </c>
      <c r="AA424" s="102" t="s">
        <v>48</v>
      </c>
      <c r="AB424" s="102" t="s">
        <v>48</v>
      </c>
      <c r="AC424" s="102" t="s">
        <v>1620</v>
      </c>
      <c r="AD424" s="102" t="s">
        <v>48</v>
      </c>
      <c r="AE424" s="102" t="s">
        <v>49</v>
      </c>
      <c r="AF424" s="102" t="s">
        <v>1700</v>
      </c>
    </row>
    <row r="425" spans="1:32" ht="75" hidden="1" customHeight="1">
      <c r="A425" s="102" t="s">
        <v>865</v>
      </c>
      <c r="B425" s="102" t="s">
        <v>1627</v>
      </c>
      <c r="C425" s="102" t="s">
        <v>1790</v>
      </c>
      <c r="D425" s="70">
        <v>30000</v>
      </c>
      <c r="E425" s="102" t="s">
        <v>48</v>
      </c>
      <c r="F425" s="102" t="s">
        <v>48</v>
      </c>
      <c r="G425" s="102" t="s">
        <v>48</v>
      </c>
      <c r="H425" s="102" t="s">
        <v>48</v>
      </c>
      <c r="I425" s="102" t="s">
        <v>48</v>
      </c>
      <c r="J425" s="102" t="s">
        <v>48</v>
      </c>
      <c r="K425" s="102" t="s">
        <v>48</v>
      </c>
      <c r="L425" s="102" t="s">
        <v>48</v>
      </c>
      <c r="M425" s="102" t="s">
        <v>48</v>
      </c>
      <c r="N425" s="102" t="s">
        <v>48</v>
      </c>
      <c r="O425" s="102" t="s">
        <v>48</v>
      </c>
      <c r="P425" s="102" t="s">
        <v>48</v>
      </c>
      <c r="Q425" s="102" t="s">
        <v>48</v>
      </c>
      <c r="R425" s="102" t="s">
        <v>48</v>
      </c>
      <c r="S425" s="102" t="s">
        <v>48</v>
      </c>
      <c r="T425" s="102" t="s">
        <v>48</v>
      </c>
      <c r="U425" s="102" t="s">
        <v>48</v>
      </c>
      <c r="V425" s="102" t="s">
        <v>1789</v>
      </c>
      <c r="W425" s="102" t="s">
        <v>1789</v>
      </c>
      <c r="X425" s="102" t="s">
        <v>1791</v>
      </c>
      <c r="Y425" s="102" t="s">
        <v>1708</v>
      </c>
      <c r="Z425" s="102" t="s">
        <v>1708</v>
      </c>
      <c r="AA425" s="102" t="s">
        <v>1792</v>
      </c>
      <c r="AB425" s="102" t="s">
        <v>595</v>
      </c>
      <c r="AC425" s="102" t="s">
        <v>1687</v>
      </c>
      <c r="AD425" s="102" t="s">
        <v>1773</v>
      </c>
      <c r="AE425" s="102" t="s">
        <v>49</v>
      </c>
      <c r="AF425" s="102" t="s">
        <v>1700</v>
      </c>
    </row>
    <row r="426" spans="1:32" ht="75" hidden="1" customHeight="1">
      <c r="A426" s="102" t="s">
        <v>865</v>
      </c>
      <c r="B426" s="102" t="s">
        <v>1627</v>
      </c>
      <c r="C426" s="102" t="s">
        <v>1789</v>
      </c>
      <c r="D426" s="70">
        <v>30000</v>
      </c>
      <c r="E426" s="102" t="s">
        <v>48</v>
      </c>
      <c r="F426" s="102" t="s">
        <v>48</v>
      </c>
      <c r="G426" s="102" t="s">
        <v>48</v>
      </c>
      <c r="H426" s="102" t="s">
        <v>48</v>
      </c>
      <c r="I426" s="102" t="s">
        <v>48</v>
      </c>
      <c r="J426" s="102" t="s">
        <v>48</v>
      </c>
      <c r="K426" s="102" t="s">
        <v>48</v>
      </c>
      <c r="L426" s="102" t="s">
        <v>48</v>
      </c>
      <c r="M426" s="102" t="s">
        <v>48</v>
      </c>
      <c r="N426" s="102" t="s">
        <v>48</v>
      </c>
      <c r="O426" s="102" t="s">
        <v>48</v>
      </c>
      <c r="P426" s="102" t="s">
        <v>48</v>
      </c>
      <c r="Q426" s="102" t="s">
        <v>48</v>
      </c>
      <c r="R426" s="102" t="s">
        <v>48</v>
      </c>
      <c r="S426" s="102" t="s">
        <v>48</v>
      </c>
      <c r="T426" s="102" t="s">
        <v>48</v>
      </c>
      <c r="U426" s="102" t="s">
        <v>48</v>
      </c>
      <c r="V426" s="102" t="s">
        <v>1789</v>
      </c>
      <c r="W426" s="102" t="s">
        <v>1789</v>
      </c>
      <c r="X426" s="102" t="s">
        <v>48</v>
      </c>
      <c r="Y426" s="102" t="s">
        <v>48</v>
      </c>
      <c r="Z426" s="102" t="s">
        <v>48</v>
      </c>
      <c r="AA426" s="102" t="s">
        <v>48</v>
      </c>
      <c r="AB426" s="102" t="s">
        <v>48</v>
      </c>
      <c r="AC426" s="102" t="s">
        <v>1687</v>
      </c>
      <c r="AD426" s="102" t="s">
        <v>48</v>
      </c>
      <c r="AE426" s="102" t="s">
        <v>49</v>
      </c>
      <c r="AF426" s="102" t="s">
        <v>1700</v>
      </c>
    </row>
    <row r="427" spans="1:32" ht="75" hidden="1" customHeight="1">
      <c r="A427" s="102" t="s">
        <v>31</v>
      </c>
      <c r="B427" s="102" t="s">
        <v>1627</v>
      </c>
      <c r="C427" s="102" t="s">
        <v>1628</v>
      </c>
      <c r="D427" s="70">
        <v>30000</v>
      </c>
      <c r="E427" s="102" t="s">
        <v>48</v>
      </c>
      <c r="F427" s="102" t="s">
        <v>48</v>
      </c>
      <c r="G427" s="102" t="s">
        <v>48</v>
      </c>
      <c r="H427" s="102" t="s">
        <v>48</v>
      </c>
      <c r="I427" s="102" t="s">
        <v>48</v>
      </c>
      <c r="J427" s="102" t="s">
        <v>48</v>
      </c>
      <c r="K427" s="102" t="s">
        <v>48</v>
      </c>
      <c r="L427" s="102" t="s">
        <v>48</v>
      </c>
      <c r="M427" s="102" t="s">
        <v>48</v>
      </c>
      <c r="N427" s="102" t="s">
        <v>48</v>
      </c>
      <c r="O427" s="102" t="s">
        <v>48</v>
      </c>
      <c r="P427" s="102" t="s">
        <v>48</v>
      </c>
      <c r="Q427" s="102" t="s">
        <v>48</v>
      </c>
      <c r="R427" s="102" t="s">
        <v>48</v>
      </c>
      <c r="S427" s="102" t="s">
        <v>48</v>
      </c>
      <c r="T427" s="102" t="s">
        <v>48</v>
      </c>
      <c r="U427" s="102" t="s">
        <v>48</v>
      </c>
      <c r="V427" s="102" t="s">
        <v>1793</v>
      </c>
      <c r="W427" s="102" t="s">
        <v>1793</v>
      </c>
      <c r="X427" s="102" t="s">
        <v>1794</v>
      </c>
      <c r="Y427" s="102" t="s">
        <v>1708</v>
      </c>
      <c r="Z427" s="102" t="s">
        <v>1708</v>
      </c>
      <c r="AA427" s="102" t="s">
        <v>1795</v>
      </c>
      <c r="AB427" s="102" t="s">
        <v>595</v>
      </c>
      <c r="AC427" s="102" t="s">
        <v>1687</v>
      </c>
      <c r="AD427" s="102" t="s">
        <v>1773</v>
      </c>
      <c r="AE427" s="102" t="s">
        <v>49</v>
      </c>
      <c r="AF427" s="102" t="s">
        <v>1700</v>
      </c>
    </row>
    <row r="428" spans="1:32" ht="75" hidden="1" customHeight="1">
      <c r="A428" s="102" t="s">
        <v>31</v>
      </c>
      <c r="B428" s="102" t="s">
        <v>1627</v>
      </c>
      <c r="C428" s="102" t="s">
        <v>1793</v>
      </c>
      <c r="D428" s="70">
        <v>30000</v>
      </c>
      <c r="E428" s="102" t="s">
        <v>48</v>
      </c>
      <c r="F428" s="102" t="s">
        <v>48</v>
      </c>
      <c r="G428" s="102" t="s">
        <v>48</v>
      </c>
      <c r="H428" s="102" t="s">
        <v>48</v>
      </c>
      <c r="I428" s="102" t="s">
        <v>48</v>
      </c>
      <c r="J428" s="102" t="s">
        <v>48</v>
      </c>
      <c r="K428" s="102" t="s">
        <v>48</v>
      </c>
      <c r="L428" s="102" t="s">
        <v>48</v>
      </c>
      <c r="M428" s="102" t="s">
        <v>48</v>
      </c>
      <c r="N428" s="102" t="s">
        <v>48</v>
      </c>
      <c r="O428" s="102" t="s">
        <v>48</v>
      </c>
      <c r="P428" s="102" t="s">
        <v>48</v>
      </c>
      <c r="Q428" s="102" t="s">
        <v>48</v>
      </c>
      <c r="R428" s="102" t="s">
        <v>48</v>
      </c>
      <c r="S428" s="102" t="s">
        <v>48</v>
      </c>
      <c r="T428" s="102" t="s">
        <v>48</v>
      </c>
      <c r="U428" s="102" t="s">
        <v>48</v>
      </c>
      <c r="V428" s="102" t="s">
        <v>1793</v>
      </c>
      <c r="W428" s="102" t="s">
        <v>1793</v>
      </c>
      <c r="X428" s="102" t="s">
        <v>48</v>
      </c>
      <c r="Y428" s="102" t="s">
        <v>48</v>
      </c>
      <c r="Z428" s="102" t="s">
        <v>48</v>
      </c>
      <c r="AA428" s="102" t="s">
        <v>48</v>
      </c>
      <c r="AB428" s="102" t="s">
        <v>48</v>
      </c>
      <c r="AC428" s="102" t="s">
        <v>1687</v>
      </c>
      <c r="AD428" s="102" t="s">
        <v>48</v>
      </c>
      <c r="AE428" s="102" t="s">
        <v>49</v>
      </c>
      <c r="AF428" s="102" t="s">
        <v>1700</v>
      </c>
    </row>
    <row r="429" spans="1:32" ht="75" hidden="1" customHeight="1">
      <c r="A429" s="102" t="s">
        <v>23</v>
      </c>
      <c r="B429" s="102" t="s">
        <v>1826</v>
      </c>
      <c r="C429" s="102" t="s">
        <v>1824</v>
      </c>
      <c r="D429" s="70">
        <v>15000</v>
      </c>
      <c r="E429" s="102" t="s">
        <v>48</v>
      </c>
      <c r="F429" s="102" t="s">
        <v>48</v>
      </c>
      <c r="G429" s="102" t="s">
        <v>48</v>
      </c>
      <c r="H429" s="102" t="s">
        <v>48</v>
      </c>
      <c r="I429" s="102" t="s">
        <v>48</v>
      </c>
      <c r="J429" s="102" t="s">
        <v>48</v>
      </c>
      <c r="K429" s="102" t="s">
        <v>48</v>
      </c>
      <c r="L429" s="102" t="s">
        <v>48</v>
      </c>
      <c r="M429" s="102" t="s">
        <v>48</v>
      </c>
      <c r="N429" s="102" t="s">
        <v>48</v>
      </c>
      <c r="O429" s="102" t="s">
        <v>48</v>
      </c>
      <c r="P429" s="102" t="s">
        <v>48</v>
      </c>
      <c r="Q429" s="102" t="s">
        <v>48</v>
      </c>
      <c r="R429" s="102" t="s">
        <v>48</v>
      </c>
      <c r="S429" s="102" t="s">
        <v>48</v>
      </c>
      <c r="T429" s="102" t="s">
        <v>48</v>
      </c>
      <c r="U429" s="102" t="s">
        <v>48</v>
      </c>
      <c r="V429" s="102" t="s">
        <v>1824</v>
      </c>
      <c r="W429" s="102" t="s">
        <v>1824</v>
      </c>
      <c r="X429" s="102" t="s">
        <v>48</v>
      </c>
      <c r="Y429" s="102" t="s">
        <v>48</v>
      </c>
      <c r="Z429" s="102" t="s">
        <v>48</v>
      </c>
      <c r="AA429" s="102" t="s">
        <v>48</v>
      </c>
      <c r="AB429" s="102" t="s">
        <v>48</v>
      </c>
      <c r="AC429" s="102" t="s">
        <v>1687</v>
      </c>
      <c r="AD429" s="102" t="s">
        <v>48</v>
      </c>
      <c r="AE429" s="102" t="s">
        <v>82</v>
      </c>
      <c r="AF429" s="102" t="s">
        <v>1827</v>
      </c>
    </row>
    <row r="430" spans="1:32" ht="75" hidden="1" customHeight="1">
      <c r="A430" s="102" t="s">
        <v>865</v>
      </c>
      <c r="B430" s="102" t="s">
        <v>1796</v>
      </c>
      <c r="C430" s="102" t="s">
        <v>1777</v>
      </c>
      <c r="D430" s="70">
        <v>30000</v>
      </c>
      <c r="E430" s="102" t="s">
        <v>48</v>
      </c>
      <c r="F430" s="102" t="s">
        <v>48</v>
      </c>
      <c r="G430" s="102" t="s">
        <v>48</v>
      </c>
      <c r="H430" s="102" t="s">
        <v>48</v>
      </c>
      <c r="I430" s="102" t="s">
        <v>48</v>
      </c>
      <c r="J430" s="102" t="s">
        <v>48</v>
      </c>
      <c r="K430" s="102" t="s">
        <v>48</v>
      </c>
      <c r="L430" s="102" t="s">
        <v>48</v>
      </c>
      <c r="M430" s="102" t="s">
        <v>48</v>
      </c>
      <c r="N430" s="102" t="s">
        <v>48</v>
      </c>
      <c r="O430" s="102" t="s">
        <v>48</v>
      </c>
      <c r="P430" s="102" t="s">
        <v>48</v>
      </c>
      <c r="Q430" s="102" t="s">
        <v>48</v>
      </c>
      <c r="R430" s="102" t="s">
        <v>48</v>
      </c>
      <c r="S430" s="102" t="s">
        <v>48</v>
      </c>
      <c r="T430" s="102" t="s">
        <v>48</v>
      </c>
      <c r="U430" s="102" t="s">
        <v>48</v>
      </c>
      <c r="V430" s="102" t="s">
        <v>1777</v>
      </c>
      <c r="W430" s="102" t="s">
        <v>1777</v>
      </c>
      <c r="X430" s="102" t="s">
        <v>48</v>
      </c>
      <c r="Y430" s="102" t="s">
        <v>48</v>
      </c>
      <c r="Z430" s="102" t="s">
        <v>48</v>
      </c>
      <c r="AA430" s="102" t="s">
        <v>48</v>
      </c>
      <c r="AB430" s="102" t="s">
        <v>48</v>
      </c>
      <c r="AC430" s="102" t="s">
        <v>1687</v>
      </c>
      <c r="AD430" s="102" t="s">
        <v>48</v>
      </c>
      <c r="AE430" s="102" t="s">
        <v>49</v>
      </c>
      <c r="AF430" s="122" t="s">
        <v>1689</v>
      </c>
    </row>
    <row r="431" spans="1:32" ht="75" hidden="1" customHeight="1">
      <c r="A431" s="102" t="s">
        <v>454</v>
      </c>
      <c r="B431" s="102" t="s">
        <v>1712</v>
      </c>
      <c r="C431" s="102" t="s">
        <v>1803</v>
      </c>
      <c r="D431" s="70">
        <v>30000</v>
      </c>
      <c r="E431" s="102" t="s">
        <v>48</v>
      </c>
      <c r="F431" s="102" t="s">
        <v>48</v>
      </c>
      <c r="G431" s="102" t="s">
        <v>48</v>
      </c>
      <c r="H431" s="102" t="s">
        <v>48</v>
      </c>
      <c r="I431" s="102" t="s">
        <v>48</v>
      </c>
      <c r="J431" s="102" t="s">
        <v>48</v>
      </c>
      <c r="K431" s="102" t="s">
        <v>48</v>
      </c>
      <c r="L431" s="102" t="s">
        <v>48</v>
      </c>
      <c r="M431" s="102" t="s">
        <v>48</v>
      </c>
      <c r="N431" s="102" t="s">
        <v>48</v>
      </c>
      <c r="O431" s="102" t="s">
        <v>48</v>
      </c>
      <c r="P431" s="102" t="s">
        <v>48</v>
      </c>
      <c r="Q431" s="102" t="s">
        <v>48</v>
      </c>
      <c r="R431" s="102" t="s">
        <v>48</v>
      </c>
      <c r="S431" s="102" t="s">
        <v>48</v>
      </c>
      <c r="T431" s="102" t="s">
        <v>48</v>
      </c>
      <c r="U431" s="102" t="s">
        <v>48</v>
      </c>
      <c r="V431" s="102" t="s">
        <v>1803</v>
      </c>
      <c r="W431" s="102" t="s">
        <v>1803</v>
      </c>
      <c r="X431" s="102" t="s">
        <v>48</v>
      </c>
      <c r="Y431" s="102" t="s">
        <v>48</v>
      </c>
      <c r="Z431" s="102" t="s">
        <v>48</v>
      </c>
      <c r="AA431" s="102" t="s">
        <v>48</v>
      </c>
      <c r="AB431" s="102" t="s">
        <v>48</v>
      </c>
      <c r="AC431" s="102" t="s">
        <v>1687</v>
      </c>
      <c r="AD431" s="102" t="s">
        <v>48</v>
      </c>
      <c r="AE431" s="102" t="s">
        <v>49</v>
      </c>
      <c r="AF431" s="102"/>
    </row>
    <row r="432" spans="1:32" ht="75" hidden="1" customHeight="1">
      <c r="A432" s="102" t="s">
        <v>1115</v>
      </c>
      <c r="B432" s="102" t="s">
        <v>1820</v>
      </c>
      <c r="C432" s="102" t="s">
        <v>1819</v>
      </c>
      <c r="D432" s="70">
        <v>15000</v>
      </c>
      <c r="E432" s="102" t="s">
        <v>48</v>
      </c>
      <c r="F432" s="102" t="s">
        <v>48</v>
      </c>
      <c r="G432" s="102" t="s">
        <v>48</v>
      </c>
      <c r="H432" s="102" t="s">
        <v>48</v>
      </c>
      <c r="I432" s="102" t="s">
        <v>48</v>
      </c>
      <c r="J432" s="102" t="s">
        <v>48</v>
      </c>
      <c r="K432" s="102" t="s">
        <v>48</v>
      </c>
      <c r="L432" s="102" t="s">
        <v>48</v>
      </c>
      <c r="M432" s="102" t="s">
        <v>48</v>
      </c>
      <c r="N432" s="102" t="s">
        <v>48</v>
      </c>
      <c r="O432" s="102" t="s">
        <v>48</v>
      </c>
      <c r="P432" s="102" t="s">
        <v>48</v>
      </c>
      <c r="Q432" s="102" t="s">
        <v>48</v>
      </c>
      <c r="R432" s="102" t="s">
        <v>48</v>
      </c>
      <c r="S432" s="102" t="s">
        <v>48</v>
      </c>
      <c r="T432" s="102" t="s">
        <v>48</v>
      </c>
      <c r="U432" s="102" t="s">
        <v>48</v>
      </c>
      <c r="V432" s="102" t="s">
        <v>1819</v>
      </c>
      <c r="W432" s="102" t="s">
        <v>1819</v>
      </c>
      <c r="X432" s="102" t="s">
        <v>48</v>
      </c>
      <c r="Y432" s="102" t="s">
        <v>48</v>
      </c>
      <c r="Z432" s="102" t="s">
        <v>48</v>
      </c>
      <c r="AA432" s="102" t="s">
        <v>48</v>
      </c>
      <c r="AB432" s="102" t="s">
        <v>48</v>
      </c>
      <c r="AC432" s="102" t="s">
        <v>1687</v>
      </c>
      <c r="AD432" s="102" t="s">
        <v>48</v>
      </c>
      <c r="AE432" s="102" t="s">
        <v>82</v>
      </c>
      <c r="AF432" s="102" t="s">
        <v>1822</v>
      </c>
    </row>
    <row r="433" spans="1:32" ht="75" hidden="1" customHeight="1">
      <c r="A433" s="102" t="s">
        <v>1118</v>
      </c>
      <c r="B433" s="102" t="s">
        <v>1820</v>
      </c>
      <c r="C433" s="102" t="s">
        <v>1819</v>
      </c>
      <c r="D433" s="70">
        <v>15000</v>
      </c>
      <c r="E433" s="102" t="s">
        <v>48</v>
      </c>
      <c r="F433" s="102" t="s">
        <v>48</v>
      </c>
      <c r="G433" s="102" t="s">
        <v>48</v>
      </c>
      <c r="H433" s="102" t="s">
        <v>48</v>
      </c>
      <c r="I433" s="102" t="s">
        <v>48</v>
      </c>
      <c r="J433" s="102" t="s">
        <v>48</v>
      </c>
      <c r="K433" s="102" t="s">
        <v>48</v>
      </c>
      <c r="L433" s="102" t="s">
        <v>48</v>
      </c>
      <c r="M433" s="102" t="s">
        <v>48</v>
      </c>
      <c r="N433" s="102" t="s">
        <v>48</v>
      </c>
      <c r="O433" s="102" t="s">
        <v>48</v>
      </c>
      <c r="P433" s="102" t="s">
        <v>48</v>
      </c>
      <c r="Q433" s="102" t="s">
        <v>48</v>
      </c>
      <c r="R433" s="102" t="s">
        <v>48</v>
      </c>
      <c r="S433" s="102" t="s">
        <v>48</v>
      </c>
      <c r="T433" s="102" t="s">
        <v>48</v>
      </c>
      <c r="U433" s="102" t="s">
        <v>48</v>
      </c>
      <c r="V433" s="102" t="s">
        <v>1819</v>
      </c>
      <c r="W433" s="102" t="s">
        <v>1819</v>
      </c>
      <c r="X433" s="102" t="s">
        <v>48</v>
      </c>
      <c r="Y433" s="102" t="s">
        <v>48</v>
      </c>
      <c r="Z433" s="102" t="s">
        <v>48</v>
      </c>
      <c r="AA433" s="102" t="s">
        <v>48</v>
      </c>
      <c r="AB433" s="102" t="s">
        <v>48</v>
      </c>
      <c r="AC433" s="102" t="s">
        <v>1687</v>
      </c>
      <c r="AD433" s="102" t="s">
        <v>48</v>
      </c>
      <c r="AE433" s="102" t="s">
        <v>82</v>
      </c>
      <c r="AF433" s="102" t="s">
        <v>1822</v>
      </c>
    </row>
    <row r="434" spans="1:32" ht="75" hidden="1" customHeight="1">
      <c r="A434" s="102" t="s">
        <v>23</v>
      </c>
      <c r="B434" s="102" t="s">
        <v>1826</v>
      </c>
      <c r="C434" s="102" t="s">
        <v>1825</v>
      </c>
      <c r="D434" s="70">
        <v>15000</v>
      </c>
      <c r="E434" s="102" t="s">
        <v>48</v>
      </c>
      <c r="F434" s="102" t="s">
        <v>48</v>
      </c>
      <c r="G434" s="102" t="s">
        <v>48</v>
      </c>
      <c r="H434" s="102" t="s">
        <v>48</v>
      </c>
      <c r="I434" s="102" t="s">
        <v>48</v>
      </c>
      <c r="J434" s="102" t="s">
        <v>48</v>
      </c>
      <c r="K434" s="102" t="s">
        <v>48</v>
      </c>
      <c r="L434" s="102" t="s">
        <v>48</v>
      </c>
      <c r="M434" s="102" t="s">
        <v>48</v>
      </c>
      <c r="N434" s="102" t="s">
        <v>48</v>
      </c>
      <c r="O434" s="102" t="s">
        <v>48</v>
      </c>
      <c r="P434" s="102" t="s">
        <v>48</v>
      </c>
      <c r="Q434" s="102" t="s">
        <v>48</v>
      </c>
      <c r="R434" s="102" t="s">
        <v>48</v>
      </c>
      <c r="S434" s="102" t="s">
        <v>48</v>
      </c>
      <c r="T434" s="102" t="s">
        <v>48</v>
      </c>
      <c r="U434" s="102" t="s">
        <v>48</v>
      </c>
      <c r="V434" s="102" t="s">
        <v>1825</v>
      </c>
      <c r="W434" s="102" t="s">
        <v>1825</v>
      </c>
      <c r="X434" s="102" t="s">
        <v>48</v>
      </c>
      <c r="Y434" s="102" t="s">
        <v>48</v>
      </c>
      <c r="Z434" s="102" t="s">
        <v>48</v>
      </c>
      <c r="AA434" s="102" t="s">
        <v>48</v>
      </c>
      <c r="AB434" s="102" t="s">
        <v>48</v>
      </c>
      <c r="AC434" s="102" t="s">
        <v>1687</v>
      </c>
      <c r="AD434" s="102" t="s">
        <v>48</v>
      </c>
      <c r="AE434" s="102" t="s">
        <v>82</v>
      </c>
      <c r="AF434" s="102" t="s">
        <v>1827</v>
      </c>
    </row>
    <row r="435" spans="1:32" ht="75" hidden="1" customHeight="1">
      <c r="A435" s="102" t="s">
        <v>1583</v>
      </c>
      <c r="B435" s="102" t="s">
        <v>1835</v>
      </c>
      <c r="C435" s="102" t="s">
        <v>1834</v>
      </c>
      <c r="D435" s="70">
        <v>15000</v>
      </c>
      <c r="E435" s="102" t="s">
        <v>48</v>
      </c>
      <c r="F435" s="102" t="s">
        <v>48</v>
      </c>
      <c r="G435" s="102" t="s">
        <v>48</v>
      </c>
      <c r="H435" s="102" t="s">
        <v>48</v>
      </c>
      <c r="I435" s="102" t="s">
        <v>48</v>
      </c>
      <c r="J435" s="102" t="s">
        <v>48</v>
      </c>
      <c r="K435" s="102" t="s">
        <v>48</v>
      </c>
      <c r="L435" s="102" t="s">
        <v>48</v>
      </c>
      <c r="M435" s="102" t="s">
        <v>48</v>
      </c>
      <c r="N435" s="102" t="s">
        <v>48</v>
      </c>
      <c r="O435" s="102" t="s">
        <v>48</v>
      </c>
      <c r="P435" s="102" t="s">
        <v>48</v>
      </c>
      <c r="Q435" s="102" t="s">
        <v>48</v>
      </c>
      <c r="R435" s="102" t="s">
        <v>48</v>
      </c>
      <c r="S435" s="102" t="s">
        <v>48</v>
      </c>
      <c r="T435" s="102" t="s">
        <v>48</v>
      </c>
      <c r="U435" s="102" t="s">
        <v>48</v>
      </c>
      <c r="V435" s="102" t="s">
        <v>1834</v>
      </c>
      <c r="W435" s="102" t="s">
        <v>1834</v>
      </c>
      <c r="X435" s="102" t="s">
        <v>48</v>
      </c>
      <c r="Y435" s="102" t="s">
        <v>48</v>
      </c>
      <c r="Z435" s="102" t="s">
        <v>48</v>
      </c>
      <c r="AA435" s="102" t="s">
        <v>48</v>
      </c>
      <c r="AB435" s="102" t="s">
        <v>48</v>
      </c>
      <c r="AC435" s="102" t="s">
        <v>1687</v>
      </c>
      <c r="AD435" s="102" t="s">
        <v>48</v>
      </c>
      <c r="AE435" s="102" t="s">
        <v>82</v>
      </c>
      <c r="AF435" s="102" t="s">
        <v>1836</v>
      </c>
    </row>
    <row r="436" spans="1:32" ht="75" hidden="1" customHeight="1">
      <c r="A436" s="102" t="s">
        <v>1584</v>
      </c>
      <c r="B436" s="102" t="s">
        <v>1835</v>
      </c>
      <c r="C436" s="102" t="s">
        <v>1834</v>
      </c>
      <c r="D436" s="70">
        <v>15000</v>
      </c>
      <c r="E436" s="102" t="s">
        <v>48</v>
      </c>
      <c r="F436" s="102" t="s">
        <v>48</v>
      </c>
      <c r="G436" s="102" t="s">
        <v>48</v>
      </c>
      <c r="H436" s="102" t="s">
        <v>48</v>
      </c>
      <c r="I436" s="102" t="s">
        <v>48</v>
      </c>
      <c r="J436" s="102" t="s">
        <v>48</v>
      </c>
      <c r="K436" s="102" t="s">
        <v>48</v>
      </c>
      <c r="L436" s="102" t="s">
        <v>48</v>
      </c>
      <c r="M436" s="102" t="s">
        <v>48</v>
      </c>
      <c r="N436" s="102" t="s">
        <v>48</v>
      </c>
      <c r="O436" s="102" t="s">
        <v>48</v>
      </c>
      <c r="P436" s="102" t="s">
        <v>48</v>
      </c>
      <c r="Q436" s="102" t="s">
        <v>48</v>
      </c>
      <c r="R436" s="102" t="s">
        <v>48</v>
      </c>
      <c r="S436" s="102" t="s">
        <v>48</v>
      </c>
      <c r="T436" s="102" t="s">
        <v>48</v>
      </c>
      <c r="U436" s="102" t="s">
        <v>48</v>
      </c>
      <c r="V436" s="102" t="s">
        <v>1834</v>
      </c>
      <c r="W436" s="102" t="s">
        <v>1834</v>
      </c>
      <c r="X436" s="102" t="s">
        <v>48</v>
      </c>
      <c r="Y436" s="102" t="s">
        <v>48</v>
      </c>
      <c r="Z436" s="102" t="s">
        <v>48</v>
      </c>
      <c r="AA436" s="102" t="s">
        <v>48</v>
      </c>
      <c r="AB436" s="102" t="s">
        <v>48</v>
      </c>
      <c r="AC436" s="102" t="s">
        <v>1687</v>
      </c>
      <c r="AD436" s="102" t="s">
        <v>48</v>
      </c>
      <c r="AE436" s="102" t="s">
        <v>82</v>
      </c>
      <c r="AF436" s="102" t="s">
        <v>1836</v>
      </c>
    </row>
    <row r="437" spans="1:32" ht="75" hidden="1" customHeight="1">
      <c r="A437" s="102" t="s">
        <v>1115</v>
      </c>
      <c r="B437" s="102" t="s">
        <v>1835</v>
      </c>
      <c r="C437" s="102" t="s">
        <v>1834</v>
      </c>
      <c r="D437" s="70">
        <v>15000</v>
      </c>
      <c r="E437" s="102" t="s">
        <v>48</v>
      </c>
      <c r="F437" s="102" t="s">
        <v>48</v>
      </c>
      <c r="G437" s="102" t="s">
        <v>48</v>
      </c>
      <c r="H437" s="102" t="s">
        <v>48</v>
      </c>
      <c r="I437" s="102" t="s">
        <v>48</v>
      </c>
      <c r="J437" s="102" t="s">
        <v>48</v>
      </c>
      <c r="K437" s="102" t="s">
        <v>48</v>
      </c>
      <c r="L437" s="102" t="s">
        <v>48</v>
      </c>
      <c r="M437" s="102" t="s">
        <v>48</v>
      </c>
      <c r="N437" s="102" t="s">
        <v>48</v>
      </c>
      <c r="O437" s="102" t="s">
        <v>48</v>
      </c>
      <c r="P437" s="102" t="s">
        <v>48</v>
      </c>
      <c r="Q437" s="102" t="s">
        <v>48</v>
      </c>
      <c r="R437" s="102" t="s">
        <v>48</v>
      </c>
      <c r="S437" s="102" t="s">
        <v>48</v>
      </c>
      <c r="T437" s="102" t="s">
        <v>48</v>
      </c>
      <c r="U437" s="102" t="s">
        <v>48</v>
      </c>
      <c r="V437" s="102" t="s">
        <v>1834</v>
      </c>
      <c r="W437" s="102" t="s">
        <v>1834</v>
      </c>
      <c r="X437" s="102" t="s">
        <v>48</v>
      </c>
      <c r="Y437" s="102" t="s">
        <v>48</v>
      </c>
      <c r="Z437" s="102" t="s">
        <v>48</v>
      </c>
      <c r="AA437" s="102" t="s">
        <v>48</v>
      </c>
      <c r="AB437" s="102" t="s">
        <v>48</v>
      </c>
      <c r="AC437" s="102" t="s">
        <v>1687</v>
      </c>
      <c r="AD437" s="102" t="s">
        <v>48</v>
      </c>
      <c r="AE437" s="102" t="s">
        <v>82</v>
      </c>
      <c r="AF437" s="102" t="s">
        <v>1836</v>
      </c>
    </row>
    <row r="438" spans="1:32" ht="75" hidden="1" customHeight="1">
      <c r="A438" s="102" t="s">
        <v>1118</v>
      </c>
      <c r="B438" s="102" t="s">
        <v>1835</v>
      </c>
      <c r="C438" s="102" t="s">
        <v>1834</v>
      </c>
      <c r="D438" s="70">
        <v>15000</v>
      </c>
      <c r="E438" s="102" t="s">
        <v>48</v>
      </c>
      <c r="F438" s="102" t="s">
        <v>48</v>
      </c>
      <c r="G438" s="102" t="s">
        <v>48</v>
      </c>
      <c r="H438" s="102" t="s">
        <v>48</v>
      </c>
      <c r="I438" s="102" t="s">
        <v>48</v>
      </c>
      <c r="J438" s="102" t="s">
        <v>48</v>
      </c>
      <c r="K438" s="102" t="s">
        <v>48</v>
      </c>
      <c r="L438" s="102" t="s">
        <v>48</v>
      </c>
      <c r="M438" s="102" t="s">
        <v>48</v>
      </c>
      <c r="N438" s="102" t="s">
        <v>48</v>
      </c>
      <c r="O438" s="102" t="s">
        <v>48</v>
      </c>
      <c r="P438" s="102" t="s">
        <v>48</v>
      </c>
      <c r="Q438" s="102" t="s">
        <v>48</v>
      </c>
      <c r="R438" s="102" t="s">
        <v>48</v>
      </c>
      <c r="S438" s="102" t="s">
        <v>48</v>
      </c>
      <c r="T438" s="102" t="s">
        <v>48</v>
      </c>
      <c r="U438" s="102" t="s">
        <v>48</v>
      </c>
      <c r="V438" s="102" t="s">
        <v>1834</v>
      </c>
      <c r="W438" s="102" t="s">
        <v>1834</v>
      </c>
      <c r="X438" s="102" t="s">
        <v>48</v>
      </c>
      <c r="Y438" s="102" t="s">
        <v>48</v>
      </c>
      <c r="Z438" s="102" t="s">
        <v>48</v>
      </c>
      <c r="AA438" s="102" t="s">
        <v>48</v>
      </c>
      <c r="AB438" s="102" t="s">
        <v>48</v>
      </c>
      <c r="AC438" s="102" t="s">
        <v>1687</v>
      </c>
      <c r="AD438" s="102" t="s">
        <v>48</v>
      </c>
      <c r="AE438" s="102" t="s">
        <v>82</v>
      </c>
      <c r="AF438" s="102" t="s">
        <v>1836</v>
      </c>
    </row>
    <row r="439" spans="1:32" ht="75" hidden="1" customHeight="1">
      <c r="A439" s="102" t="s">
        <v>1118</v>
      </c>
      <c r="B439" s="102" t="s">
        <v>1844</v>
      </c>
      <c r="C439" s="102" t="s">
        <v>1843</v>
      </c>
      <c r="D439" s="70">
        <v>15000</v>
      </c>
      <c r="E439" s="102" t="s">
        <v>48</v>
      </c>
      <c r="F439" s="102" t="s">
        <v>48</v>
      </c>
      <c r="G439" s="102" t="s">
        <v>48</v>
      </c>
      <c r="H439" s="102" t="s">
        <v>48</v>
      </c>
      <c r="I439" s="102" t="s">
        <v>48</v>
      </c>
      <c r="J439" s="102" t="s">
        <v>48</v>
      </c>
      <c r="K439" s="102" t="s">
        <v>48</v>
      </c>
      <c r="L439" s="102" t="s">
        <v>48</v>
      </c>
      <c r="M439" s="102" t="s">
        <v>48</v>
      </c>
      <c r="N439" s="102" t="s">
        <v>48</v>
      </c>
      <c r="O439" s="102" t="s">
        <v>48</v>
      </c>
      <c r="P439" s="102" t="s">
        <v>48</v>
      </c>
      <c r="Q439" s="102" t="s">
        <v>48</v>
      </c>
      <c r="R439" s="102" t="s">
        <v>48</v>
      </c>
      <c r="S439" s="102" t="s">
        <v>48</v>
      </c>
      <c r="T439" s="102" t="s">
        <v>48</v>
      </c>
      <c r="U439" s="102" t="s">
        <v>48</v>
      </c>
      <c r="V439" s="102" t="s">
        <v>1843</v>
      </c>
      <c r="W439" s="102" t="s">
        <v>1843</v>
      </c>
      <c r="X439" s="102" t="s">
        <v>48</v>
      </c>
      <c r="Y439" s="102" t="s">
        <v>48</v>
      </c>
      <c r="Z439" s="102" t="s">
        <v>48</v>
      </c>
      <c r="AA439" s="102" t="s">
        <v>48</v>
      </c>
      <c r="AB439" s="102" t="s">
        <v>48</v>
      </c>
      <c r="AC439" s="102" t="s">
        <v>1687</v>
      </c>
      <c r="AD439" s="102" t="s">
        <v>48</v>
      </c>
      <c r="AE439" s="102" t="s">
        <v>82</v>
      </c>
      <c r="AF439" s="102" t="s">
        <v>1110</v>
      </c>
    </row>
    <row r="440" spans="1:32" ht="75" hidden="1" customHeight="1">
      <c r="A440" s="102" t="s">
        <v>1115</v>
      </c>
      <c r="B440" s="102" t="s">
        <v>1844</v>
      </c>
      <c r="C440" s="102" t="s">
        <v>1843</v>
      </c>
      <c r="D440" s="70">
        <v>15000</v>
      </c>
      <c r="E440" s="102" t="s">
        <v>48</v>
      </c>
      <c r="F440" s="102" t="s">
        <v>48</v>
      </c>
      <c r="G440" s="102" t="s">
        <v>48</v>
      </c>
      <c r="H440" s="102" t="s">
        <v>48</v>
      </c>
      <c r="I440" s="102" t="s">
        <v>48</v>
      </c>
      <c r="J440" s="102" t="s">
        <v>48</v>
      </c>
      <c r="K440" s="102" t="s">
        <v>48</v>
      </c>
      <c r="L440" s="102" t="s">
        <v>48</v>
      </c>
      <c r="M440" s="102" t="s">
        <v>48</v>
      </c>
      <c r="N440" s="102" t="s">
        <v>48</v>
      </c>
      <c r="O440" s="102" t="s">
        <v>48</v>
      </c>
      <c r="P440" s="102" t="s">
        <v>48</v>
      </c>
      <c r="Q440" s="102" t="s">
        <v>48</v>
      </c>
      <c r="R440" s="102" t="s">
        <v>48</v>
      </c>
      <c r="S440" s="102" t="s">
        <v>48</v>
      </c>
      <c r="T440" s="102" t="s">
        <v>48</v>
      </c>
      <c r="U440" s="102" t="s">
        <v>48</v>
      </c>
      <c r="V440" s="102" t="s">
        <v>1843</v>
      </c>
      <c r="W440" s="102" t="s">
        <v>1843</v>
      </c>
      <c r="X440" s="102" t="s">
        <v>48</v>
      </c>
      <c r="Y440" s="102" t="s">
        <v>48</v>
      </c>
      <c r="Z440" s="102" t="s">
        <v>48</v>
      </c>
      <c r="AA440" s="102" t="s">
        <v>48</v>
      </c>
      <c r="AB440" s="102" t="s">
        <v>48</v>
      </c>
      <c r="AC440" s="102" t="s">
        <v>1687</v>
      </c>
      <c r="AD440" s="102" t="s">
        <v>48</v>
      </c>
      <c r="AE440" s="102" t="s">
        <v>82</v>
      </c>
      <c r="AF440" s="102" t="s">
        <v>1110</v>
      </c>
    </row>
    <row r="441" spans="1:32" ht="75" hidden="1" customHeight="1">
      <c r="A441" s="102" t="s">
        <v>1583</v>
      </c>
      <c r="B441" s="102" t="s">
        <v>1844</v>
      </c>
      <c r="C441" s="102" t="s">
        <v>1843</v>
      </c>
      <c r="D441" s="70">
        <v>15000</v>
      </c>
      <c r="E441" s="102" t="s">
        <v>48</v>
      </c>
      <c r="F441" s="102" t="s">
        <v>48</v>
      </c>
      <c r="G441" s="102" t="s">
        <v>48</v>
      </c>
      <c r="H441" s="102" t="s">
        <v>48</v>
      </c>
      <c r="I441" s="102" t="s">
        <v>48</v>
      </c>
      <c r="J441" s="102" t="s">
        <v>48</v>
      </c>
      <c r="K441" s="102" t="s">
        <v>48</v>
      </c>
      <c r="L441" s="102" t="s">
        <v>48</v>
      </c>
      <c r="M441" s="102" t="s">
        <v>48</v>
      </c>
      <c r="N441" s="102" t="s">
        <v>48</v>
      </c>
      <c r="O441" s="102" t="s">
        <v>48</v>
      </c>
      <c r="P441" s="102" t="s">
        <v>48</v>
      </c>
      <c r="Q441" s="102" t="s">
        <v>48</v>
      </c>
      <c r="R441" s="102" t="s">
        <v>48</v>
      </c>
      <c r="S441" s="102" t="s">
        <v>48</v>
      </c>
      <c r="T441" s="102" t="s">
        <v>48</v>
      </c>
      <c r="U441" s="102" t="s">
        <v>48</v>
      </c>
      <c r="V441" s="102" t="s">
        <v>1843</v>
      </c>
      <c r="W441" s="102" t="s">
        <v>1843</v>
      </c>
      <c r="X441" s="102" t="s">
        <v>48</v>
      </c>
      <c r="Y441" s="102" t="s">
        <v>48</v>
      </c>
      <c r="Z441" s="102" t="s">
        <v>48</v>
      </c>
      <c r="AA441" s="102" t="s">
        <v>48</v>
      </c>
      <c r="AB441" s="102" t="s">
        <v>48</v>
      </c>
      <c r="AC441" s="102" t="s">
        <v>1687</v>
      </c>
      <c r="AD441" s="102" t="s">
        <v>48</v>
      </c>
      <c r="AE441" s="102" t="s">
        <v>82</v>
      </c>
      <c r="AF441" s="102" t="s">
        <v>1110</v>
      </c>
    </row>
    <row r="442" spans="1:32" ht="75" hidden="1" customHeight="1">
      <c r="A442" s="102" t="s">
        <v>1584</v>
      </c>
      <c r="B442" s="102" t="s">
        <v>1844</v>
      </c>
      <c r="C442" s="102" t="s">
        <v>1843</v>
      </c>
      <c r="D442" s="70">
        <v>15000</v>
      </c>
      <c r="E442" s="102" t="s">
        <v>48</v>
      </c>
      <c r="F442" s="102" t="s">
        <v>48</v>
      </c>
      <c r="G442" s="102" t="s">
        <v>48</v>
      </c>
      <c r="H442" s="102" t="s">
        <v>48</v>
      </c>
      <c r="I442" s="102" t="s">
        <v>48</v>
      </c>
      <c r="J442" s="102" t="s">
        <v>48</v>
      </c>
      <c r="K442" s="102" t="s">
        <v>48</v>
      </c>
      <c r="L442" s="102" t="s">
        <v>48</v>
      </c>
      <c r="M442" s="102" t="s">
        <v>48</v>
      </c>
      <c r="N442" s="102" t="s">
        <v>48</v>
      </c>
      <c r="O442" s="102" t="s">
        <v>48</v>
      </c>
      <c r="P442" s="102" t="s">
        <v>48</v>
      </c>
      <c r="Q442" s="102" t="s">
        <v>48</v>
      </c>
      <c r="R442" s="102" t="s">
        <v>48</v>
      </c>
      <c r="S442" s="102" t="s">
        <v>48</v>
      </c>
      <c r="T442" s="102" t="s">
        <v>48</v>
      </c>
      <c r="U442" s="102" t="s">
        <v>48</v>
      </c>
      <c r="V442" s="102" t="s">
        <v>1843</v>
      </c>
      <c r="W442" s="102" t="s">
        <v>1843</v>
      </c>
      <c r="X442" s="102" t="s">
        <v>48</v>
      </c>
      <c r="Y442" s="102" t="s">
        <v>48</v>
      </c>
      <c r="Z442" s="102" t="s">
        <v>48</v>
      </c>
      <c r="AA442" s="102" t="s">
        <v>48</v>
      </c>
      <c r="AB442" s="102" t="s">
        <v>48</v>
      </c>
      <c r="AC442" s="102" t="s">
        <v>1687</v>
      </c>
      <c r="AD442" s="102" t="s">
        <v>48</v>
      </c>
      <c r="AE442" s="102" t="s">
        <v>82</v>
      </c>
      <c r="AF442" s="102" t="s">
        <v>1110</v>
      </c>
    </row>
    <row r="443" spans="1:32" ht="75" hidden="1" customHeight="1">
      <c r="A443" s="102" t="s">
        <v>1599</v>
      </c>
      <c r="B443" s="102" t="s">
        <v>1867</v>
      </c>
      <c r="C443" s="102" t="s">
        <v>1866</v>
      </c>
      <c r="D443" s="70">
        <v>15000</v>
      </c>
      <c r="E443" s="102" t="s">
        <v>48</v>
      </c>
      <c r="F443" s="102" t="s">
        <v>48</v>
      </c>
      <c r="G443" s="102" t="s">
        <v>48</v>
      </c>
      <c r="H443" s="102" t="s">
        <v>48</v>
      </c>
      <c r="I443" s="102" t="s">
        <v>48</v>
      </c>
      <c r="J443" s="102" t="s">
        <v>48</v>
      </c>
      <c r="K443" s="102" t="s">
        <v>48</v>
      </c>
      <c r="L443" s="102" t="s">
        <v>48</v>
      </c>
      <c r="M443" s="102" t="s">
        <v>48</v>
      </c>
      <c r="N443" s="102" t="s">
        <v>48</v>
      </c>
      <c r="O443" s="102" t="s">
        <v>48</v>
      </c>
      <c r="P443" s="102" t="s">
        <v>48</v>
      </c>
      <c r="Q443" s="102" t="s">
        <v>48</v>
      </c>
      <c r="R443" s="102" t="s">
        <v>48</v>
      </c>
      <c r="S443" s="102" t="s">
        <v>48</v>
      </c>
      <c r="T443" s="102" t="s">
        <v>48</v>
      </c>
      <c r="U443" s="102" t="s">
        <v>48</v>
      </c>
      <c r="V443" s="102" t="s">
        <v>1866</v>
      </c>
      <c r="W443" s="102" t="s">
        <v>1866</v>
      </c>
      <c r="X443" s="102" t="s">
        <v>48</v>
      </c>
      <c r="Y443" s="102" t="s">
        <v>48</v>
      </c>
      <c r="Z443" s="102" t="s">
        <v>48</v>
      </c>
      <c r="AA443" s="102" t="s">
        <v>48</v>
      </c>
      <c r="AB443" s="102" t="s">
        <v>48</v>
      </c>
      <c r="AC443" s="102" t="s">
        <v>1687</v>
      </c>
      <c r="AD443" s="102" t="s">
        <v>48</v>
      </c>
      <c r="AE443" s="102" t="s">
        <v>82</v>
      </c>
      <c r="AF443" s="102" t="s">
        <v>1868</v>
      </c>
    </row>
    <row r="444" spans="1:32" ht="75" hidden="1" customHeight="1">
      <c r="A444" s="102" t="s">
        <v>31</v>
      </c>
      <c r="B444" s="102" t="s">
        <v>1898</v>
      </c>
      <c r="C444" s="102" t="s">
        <v>1895</v>
      </c>
      <c r="D444" s="70">
        <v>30000</v>
      </c>
      <c r="E444" s="102" t="s">
        <v>48</v>
      </c>
      <c r="F444" s="102" t="s">
        <v>48</v>
      </c>
      <c r="G444" s="102" t="s">
        <v>48</v>
      </c>
      <c r="H444" s="102" t="s">
        <v>48</v>
      </c>
      <c r="I444" s="102" t="s">
        <v>48</v>
      </c>
      <c r="J444" s="102" t="s">
        <v>48</v>
      </c>
      <c r="K444" s="102" t="s">
        <v>48</v>
      </c>
      <c r="L444" s="102" t="s">
        <v>48</v>
      </c>
      <c r="M444" s="102" t="s">
        <v>48</v>
      </c>
      <c r="N444" s="102" t="s">
        <v>48</v>
      </c>
      <c r="O444" s="102" t="s">
        <v>48</v>
      </c>
      <c r="P444" s="102" t="s">
        <v>48</v>
      </c>
      <c r="Q444" s="102" t="s">
        <v>48</v>
      </c>
      <c r="R444" s="102" t="s">
        <v>48</v>
      </c>
      <c r="S444" s="102" t="s">
        <v>48</v>
      </c>
      <c r="T444" s="102" t="s">
        <v>48</v>
      </c>
      <c r="U444" s="102" t="s">
        <v>48</v>
      </c>
      <c r="V444" s="102" t="s">
        <v>1793</v>
      </c>
      <c r="W444" s="102" t="s">
        <v>1793</v>
      </c>
      <c r="X444" s="102" t="s">
        <v>1794</v>
      </c>
      <c r="Y444" s="102" t="s">
        <v>1708</v>
      </c>
      <c r="Z444" s="102" t="s">
        <v>1708</v>
      </c>
      <c r="AA444" s="102" t="s">
        <v>1795</v>
      </c>
      <c r="AB444" s="102" t="s">
        <v>595</v>
      </c>
      <c r="AC444" s="102" t="s">
        <v>1687</v>
      </c>
      <c r="AD444" s="102" t="s">
        <v>1773</v>
      </c>
      <c r="AE444" s="102" t="s">
        <v>49</v>
      </c>
      <c r="AF444" s="102" t="s">
        <v>1899</v>
      </c>
    </row>
    <row r="445" spans="1:32" ht="75" hidden="1" customHeight="1">
      <c r="A445" s="102" t="s">
        <v>40</v>
      </c>
      <c r="B445" s="102" t="s">
        <v>1898</v>
      </c>
      <c r="C445" s="102" t="s">
        <v>1896</v>
      </c>
      <c r="D445" s="70">
        <v>30000</v>
      </c>
      <c r="E445" s="102" t="s">
        <v>48</v>
      </c>
      <c r="F445" s="102" t="s">
        <v>48</v>
      </c>
      <c r="G445" s="102" t="s">
        <v>48</v>
      </c>
      <c r="H445" s="102" t="s">
        <v>48</v>
      </c>
      <c r="I445" s="102" t="s">
        <v>48</v>
      </c>
      <c r="J445" s="102" t="s">
        <v>48</v>
      </c>
      <c r="K445" s="102" t="s">
        <v>48</v>
      </c>
      <c r="L445" s="102" t="s">
        <v>48</v>
      </c>
      <c r="M445" s="102" t="s">
        <v>48</v>
      </c>
      <c r="N445" s="102" t="s">
        <v>48</v>
      </c>
      <c r="O445" s="102" t="s">
        <v>48</v>
      </c>
      <c r="P445" s="102" t="s">
        <v>48</v>
      </c>
      <c r="Q445" s="102" t="s">
        <v>48</v>
      </c>
      <c r="R445" s="102" t="s">
        <v>48</v>
      </c>
      <c r="S445" s="102" t="s">
        <v>48</v>
      </c>
      <c r="T445" s="102" t="s">
        <v>48</v>
      </c>
      <c r="U445" s="102" t="s">
        <v>48</v>
      </c>
      <c r="V445" s="102" t="s">
        <v>1698</v>
      </c>
      <c r="W445" s="102" t="s">
        <v>1698</v>
      </c>
      <c r="X445" s="102" t="s">
        <v>1786</v>
      </c>
      <c r="Y445" s="102" t="s">
        <v>1708</v>
      </c>
      <c r="Z445" s="102" t="s">
        <v>1708</v>
      </c>
      <c r="AA445" s="102" t="s">
        <v>1787</v>
      </c>
      <c r="AB445" s="102" t="s">
        <v>595</v>
      </c>
      <c r="AC445" s="102" t="s">
        <v>1687</v>
      </c>
      <c r="AD445" s="102" t="s">
        <v>1773</v>
      </c>
      <c r="AE445" s="102" t="s">
        <v>49</v>
      </c>
      <c r="AF445" s="102" t="s">
        <v>1899</v>
      </c>
    </row>
    <row r="446" spans="1:32" ht="75" hidden="1" customHeight="1">
      <c r="A446" s="102" t="s">
        <v>865</v>
      </c>
      <c r="B446" s="102" t="s">
        <v>1898</v>
      </c>
      <c r="C446" s="102" t="s">
        <v>1897</v>
      </c>
      <c r="D446" s="70">
        <v>30000</v>
      </c>
      <c r="E446" s="102" t="s">
        <v>48</v>
      </c>
      <c r="F446" s="102" t="s">
        <v>48</v>
      </c>
      <c r="G446" s="102" t="s">
        <v>48</v>
      </c>
      <c r="H446" s="102" t="s">
        <v>48</v>
      </c>
      <c r="I446" s="102" t="s">
        <v>48</v>
      </c>
      <c r="J446" s="102" t="s">
        <v>48</v>
      </c>
      <c r="K446" s="102" t="s">
        <v>48</v>
      </c>
      <c r="L446" s="102" t="s">
        <v>48</v>
      </c>
      <c r="M446" s="102" t="s">
        <v>48</v>
      </c>
      <c r="N446" s="102" t="s">
        <v>48</v>
      </c>
      <c r="O446" s="102" t="s">
        <v>48</v>
      </c>
      <c r="P446" s="102" t="s">
        <v>48</v>
      </c>
      <c r="Q446" s="102" t="s">
        <v>48</v>
      </c>
      <c r="R446" s="102" t="s">
        <v>48</v>
      </c>
      <c r="S446" s="102" t="s">
        <v>48</v>
      </c>
      <c r="T446" s="102" t="s">
        <v>48</v>
      </c>
      <c r="U446" s="102" t="s">
        <v>48</v>
      </c>
      <c r="V446" s="102" t="s">
        <v>1789</v>
      </c>
      <c r="W446" s="102" t="s">
        <v>1789</v>
      </c>
      <c r="X446" s="102" t="s">
        <v>1791</v>
      </c>
      <c r="Y446" s="102" t="s">
        <v>1708</v>
      </c>
      <c r="Z446" s="102" t="s">
        <v>1708</v>
      </c>
      <c r="AA446" s="102" t="s">
        <v>1792</v>
      </c>
      <c r="AB446" s="102" t="s">
        <v>595</v>
      </c>
      <c r="AC446" s="102" t="s">
        <v>1687</v>
      </c>
      <c r="AD446" s="102" t="s">
        <v>1773</v>
      </c>
      <c r="AE446" s="102" t="s">
        <v>49</v>
      </c>
      <c r="AF446" s="102" t="s">
        <v>1899</v>
      </c>
    </row>
    <row r="447" spans="1:32" ht="75" customHeight="1">
      <c r="A447" s="102"/>
      <c r="B447" s="102"/>
      <c r="C447" s="102"/>
      <c r="D447" s="70"/>
      <c r="E447" s="102"/>
      <c r="F447" s="102"/>
      <c r="G447" s="102"/>
      <c r="H447" s="102"/>
      <c r="I447" s="102"/>
      <c r="J447" s="102"/>
      <c r="K447" s="103"/>
      <c r="L447" s="103"/>
      <c r="M447" s="103"/>
      <c r="N447" s="103"/>
      <c r="O447" s="103"/>
      <c r="P447" s="103"/>
      <c r="Q447" s="102"/>
      <c r="R447" s="102"/>
      <c r="S447" s="102"/>
      <c r="T447" s="102"/>
      <c r="U447" s="102"/>
      <c r="V447" s="102"/>
      <c r="W447" s="102"/>
      <c r="X447" s="102"/>
      <c r="Y447" s="102"/>
      <c r="Z447" s="102"/>
      <c r="AA447" s="102"/>
      <c r="AB447" s="102"/>
      <c r="AC447" s="102"/>
      <c r="AD447" s="102"/>
      <c r="AE447" s="102"/>
      <c r="AF447" s="102"/>
    </row>
    <row r="448" spans="1:32" ht="75" customHeight="1">
      <c r="A448" s="102"/>
      <c r="B448" s="102"/>
      <c r="C448" s="102"/>
      <c r="D448" s="70"/>
      <c r="E448" s="102"/>
      <c r="F448" s="102"/>
      <c r="G448" s="102"/>
      <c r="H448" s="102"/>
      <c r="I448" s="102"/>
      <c r="J448" s="102"/>
      <c r="K448" s="103"/>
      <c r="L448" s="103"/>
      <c r="M448" s="103"/>
      <c r="N448" s="103"/>
      <c r="O448" s="103"/>
      <c r="P448" s="103"/>
      <c r="Q448" s="102"/>
      <c r="R448" s="102"/>
      <c r="S448" s="102"/>
      <c r="T448" s="102"/>
      <c r="U448" s="102"/>
      <c r="V448" s="102"/>
      <c r="W448" s="102"/>
      <c r="X448" s="102"/>
      <c r="Y448" s="102"/>
      <c r="Z448" s="102"/>
      <c r="AA448" s="102"/>
      <c r="AB448" s="102"/>
      <c r="AC448" s="102"/>
      <c r="AD448" s="102"/>
      <c r="AE448" s="102"/>
      <c r="AF448" s="102"/>
    </row>
    <row r="449" spans="1:32" ht="75" customHeight="1">
      <c r="A449" s="102"/>
      <c r="B449" s="102"/>
      <c r="C449" s="102"/>
      <c r="D449" s="70"/>
      <c r="E449" s="102"/>
      <c r="F449" s="102"/>
      <c r="G449" s="102"/>
      <c r="H449" s="102"/>
      <c r="I449" s="102"/>
      <c r="J449" s="102"/>
      <c r="K449" s="103"/>
      <c r="L449" s="103"/>
      <c r="M449" s="103"/>
      <c r="N449" s="103"/>
      <c r="O449" s="103"/>
      <c r="P449" s="103"/>
      <c r="Q449" s="102"/>
      <c r="R449" s="102"/>
      <c r="S449" s="102"/>
      <c r="T449" s="102"/>
      <c r="U449" s="102"/>
      <c r="V449" s="102"/>
      <c r="W449" s="102"/>
      <c r="X449" s="102"/>
      <c r="Y449" s="102"/>
      <c r="Z449" s="102"/>
      <c r="AA449" s="102"/>
      <c r="AB449" s="102"/>
      <c r="AC449" s="102"/>
      <c r="AD449" s="102"/>
      <c r="AE449" s="102"/>
      <c r="AF449" s="102"/>
    </row>
    <row r="450" spans="1:32" ht="75" customHeight="1">
      <c r="A450" s="102"/>
      <c r="B450" s="102"/>
      <c r="C450" s="102"/>
      <c r="D450" s="70"/>
      <c r="E450" s="102"/>
      <c r="F450" s="102"/>
      <c r="G450" s="102"/>
      <c r="H450" s="102"/>
      <c r="I450" s="102"/>
      <c r="J450" s="102"/>
      <c r="K450" s="103"/>
      <c r="L450" s="103"/>
      <c r="M450" s="103"/>
      <c r="N450" s="103"/>
      <c r="O450" s="103"/>
      <c r="P450" s="103"/>
      <c r="Q450" s="102"/>
      <c r="R450" s="102"/>
      <c r="S450" s="102"/>
      <c r="T450" s="102"/>
      <c r="U450" s="102"/>
      <c r="V450" s="102"/>
      <c r="W450" s="102"/>
      <c r="X450" s="102"/>
      <c r="Y450" s="102"/>
      <c r="Z450" s="102"/>
      <c r="AA450" s="102"/>
      <c r="AB450" s="102"/>
      <c r="AC450" s="102"/>
      <c r="AD450" s="102"/>
      <c r="AE450" s="102"/>
      <c r="AF450" s="102"/>
    </row>
    <row r="451" spans="1:32" ht="75" customHeight="1">
      <c r="A451" s="102"/>
      <c r="B451" s="102"/>
      <c r="C451" s="102"/>
      <c r="D451" s="70"/>
      <c r="E451" s="102"/>
      <c r="F451" s="102"/>
      <c r="G451" s="102"/>
      <c r="H451" s="102"/>
      <c r="I451" s="102"/>
      <c r="J451" s="102"/>
      <c r="K451" s="103"/>
      <c r="L451" s="103"/>
      <c r="M451" s="103"/>
      <c r="N451" s="103"/>
      <c r="O451" s="103"/>
      <c r="P451" s="103"/>
      <c r="Q451" s="102"/>
      <c r="R451" s="102"/>
      <c r="S451" s="102"/>
      <c r="T451" s="102"/>
      <c r="U451" s="102"/>
      <c r="V451" s="102"/>
      <c r="W451" s="102"/>
      <c r="X451" s="102"/>
      <c r="Y451" s="102"/>
      <c r="Z451" s="102"/>
      <c r="AA451" s="102"/>
      <c r="AB451" s="102"/>
      <c r="AC451" s="102"/>
      <c r="AD451" s="102"/>
      <c r="AE451" s="102"/>
      <c r="AF451" s="102"/>
    </row>
    <row r="452" spans="1:32" ht="75" customHeight="1">
      <c r="A452" s="102"/>
      <c r="B452" s="102"/>
      <c r="C452" s="102"/>
      <c r="D452" s="70"/>
      <c r="E452" s="102"/>
      <c r="F452" s="102"/>
      <c r="G452" s="102"/>
      <c r="H452" s="102"/>
      <c r="I452" s="102"/>
      <c r="J452" s="102"/>
      <c r="K452" s="103"/>
      <c r="L452" s="103"/>
      <c r="M452" s="103"/>
      <c r="N452" s="103"/>
      <c r="O452" s="103"/>
      <c r="P452" s="103"/>
      <c r="Q452" s="102"/>
      <c r="R452" s="102"/>
      <c r="S452" s="102"/>
      <c r="T452" s="102"/>
      <c r="U452" s="102"/>
      <c r="V452" s="102"/>
      <c r="W452" s="102"/>
      <c r="X452" s="102"/>
      <c r="Y452" s="102"/>
      <c r="Z452" s="102"/>
      <c r="AA452" s="102"/>
      <c r="AB452" s="102"/>
      <c r="AC452" s="102"/>
      <c r="AD452" s="102"/>
      <c r="AE452" s="102"/>
      <c r="AF452" s="102"/>
    </row>
    <row r="453" spans="1:32" ht="75" customHeight="1">
      <c r="A453" s="102"/>
      <c r="B453" s="102"/>
      <c r="C453" s="102"/>
      <c r="D453" s="70"/>
      <c r="E453" s="102"/>
      <c r="F453" s="102"/>
      <c r="G453" s="102"/>
      <c r="H453" s="102"/>
      <c r="I453" s="102"/>
      <c r="J453" s="102"/>
      <c r="K453" s="103"/>
      <c r="L453" s="103"/>
      <c r="M453" s="103"/>
      <c r="N453" s="103"/>
      <c r="O453" s="103"/>
      <c r="P453" s="103"/>
      <c r="Q453" s="102"/>
      <c r="R453" s="102"/>
      <c r="S453" s="102"/>
      <c r="T453" s="102"/>
      <c r="U453" s="102"/>
      <c r="V453" s="102"/>
      <c r="W453" s="102"/>
      <c r="X453" s="102"/>
      <c r="Y453" s="102"/>
      <c r="Z453" s="102"/>
      <c r="AA453" s="102"/>
      <c r="AB453" s="102"/>
      <c r="AC453" s="102"/>
      <c r="AD453" s="102"/>
      <c r="AE453" s="102"/>
      <c r="AF453" s="102"/>
    </row>
    <row r="454" spans="1:32" ht="75" customHeight="1">
      <c r="A454" s="102"/>
      <c r="B454" s="102"/>
      <c r="C454" s="102"/>
      <c r="D454" s="70"/>
      <c r="E454" s="102"/>
      <c r="F454" s="102"/>
      <c r="G454" s="102"/>
      <c r="H454" s="102"/>
      <c r="I454" s="102"/>
      <c r="J454" s="102"/>
      <c r="K454" s="103"/>
      <c r="L454" s="103"/>
      <c r="M454" s="103"/>
      <c r="N454" s="103"/>
      <c r="O454" s="103"/>
      <c r="P454" s="103"/>
      <c r="Q454" s="102"/>
      <c r="R454" s="102"/>
      <c r="S454" s="102"/>
      <c r="T454" s="102"/>
      <c r="U454" s="102"/>
      <c r="V454" s="102"/>
      <c r="W454" s="102"/>
      <c r="X454" s="102"/>
      <c r="Y454" s="102"/>
      <c r="Z454" s="102"/>
      <c r="AA454" s="102"/>
      <c r="AB454" s="102"/>
      <c r="AC454" s="102"/>
      <c r="AD454" s="102"/>
      <c r="AE454" s="102"/>
      <c r="AF454" s="102"/>
    </row>
    <row r="455" spans="1:32" ht="75" customHeight="1">
      <c r="A455" s="102"/>
      <c r="B455" s="102"/>
      <c r="C455" s="102"/>
      <c r="D455" s="70"/>
      <c r="E455" s="102"/>
      <c r="F455" s="102"/>
      <c r="G455" s="102"/>
      <c r="H455" s="102"/>
      <c r="I455" s="102"/>
      <c r="J455" s="102"/>
      <c r="K455" s="103"/>
      <c r="L455" s="103"/>
      <c r="M455" s="103"/>
      <c r="N455" s="103"/>
      <c r="O455" s="103"/>
      <c r="P455" s="103"/>
      <c r="Q455" s="102"/>
      <c r="R455" s="102"/>
      <c r="S455" s="102"/>
      <c r="T455" s="102"/>
      <c r="U455" s="102"/>
      <c r="V455" s="102"/>
      <c r="W455" s="102"/>
      <c r="X455" s="102"/>
      <c r="Y455" s="102"/>
      <c r="Z455" s="102"/>
      <c r="AA455" s="102"/>
      <c r="AB455" s="102"/>
      <c r="AC455" s="102"/>
      <c r="AD455" s="102"/>
      <c r="AE455" s="102"/>
      <c r="AF455" s="102"/>
    </row>
    <row r="456" spans="1:32" ht="75" customHeight="1">
      <c r="A456" s="102"/>
      <c r="B456" s="102"/>
      <c r="C456" s="102"/>
      <c r="D456" s="70"/>
      <c r="E456" s="102"/>
      <c r="F456" s="102"/>
      <c r="G456" s="102"/>
      <c r="H456" s="102"/>
      <c r="I456" s="102"/>
      <c r="J456" s="102"/>
      <c r="K456" s="103"/>
      <c r="L456" s="103"/>
      <c r="M456" s="103"/>
      <c r="N456" s="103"/>
      <c r="O456" s="103"/>
      <c r="P456" s="103"/>
      <c r="Q456" s="102"/>
      <c r="R456" s="102"/>
      <c r="S456" s="102"/>
      <c r="T456" s="102"/>
      <c r="U456" s="102"/>
      <c r="V456" s="102"/>
      <c r="W456" s="102"/>
      <c r="X456" s="102"/>
      <c r="Y456" s="102"/>
      <c r="Z456" s="102"/>
      <c r="AA456" s="102"/>
      <c r="AB456" s="102"/>
      <c r="AC456" s="102"/>
      <c r="AD456" s="102"/>
      <c r="AE456" s="102"/>
      <c r="AF456" s="102"/>
    </row>
    <row r="457" spans="1:32" ht="75" customHeight="1">
      <c r="A457" s="102"/>
      <c r="B457" s="102"/>
      <c r="C457" s="102"/>
      <c r="D457" s="70"/>
      <c r="E457" s="102"/>
      <c r="F457" s="102"/>
      <c r="G457" s="102"/>
      <c r="H457" s="102"/>
      <c r="I457" s="102"/>
      <c r="J457" s="102"/>
      <c r="K457" s="103"/>
      <c r="L457" s="103"/>
      <c r="M457" s="103"/>
      <c r="N457" s="103"/>
      <c r="O457" s="103"/>
      <c r="P457" s="103"/>
      <c r="Q457" s="102"/>
      <c r="R457" s="102"/>
      <c r="S457" s="102"/>
      <c r="T457" s="102"/>
      <c r="U457" s="102"/>
      <c r="V457" s="102"/>
      <c r="W457" s="102"/>
      <c r="X457" s="102"/>
      <c r="Y457" s="102"/>
      <c r="Z457" s="102"/>
      <c r="AA457" s="102"/>
      <c r="AB457" s="102"/>
      <c r="AC457" s="102"/>
      <c r="AD457" s="102"/>
      <c r="AE457" s="102"/>
      <c r="AF457" s="102"/>
    </row>
    <row r="458" spans="1:32" ht="75" customHeight="1">
      <c r="A458" s="102"/>
      <c r="B458" s="102"/>
      <c r="C458" s="102"/>
      <c r="D458" s="70"/>
      <c r="E458" s="102"/>
      <c r="F458" s="102"/>
      <c r="G458" s="102"/>
      <c r="H458" s="102"/>
      <c r="I458" s="102"/>
      <c r="J458" s="102"/>
      <c r="K458" s="103"/>
      <c r="L458" s="103"/>
      <c r="M458" s="103"/>
      <c r="N458" s="103"/>
      <c r="O458" s="103"/>
      <c r="P458" s="103"/>
      <c r="Q458" s="102"/>
      <c r="R458" s="102"/>
      <c r="S458" s="102"/>
      <c r="T458" s="102"/>
      <c r="U458" s="102"/>
      <c r="V458" s="102"/>
      <c r="W458" s="102"/>
      <c r="X458" s="102"/>
      <c r="Y458" s="102"/>
      <c r="Z458" s="102"/>
      <c r="AA458" s="102"/>
      <c r="AB458" s="102"/>
      <c r="AC458" s="102"/>
      <c r="AD458" s="102"/>
      <c r="AE458" s="102"/>
      <c r="AF458" s="102"/>
    </row>
    <row r="459" spans="1:32" ht="75" customHeight="1">
      <c r="A459" s="102"/>
      <c r="B459" s="102"/>
      <c r="C459" s="102"/>
      <c r="D459" s="70"/>
      <c r="E459" s="102"/>
      <c r="F459" s="102"/>
      <c r="G459" s="102"/>
      <c r="H459" s="102"/>
      <c r="I459" s="102"/>
      <c r="J459" s="102"/>
      <c r="K459" s="103"/>
      <c r="L459" s="103"/>
      <c r="M459" s="103"/>
      <c r="N459" s="103"/>
      <c r="O459" s="103"/>
      <c r="P459" s="103"/>
      <c r="Q459" s="102"/>
      <c r="R459" s="102"/>
      <c r="S459" s="102"/>
      <c r="T459" s="102"/>
      <c r="U459" s="102"/>
      <c r="V459" s="102"/>
      <c r="W459" s="102"/>
      <c r="X459" s="102"/>
      <c r="Y459" s="102"/>
      <c r="Z459" s="102"/>
      <c r="AA459" s="102"/>
      <c r="AB459" s="102"/>
      <c r="AC459" s="102"/>
      <c r="AD459" s="102"/>
      <c r="AE459" s="102"/>
      <c r="AF459" s="102"/>
    </row>
    <row r="460" spans="1:32" ht="75" customHeight="1">
      <c r="A460" s="102"/>
      <c r="B460" s="102"/>
      <c r="C460" s="102"/>
      <c r="D460" s="70"/>
      <c r="E460" s="102"/>
      <c r="F460" s="102"/>
      <c r="G460" s="102"/>
      <c r="H460" s="102"/>
      <c r="I460" s="102"/>
      <c r="J460" s="102"/>
      <c r="K460" s="103"/>
      <c r="L460" s="103"/>
      <c r="M460" s="103"/>
      <c r="N460" s="103"/>
      <c r="O460" s="103"/>
      <c r="P460" s="103"/>
      <c r="Q460" s="102"/>
      <c r="R460" s="102"/>
      <c r="S460" s="102"/>
      <c r="T460" s="102"/>
      <c r="U460" s="102"/>
      <c r="V460" s="102"/>
      <c r="W460" s="102"/>
      <c r="X460" s="102"/>
      <c r="Y460" s="102"/>
      <c r="Z460" s="102"/>
      <c r="AA460" s="102"/>
      <c r="AB460" s="102"/>
      <c r="AC460" s="102"/>
      <c r="AD460" s="102"/>
      <c r="AE460" s="102"/>
      <c r="AF460" s="102"/>
    </row>
    <row r="461" spans="1:32" ht="75" customHeight="1">
      <c r="A461" s="102"/>
      <c r="B461" s="102"/>
      <c r="C461" s="102"/>
      <c r="D461" s="70"/>
      <c r="E461" s="102"/>
      <c r="F461" s="102"/>
      <c r="G461" s="102"/>
      <c r="H461" s="102"/>
      <c r="I461" s="102"/>
      <c r="J461" s="102"/>
      <c r="K461" s="103"/>
      <c r="L461" s="103"/>
      <c r="M461" s="103"/>
      <c r="N461" s="103"/>
      <c r="O461" s="103"/>
      <c r="P461" s="103"/>
      <c r="Q461" s="102"/>
      <c r="R461" s="102"/>
      <c r="S461" s="102"/>
      <c r="T461" s="102"/>
      <c r="U461" s="102"/>
      <c r="V461" s="102"/>
      <c r="W461" s="102"/>
      <c r="X461" s="102"/>
      <c r="Y461" s="102"/>
      <c r="Z461" s="102"/>
      <c r="AA461" s="102"/>
      <c r="AB461" s="102"/>
      <c r="AC461" s="102"/>
      <c r="AD461" s="102"/>
      <c r="AE461" s="102"/>
      <c r="AF461" s="102"/>
    </row>
    <row r="462" spans="1:32" ht="75" customHeight="1">
      <c r="A462" s="102"/>
      <c r="B462" s="102"/>
      <c r="C462" s="102"/>
      <c r="D462" s="70"/>
      <c r="E462" s="102"/>
      <c r="F462" s="102"/>
      <c r="G462" s="102"/>
      <c r="H462" s="102"/>
      <c r="I462" s="102"/>
      <c r="J462" s="102"/>
      <c r="K462" s="103"/>
      <c r="L462" s="103"/>
      <c r="M462" s="103"/>
      <c r="N462" s="103"/>
      <c r="O462" s="103"/>
      <c r="P462" s="103"/>
      <c r="Q462" s="102"/>
      <c r="R462" s="102"/>
      <c r="S462" s="102"/>
      <c r="T462" s="102"/>
      <c r="U462" s="102"/>
      <c r="V462" s="102"/>
      <c r="W462" s="102"/>
      <c r="X462" s="102"/>
      <c r="Y462" s="102"/>
      <c r="Z462" s="102"/>
      <c r="AA462" s="102"/>
      <c r="AB462" s="102"/>
      <c r="AC462" s="102"/>
      <c r="AD462" s="102"/>
      <c r="AE462" s="102"/>
      <c r="AF462" s="102"/>
    </row>
    <row r="463" spans="1:32" ht="75" customHeight="1">
      <c r="A463" s="102"/>
      <c r="B463" s="102"/>
      <c r="C463" s="102"/>
      <c r="D463" s="70"/>
      <c r="E463" s="102"/>
      <c r="F463" s="102"/>
      <c r="G463" s="102"/>
      <c r="H463" s="102"/>
      <c r="I463" s="102"/>
      <c r="J463" s="102"/>
      <c r="K463" s="103"/>
      <c r="L463" s="103"/>
      <c r="M463" s="103"/>
      <c r="N463" s="103"/>
      <c r="O463" s="103"/>
      <c r="P463" s="103"/>
      <c r="Q463" s="102"/>
      <c r="R463" s="102"/>
      <c r="S463" s="102"/>
      <c r="T463" s="102"/>
      <c r="U463" s="102"/>
      <c r="V463" s="102"/>
      <c r="W463" s="102"/>
      <c r="X463" s="102"/>
      <c r="Y463" s="102"/>
      <c r="Z463" s="102"/>
      <c r="AA463" s="102"/>
      <c r="AB463" s="102"/>
      <c r="AC463" s="102"/>
      <c r="AD463" s="102"/>
      <c r="AE463" s="102"/>
      <c r="AF463" s="102"/>
    </row>
    <row r="464" spans="1:32" ht="75" customHeight="1">
      <c r="A464" s="102"/>
      <c r="B464" s="102"/>
      <c r="C464" s="102"/>
      <c r="D464" s="70"/>
      <c r="E464" s="102"/>
      <c r="F464" s="102"/>
      <c r="G464" s="102"/>
      <c r="H464" s="102"/>
      <c r="I464" s="102"/>
      <c r="J464" s="102"/>
      <c r="K464" s="103"/>
      <c r="L464" s="103"/>
      <c r="M464" s="103"/>
      <c r="N464" s="103"/>
      <c r="O464" s="103"/>
      <c r="P464" s="103"/>
      <c r="Q464" s="102"/>
      <c r="R464" s="102"/>
      <c r="S464" s="102"/>
      <c r="T464" s="102"/>
      <c r="U464" s="102"/>
      <c r="V464" s="102"/>
      <c r="W464" s="102"/>
      <c r="X464" s="102"/>
      <c r="Y464" s="102"/>
      <c r="Z464" s="102"/>
      <c r="AA464" s="102"/>
      <c r="AB464" s="102"/>
      <c r="AC464" s="102"/>
      <c r="AD464" s="102"/>
      <c r="AE464" s="102"/>
      <c r="AF464" s="102"/>
    </row>
    <row r="465" spans="1:32" ht="75" customHeight="1">
      <c r="A465" s="102"/>
      <c r="B465" s="102"/>
      <c r="C465" s="102"/>
      <c r="D465" s="70"/>
      <c r="E465" s="102"/>
      <c r="F465" s="102"/>
      <c r="G465" s="102"/>
      <c r="H465" s="102"/>
      <c r="I465" s="102"/>
      <c r="J465" s="102"/>
      <c r="K465" s="103"/>
      <c r="L465" s="103"/>
      <c r="M465" s="103"/>
      <c r="N465" s="103"/>
      <c r="O465" s="103"/>
      <c r="P465" s="103"/>
      <c r="Q465" s="102"/>
      <c r="R465" s="102"/>
      <c r="S465" s="102"/>
      <c r="T465" s="102"/>
      <c r="U465" s="102"/>
      <c r="V465" s="102"/>
      <c r="W465" s="102"/>
      <c r="X465" s="102"/>
      <c r="Y465" s="102"/>
      <c r="Z465" s="102"/>
      <c r="AA465" s="102"/>
      <c r="AB465" s="102"/>
      <c r="AC465" s="102"/>
      <c r="AD465" s="102"/>
      <c r="AE465" s="102"/>
      <c r="AF465" s="102"/>
    </row>
    <row r="466" spans="1:32" ht="75" customHeight="1">
      <c r="A466" s="102"/>
      <c r="B466" s="102"/>
      <c r="C466" s="102"/>
      <c r="D466" s="70"/>
      <c r="E466" s="102"/>
      <c r="F466" s="102"/>
      <c r="G466" s="102"/>
      <c r="H466" s="102"/>
      <c r="I466" s="102"/>
      <c r="J466" s="102"/>
      <c r="K466" s="103"/>
      <c r="L466" s="103"/>
      <c r="M466" s="103"/>
      <c r="N466" s="103"/>
      <c r="O466" s="103"/>
      <c r="P466" s="103"/>
      <c r="Q466" s="102"/>
      <c r="R466" s="102"/>
      <c r="S466" s="102"/>
      <c r="T466" s="102"/>
      <c r="U466" s="102"/>
      <c r="V466" s="102"/>
      <c r="W466" s="102"/>
      <c r="X466" s="102"/>
      <c r="Y466" s="102"/>
      <c r="Z466" s="102"/>
      <c r="AA466" s="102"/>
      <c r="AB466" s="102"/>
      <c r="AC466" s="102"/>
      <c r="AD466" s="102"/>
      <c r="AE466" s="102"/>
      <c r="AF466" s="102"/>
    </row>
    <row r="467" spans="1:32" ht="75" customHeight="1">
      <c r="A467" s="102"/>
      <c r="B467" s="102"/>
      <c r="C467" s="102"/>
      <c r="D467" s="70"/>
      <c r="E467" s="102"/>
      <c r="F467" s="102"/>
      <c r="G467" s="102"/>
      <c r="H467" s="102"/>
      <c r="I467" s="102"/>
      <c r="J467" s="102"/>
      <c r="K467" s="103"/>
      <c r="L467" s="103"/>
      <c r="M467" s="103"/>
      <c r="N467" s="103"/>
      <c r="O467" s="103"/>
      <c r="P467" s="103"/>
      <c r="Q467" s="102"/>
      <c r="R467" s="102"/>
      <c r="S467" s="102"/>
      <c r="T467" s="102"/>
      <c r="U467" s="102"/>
      <c r="V467" s="102"/>
      <c r="W467" s="102"/>
      <c r="X467" s="102"/>
      <c r="Y467" s="102"/>
      <c r="Z467" s="102"/>
      <c r="AA467" s="102"/>
      <c r="AB467" s="102"/>
      <c r="AC467" s="102"/>
      <c r="AD467" s="102"/>
      <c r="AE467" s="102"/>
      <c r="AF467" s="102"/>
    </row>
    <row r="468" spans="1:32" ht="75" customHeight="1">
      <c r="A468" s="102"/>
      <c r="B468" s="102"/>
      <c r="C468" s="102"/>
      <c r="D468" s="70"/>
      <c r="E468" s="102"/>
      <c r="F468" s="102"/>
      <c r="G468" s="102"/>
      <c r="H468" s="102"/>
      <c r="I468" s="102"/>
      <c r="J468" s="102"/>
      <c r="K468" s="103"/>
      <c r="L468" s="103"/>
      <c r="M468" s="103"/>
      <c r="N468" s="103"/>
      <c r="O468" s="103"/>
      <c r="P468" s="103"/>
      <c r="Q468" s="102"/>
      <c r="R468" s="102"/>
      <c r="S468" s="102"/>
      <c r="T468" s="102"/>
      <c r="U468" s="102"/>
      <c r="V468" s="102"/>
      <c r="W468" s="102"/>
      <c r="X468" s="102"/>
      <c r="Y468" s="102"/>
      <c r="Z468" s="102"/>
      <c r="AA468" s="102"/>
      <c r="AB468" s="102"/>
      <c r="AC468" s="102"/>
      <c r="AD468" s="102"/>
      <c r="AE468" s="102"/>
      <c r="AF468" s="102"/>
    </row>
    <row r="469" spans="1:32" ht="75" customHeight="1">
      <c r="A469" s="102"/>
      <c r="B469" s="102"/>
      <c r="C469" s="102"/>
      <c r="D469" s="70"/>
      <c r="E469" s="102"/>
      <c r="F469" s="102"/>
      <c r="G469" s="102"/>
      <c r="H469" s="102"/>
      <c r="I469" s="102"/>
      <c r="J469" s="102"/>
      <c r="K469" s="103"/>
      <c r="L469" s="103"/>
      <c r="M469" s="103"/>
      <c r="N469" s="103"/>
      <c r="O469" s="103"/>
      <c r="P469" s="103"/>
      <c r="Q469" s="102"/>
      <c r="R469" s="102"/>
      <c r="S469" s="102"/>
      <c r="T469" s="102"/>
      <c r="U469" s="102"/>
      <c r="V469" s="102"/>
      <c r="W469" s="102"/>
      <c r="X469" s="102"/>
      <c r="Y469" s="102"/>
      <c r="Z469" s="102"/>
      <c r="AA469" s="102"/>
      <c r="AB469" s="102"/>
      <c r="AC469" s="102"/>
      <c r="AD469" s="102"/>
      <c r="AE469" s="102"/>
      <c r="AF469" s="102"/>
    </row>
    <row r="470" spans="1:32" ht="75" customHeight="1">
      <c r="A470" s="102"/>
      <c r="B470" s="102"/>
      <c r="C470" s="102"/>
      <c r="D470" s="70"/>
      <c r="E470" s="102"/>
      <c r="F470" s="102"/>
      <c r="G470" s="102"/>
      <c r="H470" s="102"/>
      <c r="I470" s="102"/>
      <c r="J470" s="102"/>
      <c r="K470" s="103"/>
      <c r="L470" s="103"/>
      <c r="M470" s="103"/>
      <c r="N470" s="103"/>
      <c r="O470" s="103"/>
      <c r="P470" s="103"/>
      <c r="Q470" s="102"/>
      <c r="R470" s="102"/>
      <c r="S470" s="102"/>
      <c r="T470" s="102"/>
      <c r="U470" s="102"/>
      <c r="V470" s="102"/>
      <c r="W470" s="102"/>
      <c r="X470" s="102"/>
      <c r="Y470" s="102"/>
      <c r="Z470" s="102"/>
      <c r="AA470" s="102"/>
      <c r="AB470" s="102"/>
      <c r="AC470" s="102"/>
      <c r="AD470" s="102"/>
      <c r="AE470" s="102"/>
      <c r="AF470" s="102"/>
    </row>
    <row r="471" spans="1:32" ht="75" customHeight="1">
      <c r="A471" s="102"/>
      <c r="B471" s="102"/>
      <c r="C471" s="102"/>
      <c r="D471" s="70"/>
      <c r="E471" s="102"/>
      <c r="F471" s="102"/>
      <c r="G471" s="102"/>
      <c r="H471" s="102"/>
      <c r="I471" s="102"/>
      <c r="J471" s="102"/>
      <c r="K471" s="103"/>
      <c r="L471" s="103"/>
      <c r="M471" s="103"/>
      <c r="N471" s="103"/>
      <c r="O471" s="103"/>
      <c r="P471" s="103"/>
      <c r="Q471" s="102"/>
      <c r="R471" s="102"/>
      <c r="S471" s="102"/>
      <c r="T471" s="102"/>
      <c r="U471" s="102"/>
      <c r="V471" s="102"/>
      <c r="W471" s="102"/>
      <c r="X471" s="102"/>
      <c r="Y471" s="102"/>
      <c r="Z471" s="102"/>
      <c r="AA471" s="102"/>
      <c r="AB471" s="102"/>
      <c r="AC471" s="102"/>
      <c r="AD471" s="102"/>
      <c r="AE471" s="102"/>
      <c r="AF471" s="102"/>
    </row>
    <row r="472" spans="1:32" ht="75" customHeight="1">
      <c r="A472" s="102"/>
      <c r="B472" s="102"/>
      <c r="C472" s="102"/>
      <c r="D472" s="70"/>
      <c r="E472" s="102"/>
      <c r="F472" s="102"/>
      <c r="G472" s="102"/>
      <c r="H472" s="102"/>
      <c r="I472" s="102"/>
      <c r="J472" s="102"/>
      <c r="K472" s="103"/>
      <c r="L472" s="103"/>
      <c r="M472" s="103"/>
      <c r="N472" s="103"/>
      <c r="O472" s="103"/>
      <c r="P472" s="103"/>
      <c r="Q472" s="102"/>
      <c r="R472" s="102"/>
      <c r="S472" s="102"/>
      <c r="T472" s="102"/>
      <c r="U472" s="102"/>
      <c r="V472" s="102"/>
      <c r="W472" s="102"/>
      <c r="X472" s="102"/>
      <c r="Y472" s="102"/>
      <c r="Z472" s="102"/>
      <c r="AA472" s="102"/>
      <c r="AB472" s="102"/>
      <c r="AC472" s="102"/>
      <c r="AD472" s="102"/>
      <c r="AE472" s="102"/>
      <c r="AF472" s="102"/>
    </row>
    <row r="473" spans="1:32" ht="75" customHeight="1">
      <c r="A473" s="102"/>
      <c r="B473" s="102"/>
      <c r="C473" s="102"/>
      <c r="D473" s="70"/>
      <c r="E473" s="102"/>
      <c r="F473" s="102"/>
      <c r="G473" s="102"/>
      <c r="H473" s="102"/>
      <c r="I473" s="102"/>
      <c r="J473" s="102"/>
      <c r="K473" s="103"/>
      <c r="L473" s="103"/>
      <c r="M473" s="103"/>
      <c r="N473" s="103"/>
      <c r="O473" s="103"/>
      <c r="P473" s="103"/>
      <c r="Q473" s="102"/>
      <c r="R473" s="102"/>
      <c r="S473" s="102"/>
      <c r="T473" s="102"/>
      <c r="U473" s="102"/>
      <c r="V473" s="102"/>
      <c r="W473" s="102"/>
      <c r="X473" s="102"/>
      <c r="Y473" s="102"/>
      <c r="Z473" s="102"/>
      <c r="AA473" s="102"/>
      <c r="AB473" s="102"/>
      <c r="AC473" s="102"/>
      <c r="AD473" s="102"/>
      <c r="AE473" s="102"/>
      <c r="AF473" s="102"/>
    </row>
    <row r="474" spans="1:32" ht="75" customHeight="1">
      <c r="A474" s="102"/>
      <c r="B474" s="102"/>
      <c r="C474" s="102"/>
      <c r="D474" s="70"/>
      <c r="E474" s="102"/>
      <c r="F474" s="102"/>
      <c r="G474" s="102"/>
      <c r="H474" s="102"/>
      <c r="I474" s="102"/>
      <c r="J474" s="102"/>
      <c r="K474" s="103"/>
      <c r="L474" s="103"/>
      <c r="M474" s="103"/>
      <c r="N474" s="103"/>
      <c r="O474" s="103"/>
      <c r="P474" s="103"/>
      <c r="Q474" s="102"/>
      <c r="R474" s="102"/>
      <c r="S474" s="102"/>
      <c r="T474" s="102"/>
      <c r="U474" s="102"/>
      <c r="V474" s="102"/>
      <c r="W474" s="102"/>
      <c r="X474" s="102"/>
      <c r="Y474" s="102"/>
      <c r="Z474" s="102"/>
      <c r="AA474" s="102"/>
      <c r="AB474" s="102"/>
      <c r="AC474" s="102"/>
      <c r="AD474" s="102"/>
      <c r="AE474" s="102"/>
      <c r="AF474" s="102"/>
    </row>
    <row r="475" spans="1:32" ht="75" customHeight="1">
      <c r="A475" s="102"/>
      <c r="B475" s="102"/>
      <c r="C475" s="102"/>
      <c r="D475" s="70"/>
      <c r="E475" s="102"/>
      <c r="F475" s="102"/>
      <c r="G475" s="102"/>
      <c r="H475" s="102"/>
      <c r="I475" s="102"/>
      <c r="J475" s="102"/>
      <c r="K475" s="103"/>
      <c r="L475" s="103"/>
      <c r="M475" s="103"/>
      <c r="N475" s="103"/>
      <c r="O475" s="103"/>
      <c r="P475" s="103"/>
      <c r="Q475" s="102"/>
      <c r="R475" s="102"/>
      <c r="S475" s="102"/>
      <c r="T475" s="102"/>
      <c r="U475" s="102"/>
      <c r="V475" s="102"/>
      <c r="W475" s="102"/>
      <c r="X475" s="102"/>
      <c r="Y475" s="102"/>
      <c r="Z475" s="102"/>
      <c r="AA475" s="102"/>
      <c r="AB475" s="102"/>
      <c r="AC475" s="102"/>
      <c r="AD475" s="102"/>
      <c r="AE475" s="102"/>
      <c r="AF475" s="102"/>
    </row>
    <row r="476" spans="1:32" ht="75" customHeight="1">
      <c r="A476" s="102"/>
      <c r="B476" s="102"/>
      <c r="C476" s="102"/>
      <c r="D476" s="70"/>
      <c r="E476" s="102"/>
      <c r="F476" s="102"/>
      <c r="G476" s="102"/>
      <c r="H476" s="102"/>
      <c r="I476" s="102"/>
      <c r="J476" s="102"/>
      <c r="K476" s="103"/>
      <c r="L476" s="103"/>
      <c r="M476" s="103"/>
      <c r="N476" s="103"/>
      <c r="O476" s="103"/>
      <c r="P476" s="103"/>
      <c r="Q476" s="102"/>
      <c r="R476" s="102"/>
      <c r="S476" s="102"/>
      <c r="T476" s="102"/>
      <c r="U476" s="102"/>
      <c r="V476" s="102"/>
      <c r="W476" s="102"/>
      <c r="X476" s="102"/>
      <c r="Y476" s="102"/>
      <c r="Z476" s="102"/>
      <c r="AA476" s="102"/>
      <c r="AB476" s="102"/>
      <c r="AC476" s="102"/>
      <c r="AD476" s="102"/>
      <c r="AE476" s="102"/>
      <c r="AF476" s="102"/>
    </row>
    <row r="477" spans="1:32" ht="75" customHeight="1">
      <c r="A477" s="102"/>
      <c r="B477" s="102"/>
      <c r="C477" s="102"/>
      <c r="D477" s="70"/>
      <c r="E477" s="102"/>
      <c r="F477" s="102"/>
      <c r="G477" s="102"/>
      <c r="H477" s="102"/>
      <c r="I477" s="102"/>
      <c r="J477" s="102"/>
      <c r="K477" s="103"/>
      <c r="L477" s="103"/>
      <c r="M477" s="103"/>
      <c r="N477" s="103"/>
      <c r="O477" s="103"/>
      <c r="P477" s="103"/>
      <c r="Q477" s="102"/>
      <c r="R477" s="102"/>
      <c r="S477" s="102"/>
      <c r="T477" s="102"/>
      <c r="U477" s="102"/>
      <c r="V477" s="102"/>
      <c r="W477" s="102"/>
      <c r="X477" s="102"/>
      <c r="Y477" s="102"/>
      <c r="Z477" s="102"/>
      <c r="AA477" s="102"/>
      <c r="AB477" s="102"/>
      <c r="AC477" s="102"/>
      <c r="AD477" s="102"/>
      <c r="AE477" s="102"/>
      <c r="AF477" s="102"/>
    </row>
    <row r="478" spans="1:32" ht="75" customHeight="1">
      <c r="A478" s="102"/>
      <c r="B478" s="102"/>
      <c r="C478" s="102"/>
      <c r="D478" s="70"/>
      <c r="E478" s="102"/>
      <c r="F478" s="102"/>
      <c r="G478" s="102"/>
      <c r="H478" s="102"/>
      <c r="I478" s="102"/>
      <c r="J478" s="102"/>
      <c r="K478" s="103"/>
      <c r="L478" s="103"/>
      <c r="M478" s="103"/>
      <c r="N478" s="103"/>
      <c r="O478" s="103"/>
      <c r="P478" s="103"/>
      <c r="Q478" s="102"/>
      <c r="R478" s="102"/>
      <c r="S478" s="102"/>
      <c r="T478" s="102"/>
      <c r="U478" s="102"/>
      <c r="V478" s="102"/>
      <c r="W478" s="102"/>
      <c r="X478" s="102"/>
      <c r="Y478" s="102"/>
      <c r="Z478" s="102"/>
      <c r="AA478" s="102"/>
      <c r="AB478" s="102"/>
      <c r="AC478" s="102"/>
      <c r="AD478" s="102"/>
      <c r="AE478" s="102"/>
      <c r="AF478" s="102"/>
    </row>
    <row r="479" spans="1:32" ht="75" customHeight="1">
      <c r="A479" s="102"/>
      <c r="B479" s="102"/>
      <c r="C479" s="102"/>
      <c r="D479" s="70"/>
      <c r="E479" s="102"/>
      <c r="F479" s="102"/>
      <c r="G479" s="102"/>
      <c r="H479" s="102"/>
      <c r="I479" s="102"/>
      <c r="J479" s="102"/>
      <c r="K479" s="103"/>
      <c r="L479" s="103"/>
      <c r="M479" s="103"/>
      <c r="N479" s="103"/>
      <c r="O479" s="103"/>
      <c r="P479" s="103"/>
      <c r="Q479" s="102"/>
      <c r="R479" s="102"/>
      <c r="S479" s="102"/>
      <c r="T479" s="102"/>
      <c r="U479" s="102"/>
      <c r="V479" s="102"/>
      <c r="W479" s="102"/>
      <c r="X479" s="102"/>
      <c r="Y479" s="102"/>
      <c r="Z479" s="102"/>
      <c r="AA479" s="102"/>
      <c r="AB479" s="102"/>
      <c r="AC479" s="102"/>
      <c r="AD479" s="102"/>
      <c r="AE479" s="102"/>
      <c r="AF479" s="102"/>
    </row>
    <row r="480" spans="1:32" ht="75" customHeight="1">
      <c r="A480" s="102"/>
      <c r="B480" s="102"/>
      <c r="C480" s="102"/>
      <c r="D480" s="70"/>
      <c r="E480" s="102"/>
      <c r="F480" s="102"/>
      <c r="G480" s="102"/>
      <c r="H480" s="102"/>
      <c r="I480" s="102"/>
      <c r="J480" s="102"/>
      <c r="K480" s="103"/>
      <c r="L480" s="103"/>
      <c r="M480" s="103"/>
      <c r="N480" s="103"/>
      <c r="O480" s="103"/>
      <c r="P480" s="103"/>
      <c r="Q480" s="102"/>
      <c r="R480" s="102"/>
      <c r="S480" s="102"/>
      <c r="T480" s="102"/>
      <c r="U480" s="102"/>
      <c r="V480" s="102"/>
      <c r="W480" s="102"/>
      <c r="X480" s="102"/>
      <c r="Y480" s="102"/>
      <c r="Z480" s="102"/>
      <c r="AA480" s="102"/>
      <c r="AB480" s="102"/>
      <c r="AC480" s="102"/>
      <c r="AD480" s="102"/>
      <c r="AE480" s="102"/>
      <c r="AF480" s="102"/>
    </row>
    <row r="481" spans="1:32" ht="75" customHeight="1">
      <c r="A481" s="102"/>
      <c r="B481" s="102"/>
      <c r="C481" s="102"/>
      <c r="D481" s="70"/>
      <c r="E481" s="102"/>
      <c r="F481" s="102"/>
      <c r="G481" s="102"/>
      <c r="H481" s="102"/>
      <c r="I481" s="102"/>
      <c r="J481" s="102"/>
      <c r="K481" s="103"/>
      <c r="L481" s="103"/>
      <c r="M481" s="103"/>
      <c r="N481" s="103"/>
      <c r="O481" s="103"/>
      <c r="P481" s="103"/>
      <c r="Q481" s="102"/>
      <c r="R481" s="102"/>
      <c r="S481" s="102"/>
      <c r="T481" s="102"/>
      <c r="U481" s="102"/>
      <c r="V481" s="102"/>
      <c r="W481" s="102"/>
      <c r="X481" s="102"/>
      <c r="Y481" s="102"/>
      <c r="Z481" s="102"/>
      <c r="AA481" s="102"/>
      <c r="AB481" s="102"/>
      <c r="AC481" s="102"/>
      <c r="AD481" s="102"/>
      <c r="AE481" s="102"/>
      <c r="AF481" s="102"/>
    </row>
    <row r="482" spans="1:32" ht="75" customHeight="1">
      <c r="A482" s="102"/>
      <c r="B482" s="102"/>
      <c r="C482" s="102"/>
      <c r="D482" s="70"/>
      <c r="E482" s="102"/>
      <c r="F482" s="102"/>
      <c r="G482" s="102"/>
      <c r="H482" s="102"/>
      <c r="I482" s="102"/>
      <c r="J482" s="102"/>
      <c r="K482" s="103"/>
      <c r="L482" s="103"/>
      <c r="M482" s="103"/>
      <c r="N482" s="103"/>
      <c r="O482" s="103"/>
      <c r="P482" s="103"/>
      <c r="Q482" s="102"/>
      <c r="R482" s="102"/>
      <c r="S482" s="102"/>
      <c r="T482" s="102"/>
      <c r="U482" s="102"/>
      <c r="V482" s="102"/>
      <c r="W482" s="102"/>
      <c r="X482" s="102"/>
      <c r="Y482" s="102"/>
      <c r="Z482" s="102"/>
      <c r="AA482" s="102"/>
      <c r="AB482" s="102"/>
      <c r="AC482" s="102"/>
      <c r="AD482" s="102"/>
      <c r="AE482" s="102"/>
      <c r="AF482" s="102"/>
    </row>
    <row r="483" spans="1:32" ht="75" customHeight="1">
      <c r="A483" s="102"/>
      <c r="B483" s="102"/>
      <c r="C483" s="102"/>
      <c r="D483" s="70"/>
      <c r="E483" s="102"/>
      <c r="F483" s="102"/>
      <c r="G483" s="102"/>
      <c r="H483" s="102"/>
      <c r="I483" s="102"/>
      <c r="J483" s="102"/>
      <c r="K483" s="103"/>
      <c r="L483" s="103"/>
      <c r="M483" s="103"/>
      <c r="N483" s="103"/>
      <c r="O483" s="103"/>
      <c r="P483" s="103"/>
      <c r="Q483" s="102"/>
      <c r="R483" s="102"/>
      <c r="S483" s="102"/>
      <c r="T483" s="102"/>
      <c r="U483" s="102"/>
      <c r="V483" s="102"/>
      <c r="W483" s="102"/>
      <c r="X483" s="102"/>
      <c r="Y483" s="102"/>
      <c r="Z483" s="102"/>
      <c r="AA483" s="102"/>
      <c r="AB483" s="102"/>
      <c r="AC483" s="102"/>
      <c r="AD483" s="102"/>
      <c r="AE483" s="102"/>
      <c r="AF483" s="102"/>
    </row>
    <row r="484" spans="1:32" ht="75" customHeight="1">
      <c r="A484" s="102"/>
      <c r="B484" s="102"/>
      <c r="C484" s="102"/>
      <c r="D484" s="70"/>
      <c r="E484" s="102"/>
      <c r="F484" s="102"/>
      <c r="G484" s="102"/>
      <c r="H484" s="102"/>
      <c r="I484" s="102"/>
      <c r="J484" s="102"/>
      <c r="K484" s="103"/>
      <c r="L484" s="103"/>
      <c r="M484" s="103"/>
      <c r="N484" s="103"/>
      <c r="O484" s="103"/>
      <c r="P484" s="103"/>
      <c r="Q484" s="102"/>
      <c r="R484" s="102"/>
      <c r="S484" s="102"/>
      <c r="T484" s="102"/>
      <c r="U484" s="102"/>
      <c r="V484" s="102"/>
      <c r="W484" s="102"/>
      <c r="X484" s="102"/>
      <c r="Y484" s="102"/>
      <c r="Z484" s="102"/>
      <c r="AA484" s="102"/>
      <c r="AB484" s="102"/>
      <c r="AC484" s="102"/>
      <c r="AD484" s="102"/>
      <c r="AE484" s="102"/>
      <c r="AF484" s="102"/>
    </row>
    <row r="485" spans="1:32" ht="75" customHeight="1">
      <c r="A485" s="102"/>
      <c r="B485" s="102"/>
      <c r="C485" s="102"/>
      <c r="D485" s="70"/>
      <c r="E485" s="102"/>
      <c r="F485" s="102"/>
      <c r="G485" s="102"/>
      <c r="H485" s="102"/>
      <c r="I485" s="102"/>
      <c r="J485" s="102"/>
      <c r="K485" s="103"/>
      <c r="L485" s="103"/>
      <c r="M485" s="103"/>
      <c r="N485" s="103"/>
      <c r="O485" s="103"/>
      <c r="P485" s="103"/>
      <c r="Q485" s="102"/>
      <c r="R485" s="102"/>
      <c r="S485" s="102"/>
      <c r="T485" s="102"/>
      <c r="U485" s="102"/>
      <c r="V485" s="102"/>
      <c r="W485" s="102"/>
      <c r="X485" s="102"/>
      <c r="Y485" s="102"/>
      <c r="Z485" s="102"/>
      <c r="AA485" s="102"/>
      <c r="AB485" s="102"/>
      <c r="AC485" s="102"/>
      <c r="AD485" s="102"/>
      <c r="AE485" s="102"/>
      <c r="AF485" s="102"/>
    </row>
    <row r="486" spans="1:32" ht="75" customHeight="1">
      <c r="A486" s="102"/>
      <c r="B486" s="102"/>
      <c r="C486" s="102"/>
      <c r="D486" s="70"/>
      <c r="E486" s="102"/>
      <c r="F486" s="102"/>
      <c r="G486" s="102"/>
      <c r="H486" s="102"/>
      <c r="I486" s="102"/>
      <c r="J486" s="102"/>
      <c r="K486" s="103"/>
      <c r="L486" s="103"/>
      <c r="M486" s="103"/>
      <c r="N486" s="103"/>
      <c r="O486" s="103"/>
      <c r="P486" s="103"/>
      <c r="Q486" s="102"/>
      <c r="R486" s="102"/>
      <c r="S486" s="102"/>
      <c r="T486" s="102"/>
      <c r="U486" s="102"/>
      <c r="V486" s="102"/>
      <c r="W486" s="102"/>
      <c r="X486" s="102"/>
      <c r="Y486" s="102"/>
      <c r="Z486" s="102"/>
      <c r="AA486" s="102"/>
      <c r="AB486" s="102"/>
      <c r="AC486" s="102"/>
      <c r="AD486" s="102"/>
      <c r="AE486" s="102"/>
      <c r="AF486" s="102"/>
    </row>
    <row r="487" spans="1:32" ht="75" customHeight="1">
      <c r="A487" s="102"/>
      <c r="B487" s="102"/>
      <c r="C487" s="102"/>
      <c r="D487" s="70"/>
      <c r="E487" s="102"/>
      <c r="F487" s="102"/>
      <c r="G487" s="102"/>
      <c r="H487" s="102"/>
      <c r="I487" s="102"/>
      <c r="J487" s="102"/>
      <c r="K487" s="103"/>
      <c r="L487" s="103"/>
      <c r="M487" s="103"/>
      <c r="N487" s="103"/>
      <c r="O487" s="103"/>
      <c r="P487" s="103"/>
      <c r="Q487" s="102"/>
      <c r="R487" s="102"/>
      <c r="S487" s="102"/>
      <c r="T487" s="102"/>
      <c r="U487" s="102"/>
      <c r="V487" s="102"/>
      <c r="W487" s="102"/>
      <c r="X487" s="102"/>
      <c r="Y487" s="102"/>
      <c r="Z487" s="102"/>
      <c r="AA487" s="102"/>
      <c r="AB487" s="102"/>
      <c r="AC487" s="102"/>
      <c r="AD487" s="102"/>
      <c r="AE487" s="102"/>
      <c r="AF487" s="102"/>
    </row>
    <row r="488" spans="1:32" ht="75" customHeight="1">
      <c r="A488" s="102"/>
      <c r="B488" s="102"/>
      <c r="C488" s="102"/>
      <c r="D488" s="70"/>
      <c r="E488" s="102"/>
      <c r="F488" s="102"/>
      <c r="G488" s="102"/>
      <c r="H488" s="102"/>
      <c r="I488" s="102"/>
      <c r="J488" s="102"/>
      <c r="K488" s="103"/>
      <c r="L488" s="103"/>
      <c r="M488" s="103"/>
      <c r="N488" s="103"/>
      <c r="O488" s="103"/>
      <c r="P488" s="103"/>
      <c r="Q488" s="102"/>
      <c r="R488" s="102"/>
      <c r="S488" s="102"/>
      <c r="T488" s="102"/>
      <c r="U488" s="102"/>
      <c r="V488" s="102"/>
      <c r="W488" s="102"/>
      <c r="X488" s="102"/>
      <c r="Y488" s="102"/>
      <c r="Z488" s="102"/>
      <c r="AA488" s="102"/>
      <c r="AB488" s="102"/>
      <c r="AC488" s="102"/>
      <c r="AD488" s="102"/>
      <c r="AE488" s="102"/>
      <c r="AF488" s="102"/>
    </row>
    <row r="489" spans="1:32" ht="75" customHeight="1">
      <c r="A489" s="102"/>
      <c r="B489" s="102"/>
      <c r="C489" s="102"/>
      <c r="D489" s="70"/>
      <c r="E489" s="102"/>
      <c r="F489" s="102"/>
      <c r="G489" s="102"/>
      <c r="H489" s="102"/>
      <c r="I489" s="102"/>
      <c r="J489" s="102"/>
      <c r="K489" s="103"/>
      <c r="L489" s="103"/>
      <c r="M489" s="103"/>
      <c r="N489" s="103"/>
      <c r="O489" s="103"/>
      <c r="P489" s="103"/>
      <c r="Q489" s="102"/>
      <c r="R489" s="102"/>
      <c r="S489" s="102"/>
      <c r="T489" s="102"/>
      <c r="U489" s="102"/>
      <c r="V489" s="102"/>
      <c r="W489" s="102"/>
      <c r="X489" s="102"/>
      <c r="Y489" s="102"/>
      <c r="Z489" s="102"/>
      <c r="AA489" s="102"/>
      <c r="AB489" s="102"/>
      <c r="AC489" s="102"/>
      <c r="AD489" s="102"/>
      <c r="AE489" s="102"/>
      <c r="AF489" s="102"/>
    </row>
    <row r="490" spans="1:32" ht="75" customHeight="1">
      <c r="A490" s="102"/>
      <c r="B490" s="102"/>
      <c r="C490" s="102"/>
      <c r="D490" s="70"/>
      <c r="E490" s="102"/>
      <c r="F490" s="102"/>
      <c r="G490" s="102"/>
      <c r="H490" s="102"/>
      <c r="I490" s="102"/>
      <c r="J490" s="102"/>
      <c r="K490" s="103"/>
      <c r="L490" s="103"/>
      <c r="M490" s="103"/>
      <c r="N490" s="103"/>
      <c r="O490" s="103"/>
      <c r="P490" s="103"/>
      <c r="Q490" s="102"/>
      <c r="R490" s="102"/>
      <c r="S490" s="102"/>
      <c r="T490" s="102"/>
      <c r="U490" s="102"/>
      <c r="V490" s="102"/>
      <c r="W490" s="102"/>
      <c r="X490" s="102"/>
      <c r="Y490" s="102"/>
      <c r="Z490" s="102"/>
      <c r="AA490" s="102"/>
      <c r="AB490" s="102"/>
      <c r="AC490" s="102"/>
      <c r="AD490" s="102"/>
      <c r="AE490" s="102"/>
      <c r="AF490" s="102"/>
    </row>
    <row r="491" spans="1:32" ht="75" customHeight="1">
      <c r="A491" s="102"/>
      <c r="B491" s="102"/>
      <c r="C491" s="102"/>
      <c r="D491" s="70"/>
      <c r="E491" s="102"/>
      <c r="F491" s="102"/>
      <c r="G491" s="102"/>
      <c r="H491" s="102"/>
      <c r="I491" s="102"/>
      <c r="J491" s="102"/>
      <c r="K491" s="103"/>
      <c r="L491" s="103"/>
      <c r="M491" s="103"/>
      <c r="N491" s="103"/>
      <c r="O491" s="103"/>
      <c r="P491" s="103"/>
      <c r="Q491" s="102"/>
      <c r="R491" s="102"/>
      <c r="S491" s="102"/>
      <c r="T491" s="102"/>
      <c r="U491" s="102"/>
      <c r="V491" s="102"/>
      <c r="W491" s="102"/>
      <c r="X491" s="102"/>
      <c r="Y491" s="102"/>
      <c r="Z491" s="102"/>
      <c r="AA491" s="102"/>
      <c r="AB491" s="102"/>
      <c r="AC491" s="102"/>
      <c r="AD491" s="102"/>
      <c r="AE491" s="102"/>
      <c r="AF491" s="102"/>
    </row>
    <row r="492" spans="1:32" ht="75" customHeight="1">
      <c r="A492" s="102"/>
      <c r="B492" s="102"/>
      <c r="C492" s="102"/>
      <c r="D492" s="70"/>
      <c r="E492" s="102"/>
      <c r="F492" s="102"/>
      <c r="G492" s="102"/>
      <c r="H492" s="102"/>
      <c r="I492" s="102"/>
      <c r="J492" s="102"/>
      <c r="K492" s="103"/>
      <c r="L492" s="103"/>
      <c r="M492" s="103"/>
      <c r="N492" s="103"/>
      <c r="O492" s="103"/>
      <c r="P492" s="103"/>
      <c r="Q492" s="102"/>
      <c r="R492" s="102"/>
      <c r="S492" s="102"/>
      <c r="T492" s="102"/>
      <c r="U492" s="102"/>
      <c r="V492" s="102"/>
      <c r="W492" s="102"/>
      <c r="X492" s="102"/>
      <c r="Y492" s="102"/>
      <c r="Z492" s="102"/>
      <c r="AA492" s="102"/>
      <c r="AB492" s="102"/>
      <c r="AC492" s="102"/>
      <c r="AD492" s="102"/>
      <c r="AE492" s="102"/>
      <c r="AF492" s="102"/>
    </row>
    <row r="493" spans="1:32" ht="75" customHeight="1">
      <c r="A493" s="102"/>
      <c r="B493" s="102"/>
      <c r="C493" s="102"/>
      <c r="D493" s="70"/>
      <c r="E493" s="102"/>
      <c r="F493" s="102"/>
      <c r="G493" s="102"/>
      <c r="H493" s="102"/>
      <c r="I493" s="102"/>
      <c r="J493" s="102"/>
      <c r="K493" s="103"/>
      <c r="L493" s="103"/>
      <c r="M493" s="103"/>
      <c r="N493" s="103"/>
      <c r="O493" s="103"/>
      <c r="P493" s="103"/>
      <c r="Q493" s="102"/>
      <c r="R493" s="102"/>
      <c r="S493" s="102"/>
      <c r="T493" s="102"/>
      <c r="U493" s="102"/>
      <c r="V493" s="102"/>
      <c r="W493" s="102"/>
      <c r="X493" s="102"/>
      <c r="Y493" s="102"/>
      <c r="Z493" s="102"/>
      <c r="AA493" s="102"/>
      <c r="AB493" s="102"/>
      <c r="AC493" s="102"/>
      <c r="AD493" s="102"/>
      <c r="AE493" s="102"/>
      <c r="AF493" s="102"/>
    </row>
    <row r="494" spans="1:32" ht="75" customHeight="1">
      <c r="A494" s="102"/>
      <c r="B494" s="102"/>
      <c r="C494" s="102"/>
      <c r="D494" s="70"/>
      <c r="E494" s="102"/>
      <c r="F494" s="102"/>
      <c r="G494" s="102"/>
      <c r="H494" s="102"/>
      <c r="I494" s="102"/>
      <c r="J494" s="102"/>
      <c r="K494" s="103"/>
      <c r="L494" s="103"/>
      <c r="M494" s="103"/>
      <c r="N494" s="103"/>
      <c r="O494" s="103"/>
      <c r="P494" s="103"/>
      <c r="Q494" s="102"/>
      <c r="R494" s="102"/>
      <c r="S494" s="102"/>
      <c r="T494" s="102"/>
      <c r="U494" s="102"/>
      <c r="V494" s="102"/>
      <c r="W494" s="102"/>
      <c r="X494" s="102"/>
      <c r="Y494" s="102"/>
      <c r="Z494" s="102"/>
      <c r="AA494" s="102"/>
      <c r="AB494" s="102"/>
      <c r="AC494" s="102"/>
      <c r="AD494" s="102"/>
      <c r="AE494" s="102"/>
      <c r="AF494" s="102"/>
    </row>
    <row r="495" spans="1:32" ht="75" customHeight="1">
      <c r="A495" s="102"/>
      <c r="B495" s="102"/>
      <c r="C495" s="102"/>
      <c r="D495" s="70"/>
      <c r="E495" s="102"/>
      <c r="F495" s="102"/>
      <c r="G495" s="102"/>
      <c r="H495" s="102"/>
      <c r="I495" s="102"/>
      <c r="J495" s="102"/>
      <c r="K495" s="103"/>
      <c r="L495" s="103"/>
      <c r="M495" s="103"/>
      <c r="N495" s="103"/>
      <c r="O495" s="103"/>
      <c r="P495" s="103"/>
      <c r="Q495" s="102"/>
      <c r="R495" s="102"/>
      <c r="S495" s="102"/>
      <c r="T495" s="102"/>
      <c r="U495" s="102"/>
      <c r="V495" s="102"/>
      <c r="W495" s="102"/>
      <c r="X495" s="102"/>
      <c r="Y495" s="102"/>
      <c r="Z495" s="102"/>
      <c r="AA495" s="102"/>
      <c r="AB495" s="102"/>
      <c r="AC495" s="102"/>
      <c r="AD495" s="102"/>
      <c r="AE495" s="102"/>
      <c r="AF495" s="102"/>
    </row>
    <row r="496" spans="1:32" ht="75" customHeight="1">
      <c r="A496" s="102"/>
      <c r="B496" s="102"/>
      <c r="C496" s="102"/>
      <c r="D496" s="70"/>
      <c r="E496" s="102"/>
      <c r="F496" s="102"/>
      <c r="G496" s="102"/>
      <c r="H496" s="102"/>
      <c r="I496" s="102"/>
      <c r="J496" s="102"/>
      <c r="K496" s="103"/>
      <c r="L496" s="103"/>
      <c r="M496" s="103"/>
      <c r="N496" s="103"/>
      <c r="O496" s="103"/>
      <c r="P496" s="103"/>
      <c r="Q496" s="102"/>
      <c r="R496" s="102"/>
      <c r="S496" s="102"/>
      <c r="T496" s="102"/>
      <c r="U496" s="102"/>
      <c r="V496" s="102"/>
      <c r="W496" s="102"/>
      <c r="X496" s="102"/>
      <c r="Y496" s="102"/>
      <c r="Z496" s="102"/>
      <c r="AA496" s="102"/>
      <c r="AB496" s="102"/>
      <c r="AC496" s="102"/>
      <c r="AD496" s="102"/>
      <c r="AE496" s="102"/>
      <c r="AF496" s="102"/>
    </row>
    <row r="497" spans="1:32" ht="75" customHeight="1">
      <c r="A497" s="102"/>
      <c r="B497" s="102"/>
      <c r="C497" s="102"/>
      <c r="D497" s="70"/>
      <c r="E497" s="102"/>
      <c r="F497" s="102"/>
      <c r="G497" s="102"/>
      <c r="H497" s="102"/>
      <c r="I497" s="102"/>
      <c r="J497" s="102"/>
      <c r="K497" s="103"/>
      <c r="L497" s="103"/>
      <c r="M497" s="103"/>
      <c r="N497" s="103"/>
      <c r="O497" s="103"/>
      <c r="P497" s="103"/>
      <c r="Q497" s="102"/>
      <c r="R497" s="102"/>
      <c r="S497" s="102"/>
      <c r="T497" s="102"/>
      <c r="U497" s="102"/>
      <c r="V497" s="102"/>
      <c r="W497" s="102"/>
      <c r="X497" s="102"/>
      <c r="Y497" s="102"/>
      <c r="Z497" s="102"/>
      <c r="AA497" s="102"/>
      <c r="AB497" s="102"/>
      <c r="AC497" s="102"/>
      <c r="AD497" s="102"/>
      <c r="AE497" s="102"/>
      <c r="AF497" s="102"/>
    </row>
    <row r="498" spans="1:32" ht="75" customHeight="1">
      <c r="A498" s="102"/>
      <c r="B498" s="102"/>
      <c r="C498" s="102"/>
      <c r="D498" s="70"/>
      <c r="E498" s="102"/>
      <c r="F498" s="102"/>
      <c r="G498" s="102"/>
      <c r="H498" s="102"/>
      <c r="I498" s="102"/>
      <c r="J498" s="102"/>
      <c r="K498" s="103"/>
      <c r="L498" s="103"/>
      <c r="M498" s="103"/>
      <c r="N498" s="103"/>
      <c r="O498" s="103"/>
      <c r="P498" s="103"/>
      <c r="Q498" s="102"/>
      <c r="R498" s="102"/>
      <c r="S498" s="102"/>
      <c r="T498" s="102"/>
      <c r="U498" s="102"/>
      <c r="V498" s="102"/>
      <c r="W498" s="102"/>
      <c r="X498" s="102"/>
      <c r="Y498" s="102"/>
      <c r="Z498" s="102"/>
      <c r="AA498" s="102"/>
      <c r="AB498" s="102"/>
      <c r="AC498" s="102"/>
      <c r="AD498" s="102"/>
      <c r="AE498" s="102"/>
      <c r="AF498" s="102"/>
    </row>
    <row r="499" spans="1:32" ht="75" customHeight="1">
      <c r="A499" s="102"/>
      <c r="B499" s="102"/>
      <c r="C499" s="102"/>
      <c r="D499" s="70"/>
      <c r="E499" s="102"/>
      <c r="F499" s="102"/>
      <c r="G499" s="102"/>
      <c r="H499" s="102"/>
      <c r="I499" s="102"/>
      <c r="J499" s="102"/>
      <c r="K499" s="103"/>
      <c r="L499" s="103"/>
      <c r="M499" s="103"/>
      <c r="N499" s="103"/>
      <c r="O499" s="103"/>
      <c r="P499" s="103"/>
      <c r="Q499" s="102"/>
      <c r="R499" s="102"/>
      <c r="S499" s="102"/>
      <c r="T499" s="102"/>
      <c r="U499" s="102"/>
      <c r="V499" s="102"/>
      <c r="W499" s="102"/>
      <c r="X499" s="102"/>
      <c r="Y499" s="102"/>
      <c r="Z499" s="102"/>
      <c r="AA499" s="102"/>
      <c r="AB499" s="102"/>
      <c r="AC499" s="102"/>
      <c r="AD499" s="102"/>
      <c r="AE499" s="102"/>
      <c r="AF499" s="102"/>
    </row>
    <row r="500" spans="1:32" ht="75" customHeight="1">
      <c r="A500" s="102"/>
      <c r="B500" s="102"/>
      <c r="C500" s="102"/>
      <c r="D500" s="70"/>
      <c r="E500" s="102"/>
      <c r="F500" s="102"/>
      <c r="G500" s="102"/>
      <c r="H500" s="102"/>
      <c r="I500" s="102"/>
      <c r="J500" s="102"/>
      <c r="K500" s="103"/>
      <c r="L500" s="103"/>
      <c r="M500" s="103"/>
      <c r="N500" s="103"/>
      <c r="O500" s="103"/>
      <c r="P500" s="103"/>
      <c r="Q500" s="102"/>
      <c r="R500" s="102"/>
      <c r="S500" s="102"/>
      <c r="T500" s="102"/>
      <c r="U500" s="102"/>
      <c r="V500" s="102"/>
      <c r="W500" s="102"/>
      <c r="X500" s="102"/>
      <c r="Y500" s="102"/>
      <c r="Z500" s="102"/>
      <c r="AA500" s="102"/>
      <c r="AB500" s="102"/>
      <c r="AC500" s="102"/>
      <c r="AD500" s="102"/>
      <c r="AE500" s="102"/>
      <c r="AF500" s="102"/>
    </row>
    <row r="501" spans="1:32" ht="75" customHeight="1">
      <c r="A501" s="102"/>
      <c r="B501" s="102"/>
      <c r="C501" s="102"/>
      <c r="D501" s="70"/>
      <c r="E501" s="102"/>
      <c r="F501" s="102"/>
      <c r="G501" s="102"/>
      <c r="H501" s="102"/>
      <c r="I501" s="102"/>
      <c r="J501" s="102"/>
      <c r="K501" s="103"/>
      <c r="L501" s="103"/>
      <c r="M501" s="103"/>
      <c r="N501" s="103"/>
      <c r="O501" s="103"/>
      <c r="P501" s="103"/>
      <c r="Q501" s="102"/>
      <c r="R501" s="102"/>
      <c r="S501" s="102"/>
      <c r="T501" s="102"/>
      <c r="U501" s="102"/>
      <c r="V501" s="102"/>
      <c r="W501" s="102"/>
      <c r="X501" s="102"/>
      <c r="Y501" s="102"/>
      <c r="Z501" s="102"/>
      <c r="AA501" s="102"/>
      <c r="AB501" s="102"/>
      <c r="AC501" s="102"/>
      <c r="AD501" s="102"/>
      <c r="AE501" s="102"/>
      <c r="AF501" s="102"/>
    </row>
    <row r="502" spans="1:32" ht="75" customHeight="1">
      <c r="A502" s="102"/>
      <c r="B502" s="102"/>
      <c r="C502" s="102"/>
      <c r="D502" s="70"/>
      <c r="E502" s="102"/>
      <c r="F502" s="102"/>
      <c r="G502" s="102"/>
      <c r="H502" s="102"/>
      <c r="I502" s="102"/>
      <c r="J502" s="102"/>
      <c r="K502" s="103"/>
      <c r="L502" s="103"/>
      <c r="M502" s="103"/>
      <c r="N502" s="103"/>
      <c r="O502" s="103"/>
      <c r="P502" s="103"/>
      <c r="Q502" s="102"/>
      <c r="R502" s="102"/>
      <c r="S502" s="102"/>
      <c r="T502" s="102"/>
      <c r="U502" s="102"/>
      <c r="V502" s="102"/>
      <c r="W502" s="102"/>
      <c r="X502" s="102"/>
      <c r="Y502" s="102"/>
      <c r="Z502" s="102"/>
      <c r="AA502" s="102"/>
      <c r="AB502" s="102"/>
      <c r="AC502" s="102"/>
      <c r="AD502" s="102"/>
      <c r="AE502" s="102"/>
      <c r="AF502" s="102"/>
    </row>
    <row r="503" spans="1:32" ht="75" customHeight="1">
      <c r="A503" s="102"/>
      <c r="B503" s="102"/>
      <c r="C503" s="102"/>
      <c r="D503" s="70"/>
      <c r="E503" s="102"/>
      <c r="F503" s="102"/>
      <c r="G503" s="102"/>
      <c r="H503" s="102"/>
      <c r="I503" s="102"/>
      <c r="J503" s="102"/>
      <c r="K503" s="103"/>
      <c r="L503" s="103"/>
      <c r="M503" s="103"/>
      <c r="N503" s="103"/>
      <c r="O503" s="103"/>
      <c r="P503" s="103"/>
      <c r="Q503" s="102"/>
      <c r="R503" s="102"/>
      <c r="S503" s="102"/>
      <c r="T503" s="102"/>
      <c r="U503" s="102"/>
      <c r="V503" s="102"/>
      <c r="W503" s="102"/>
      <c r="X503" s="102"/>
      <c r="Y503" s="102"/>
      <c r="Z503" s="102"/>
      <c r="AA503" s="102"/>
      <c r="AB503" s="102"/>
      <c r="AC503" s="102"/>
      <c r="AD503" s="102"/>
      <c r="AE503" s="102"/>
      <c r="AF503" s="102"/>
    </row>
    <row r="504" spans="1:32" ht="75" customHeight="1">
      <c r="A504" s="102"/>
      <c r="B504" s="102"/>
      <c r="C504" s="102"/>
      <c r="D504" s="70"/>
      <c r="E504" s="102"/>
      <c r="F504" s="102"/>
      <c r="G504" s="102"/>
      <c r="H504" s="102"/>
      <c r="I504" s="102"/>
      <c r="J504" s="102"/>
      <c r="K504" s="103"/>
      <c r="L504" s="103"/>
      <c r="M504" s="103"/>
      <c r="N504" s="103"/>
      <c r="O504" s="103"/>
      <c r="P504" s="103"/>
      <c r="Q504" s="102"/>
      <c r="R504" s="102"/>
      <c r="S504" s="102"/>
      <c r="T504" s="102"/>
      <c r="U504" s="102"/>
      <c r="V504" s="102"/>
      <c r="W504" s="102"/>
      <c r="X504" s="102"/>
      <c r="Y504" s="102"/>
      <c r="Z504" s="102"/>
      <c r="AA504" s="102"/>
      <c r="AB504" s="102"/>
      <c r="AC504" s="102"/>
      <c r="AD504" s="102"/>
      <c r="AE504" s="102"/>
      <c r="AF504" s="102"/>
    </row>
    <row r="505" spans="1:32" ht="75" customHeight="1">
      <c r="A505" s="102"/>
      <c r="B505" s="102"/>
      <c r="C505" s="102"/>
      <c r="D505" s="70"/>
      <c r="E505" s="102"/>
      <c r="F505" s="102"/>
      <c r="G505" s="102"/>
      <c r="H505" s="102"/>
      <c r="I505" s="102"/>
      <c r="J505" s="102"/>
      <c r="K505" s="103"/>
      <c r="L505" s="103"/>
      <c r="M505" s="103"/>
      <c r="N505" s="103"/>
      <c r="O505" s="103"/>
      <c r="P505" s="103"/>
      <c r="Q505" s="102"/>
      <c r="R505" s="102"/>
      <c r="S505" s="102"/>
      <c r="T505" s="102"/>
      <c r="U505" s="102"/>
      <c r="V505" s="102"/>
      <c r="W505" s="102"/>
      <c r="X505" s="102"/>
      <c r="Y505" s="102"/>
      <c r="Z505" s="102"/>
      <c r="AA505" s="102"/>
      <c r="AB505" s="102"/>
      <c r="AC505" s="102"/>
      <c r="AD505" s="102"/>
      <c r="AE505" s="102"/>
      <c r="AF505" s="102"/>
    </row>
    <row r="506" spans="1:32" ht="75" customHeight="1">
      <c r="A506" s="102"/>
      <c r="B506" s="102"/>
      <c r="C506" s="102"/>
      <c r="D506" s="70"/>
      <c r="E506" s="102"/>
      <c r="F506" s="102"/>
      <c r="G506" s="102"/>
      <c r="H506" s="102"/>
      <c r="I506" s="102"/>
      <c r="J506" s="102"/>
      <c r="K506" s="103"/>
      <c r="L506" s="103"/>
      <c r="M506" s="103"/>
      <c r="N506" s="103"/>
      <c r="O506" s="103"/>
      <c r="P506" s="103"/>
      <c r="Q506" s="102"/>
      <c r="R506" s="102"/>
      <c r="S506" s="102"/>
      <c r="T506" s="102"/>
      <c r="U506" s="102"/>
      <c r="V506" s="102"/>
      <c r="W506" s="102"/>
      <c r="X506" s="102"/>
      <c r="Y506" s="102"/>
      <c r="Z506" s="102"/>
      <c r="AA506" s="102"/>
      <c r="AB506" s="102"/>
      <c r="AC506" s="102"/>
      <c r="AD506" s="102"/>
      <c r="AE506" s="102"/>
      <c r="AF506" s="102"/>
    </row>
    <row r="507" spans="1:32" ht="75" customHeight="1">
      <c r="A507" s="102"/>
      <c r="B507" s="102"/>
      <c r="C507" s="102"/>
      <c r="D507" s="70"/>
      <c r="E507" s="102"/>
      <c r="F507" s="102"/>
      <c r="G507" s="102"/>
      <c r="H507" s="102"/>
      <c r="I507" s="102"/>
      <c r="J507" s="102"/>
      <c r="K507" s="103"/>
      <c r="L507" s="103"/>
      <c r="M507" s="103"/>
      <c r="N507" s="103"/>
      <c r="O507" s="103"/>
      <c r="P507" s="103"/>
      <c r="Q507" s="102"/>
      <c r="R507" s="102"/>
      <c r="S507" s="102"/>
      <c r="T507" s="102"/>
      <c r="U507" s="102"/>
      <c r="V507" s="102"/>
      <c r="W507" s="102"/>
      <c r="X507" s="102"/>
      <c r="Y507" s="102"/>
      <c r="Z507" s="102"/>
      <c r="AA507" s="102"/>
      <c r="AB507" s="102"/>
      <c r="AC507" s="102"/>
      <c r="AD507" s="102"/>
      <c r="AE507" s="102"/>
      <c r="AF507" s="102"/>
    </row>
    <row r="508" spans="1:32" ht="75" customHeight="1">
      <c r="A508" s="102"/>
      <c r="B508" s="102"/>
      <c r="C508" s="102"/>
      <c r="D508" s="70"/>
      <c r="E508" s="102"/>
      <c r="F508" s="102"/>
      <c r="G508" s="102"/>
      <c r="H508" s="102"/>
      <c r="I508" s="102"/>
      <c r="J508" s="102"/>
      <c r="K508" s="103"/>
      <c r="L508" s="103"/>
      <c r="M508" s="103"/>
      <c r="N508" s="103"/>
      <c r="O508" s="103"/>
      <c r="P508" s="103"/>
      <c r="Q508" s="102"/>
      <c r="R508" s="102"/>
      <c r="S508" s="102"/>
      <c r="T508" s="102"/>
      <c r="U508" s="102"/>
      <c r="V508" s="102"/>
      <c r="W508" s="102"/>
      <c r="X508" s="102"/>
      <c r="Y508" s="102"/>
      <c r="Z508" s="102"/>
      <c r="AA508" s="102"/>
      <c r="AB508" s="102"/>
      <c r="AC508" s="102"/>
      <c r="AD508" s="102"/>
      <c r="AE508" s="102"/>
      <c r="AF508" s="102"/>
    </row>
    <row r="509" spans="1:32" ht="75" customHeight="1">
      <c r="A509" s="102"/>
      <c r="B509" s="102"/>
      <c r="C509" s="102"/>
      <c r="D509" s="70"/>
      <c r="E509" s="102"/>
      <c r="F509" s="102"/>
      <c r="G509" s="102"/>
      <c r="H509" s="102"/>
      <c r="I509" s="102"/>
      <c r="J509" s="102"/>
      <c r="K509" s="103"/>
      <c r="L509" s="103"/>
      <c r="M509" s="103"/>
      <c r="N509" s="103"/>
      <c r="O509" s="103"/>
      <c r="P509" s="103"/>
      <c r="Q509" s="102"/>
      <c r="R509" s="102"/>
      <c r="S509" s="102"/>
      <c r="T509" s="102"/>
      <c r="U509" s="102"/>
      <c r="V509" s="102"/>
      <c r="W509" s="102"/>
      <c r="X509" s="102"/>
      <c r="Y509" s="102"/>
      <c r="Z509" s="102"/>
      <c r="AA509" s="102"/>
      <c r="AB509" s="102"/>
      <c r="AC509" s="102"/>
      <c r="AD509" s="102"/>
      <c r="AE509" s="102"/>
      <c r="AF509" s="102"/>
    </row>
    <row r="510" spans="1:32" ht="75" customHeight="1">
      <c r="A510" s="102"/>
      <c r="B510" s="102"/>
      <c r="C510" s="102"/>
      <c r="D510" s="70"/>
      <c r="E510" s="102"/>
      <c r="F510" s="102"/>
      <c r="G510" s="102"/>
      <c r="H510" s="102"/>
      <c r="I510" s="102"/>
      <c r="J510" s="102"/>
      <c r="K510" s="103"/>
      <c r="L510" s="103"/>
      <c r="M510" s="103"/>
      <c r="N510" s="103"/>
      <c r="O510" s="103"/>
      <c r="P510" s="103"/>
      <c r="Q510" s="102"/>
      <c r="R510" s="102"/>
      <c r="S510" s="102"/>
      <c r="T510" s="102"/>
      <c r="U510" s="102"/>
      <c r="V510" s="102"/>
      <c r="W510" s="102"/>
      <c r="X510" s="102"/>
      <c r="Y510" s="102"/>
      <c r="Z510" s="102"/>
      <c r="AA510" s="102"/>
      <c r="AB510" s="102"/>
      <c r="AC510" s="102"/>
      <c r="AD510" s="102"/>
      <c r="AE510" s="102"/>
      <c r="AF510" s="102"/>
    </row>
    <row r="511" spans="1:32" ht="75" customHeight="1">
      <c r="A511" s="102"/>
      <c r="B511" s="102"/>
      <c r="C511" s="102"/>
      <c r="D511" s="70"/>
      <c r="E511" s="102"/>
      <c r="F511" s="102"/>
      <c r="G511" s="102"/>
      <c r="H511" s="102"/>
      <c r="I511" s="102"/>
      <c r="J511" s="102"/>
      <c r="K511" s="103"/>
      <c r="L511" s="103"/>
      <c r="M511" s="103"/>
      <c r="N511" s="103"/>
      <c r="O511" s="103"/>
      <c r="P511" s="103"/>
      <c r="Q511" s="102"/>
      <c r="R511" s="102"/>
      <c r="S511" s="102"/>
      <c r="T511" s="102"/>
      <c r="U511" s="102"/>
      <c r="V511" s="102"/>
      <c r="W511" s="102"/>
      <c r="X511" s="102"/>
      <c r="Y511" s="102"/>
      <c r="Z511" s="102"/>
      <c r="AA511" s="102"/>
      <c r="AB511" s="102"/>
      <c r="AC511" s="102"/>
      <c r="AD511" s="102"/>
      <c r="AE511" s="102"/>
      <c r="AF511" s="102"/>
    </row>
    <row r="512" spans="1:32" ht="75" customHeight="1">
      <c r="A512" s="102"/>
      <c r="B512" s="102"/>
      <c r="C512" s="102"/>
      <c r="D512" s="70"/>
      <c r="E512" s="102"/>
      <c r="F512" s="102"/>
      <c r="G512" s="102"/>
      <c r="H512" s="102"/>
      <c r="I512" s="102"/>
      <c r="J512" s="102"/>
      <c r="K512" s="103"/>
      <c r="L512" s="103"/>
      <c r="M512" s="103"/>
      <c r="N512" s="103"/>
      <c r="O512" s="103"/>
      <c r="P512" s="103"/>
      <c r="Q512" s="102"/>
      <c r="R512" s="102"/>
      <c r="S512" s="102"/>
      <c r="T512" s="102"/>
      <c r="U512" s="102"/>
      <c r="V512" s="102"/>
      <c r="W512" s="102"/>
      <c r="X512" s="102"/>
      <c r="Y512" s="102"/>
      <c r="Z512" s="102"/>
      <c r="AA512" s="102"/>
      <c r="AB512" s="102"/>
      <c r="AC512" s="102"/>
      <c r="AD512" s="102"/>
      <c r="AE512" s="102"/>
      <c r="AF512" s="102"/>
    </row>
    <row r="513" spans="1:32" ht="75" customHeight="1">
      <c r="A513" s="102"/>
      <c r="B513" s="102"/>
      <c r="C513" s="102"/>
      <c r="D513" s="70"/>
      <c r="E513" s="102"/>
      <c r="F513" s="102"/>
      <c r="G513" s="102"/>
      <c r="H513" s="102"/>
      <c r="I513" s="102"/>
      <c r="J513" s="102"/>
      <c r="K513" s="103"/>
      <c r="L513" s="103"/>
      <c r="M513" s="103"/>
      <c r="N513" s="103"/>
      <c r="O513" s="103"/>
      <c r="P513" s="103"/>
      <c r="Q513" s="102"/>
      <c r="R513" s="102"/>
      <c r="S513" s="102"/>
      <c r="T513" s="102"/>
      <c r="U513" s="102"/>
      <c r="V513" s="102"/>
      <c r="W513" s="102"/>
      <c r="X513" s="102"/>
      <c r="Y513" s="102"/>
      <c r="Z513" s="102"/>
      <c r="AA513" s="102"/>
      <c r="AB513" s="102"/>
      <c r="AC513" s="102"/>
      <c r="AD513" s="102"/>
      <c r="AE513" s="102"/>
      <c r="AF513" s="102"/>
    </row>
    <row r="514" spans="1:32" ht="75" customHeight="1">
      <c r="A514" s="102"/>
      <c r="B514" s="102"/>
      <c r="C514" s="102"/>
      <c r="D514" s="70"/>
      <c r="E514" s="102"/>
      <c r="F514" s="102"/>
      <c r="G514" s="102"/>
      <c r="H514" s="102"/>
      <c r="I514" s="102"/>
      <c r="J514" s="102"/>
      <c r="K514" s="103"/>
      <c r="L514" s="103"/>
      <c r="M514" s="103"/>
      <c r="N514" s="103"/>
      <c r="O514" s="103"/>
      <c r="P514" s="103"/>
      <c r="Q514" s="102"/>
      <c r="R514" s="102"/>
      <c r="S514" s="102"/>
      <c r="T514" s="102"/>
      <c r="U514" s="102"/>
      <c r="V514" s="102"/>
      <c r="W514" s="102"/>
      <c r="X514" s="102"/>
      <c r="Y514" s="102"/>
      <c r="Z514" s="102"/>
      <c r="AA514" s="102"/>
      <c r="AB514" s="102"/>
      <c r="AC514" s="102"/>
      <c r="AD514" s="102"/>
      <c r="AE514" s="102"/>
      <c r="AF514" s="102"/>
    </row>
    <row r="515" spans="1:32" ht="75" customHeight="1">
      <c r="A515" s="102"/>
      <c r="B515" s="102"/>
      <c r="C515" s="102"/>
      <c r="D515" s="70"/>
      <c r="E515" s="102"/>
      <c r="F515" s="102"/>
      <c r="G515" s="102"/>
      <c r="H515" s="102"/>
      <c r="I515" s="102"/>
      <c r="J515" s="102"/>
      <c r="K515" s="103"/>
      <c r="L515" s="103"/>
      <c r="M515" s="103"/>
      <c r="N515" s="103"/>
      <c r="O515" s="103"/>
      <c r="P515" s="103"/>
      <c r="Q515" s="102"/>
      <c r="R515" s="102"/>
      <c r="S515" s="102"/>
      <c r="T515" s="102"/>
      <c r="U515" s="102"/>
      <c r="V515" s="102"/>
      <c r="W515" s="102"/>
      <c r="X515" s="102"/>
      <c r="Y515" s="102"/>
      <c r="Z515" s="102"/>
      <c r="AA515" s="102"/>
      <c r="AB515" s="102"/>
      <c r="AC515" s="102"/>
      <c r="AD515" s="102"/>
      <c r="AE515" s="102"/>
      <c r="AF515" s="102"/>
    </row>
    <row r="516" spans="1:32" ht="75" customHeight="1">
      <c r="A516" s="102"/>
      <c r="B516" s="102"/>
      <c r="C516" s="102"/>
      <c r="D516" s="70"/>
      <c r="E516" s="102"/>
      <c r="F516" s="102"/>
      <c r="G516" s="102"/>
      <c r="H516" s="102"/>
      <c r="I516" s="102"/>
      <c r="J516" s="102"/>
      <c r="K516" s="103"/>
      <c r="L516" s="103"/>
      <c r="M516" s="103"/>
      <c r="N516" s="103"/>
      <c r="O516" s="103"/>
      <c r="P516" s="103"/>
      <c r="Q516" s="102"/>
      <c r="R516" s="102"/>
      <c r="S516" s="102"/>
      <c r="T516" s="102"/>
      <c r="U516" s="102"/>
      <c r="V516" s="102"/>
      <c r="W516" s="102"/>
      <c r="X516" s="102"/>
      <c r="Y516" s="102"/>
      <c r="Z516" s="102"/>
      <c r="AA516" s="102"/>
      <c r="AB516" s="102"/>
      <c r="AC516" s="102"/>
      <c r="AD516" s="102"/>
      <c r="AE516" s="102"/>
      <c r="AF516" s="102"/>
    </row>
    <row r="517" spans="1:32" ht="75" customHeight="1">
      <c r="A517" s="102"/>
      <c r="B517" s="102"/>
      <c r="C517" s="102"/>
      <c r="D517" s="70"/>
      <c r="E517" s="102"/>
      <c r="F517" s="102"/>
      <c r="G517" s="102"/>
      <c r="H517" s="102"/>
      <c r="I517" s="102"/>
      <c r="J517" s="102"/>
      <c r="K517" s="103"/>
      <c r="L517" s="103"/>
      <c r="M517" s="103"/>
      <c r="N517" s="103"/>
      <c r="O517" s="103"/>
      <c r="P517" s="103"/>
      <c r="Q517" s="102"/>
      <c r="R517" s="102"/>
      <c r="S517" s="102"/>
      <c r="T517" s="102"/>
      <c r="U517" s="102"/>
      <c r="V517" s="102"/>
      <c r="W517" s="102"/>
      <c r="X517" s="102"/>
      <c r="Y517" s="102"/>
      <c r="Z517" s="102"/>
      <c r="AA517" s="102"/>
      <c r="AB517" s="102"/>
      <c r="AC517" s="102"/>
      <c r="AD517" s="102"/>
      <c r="AE517" s="102"/>
      <c r="AF517" s="102"/>
    </row>
    <row r="518" spans="1:32" ht="75" customHeight="1">
      <c r="A518" s="102"/>
      <c r="B518" s="102"/>
      <c r="C518" s="102"/>
      <c r="D518" s="70"/>
      <c r="E518" s="102"/>
      <c r="F518" s="102"/>
      <c r="G518" s="102"/>
      <c r="H518" s="102"/>
      <c r="I518" s="102"/>
      <c r="J518" s="102"/>
      <c r="K518" s="103"/>
      <c r="L518" s="103"/>
      <c r="M518" s="103"/>
      <c r="N518" s="103"/>
      <c r="O518" s="103"/>
      <c r="P518" s="103"/>
      <c r="Q518" s="102"/>
      <c r="R518" s="102"/>
      <c r="S518" s="102"/>
      <c r="T518" s="102"/>
      <c r="U518" s="102"/>
      <c r="V518" s="102"/>
      <c r="W518" s="102"/>
      <c r="X518" s="102"/>
      <c r="Y518" s="102"/>
      <c r="Z518" s="102"/>
      <c r="AA518" s="102"/>
      <c r="AB518" s="102"/>
      <c r="AC518" s="102"/>
      <c r="AD518" s="102"/>
      <c r="AE518" s="102"/>
      <c r="AF518" s="102"/>
    </row>
    <row r="519" spans="1:32" ht="75" customHeight="1">
      <c r="A519" s="102"/>
      <c r="B519" s="102"/>
      <c r="C519" s="102"/>
      <c r="D519" s="70"/>
      <c r="E519" s="102"/>
      <c r="F519" s="102"/>
      <c r="G519" s="102"/>
      <c r="H519" s="102"/>
      <c r="I519" s="102"/>
      <c r="J519" s="102"/>
      <c r="K519" s="103"/>
      <c r="L519" s="103"/>
      <c r="M519" s="103"/>
      <c r="N519" s="103"/>
      <c r="O519" s="103"/>
      <c r="P519" s="103"/>
      <c r="Q519" s="102"/>
      <c r="R519" s="102"/>
      <c r="S519" s="102"/>
      <c r="T519" s="102"/>
      <c r="U519" s="102"/>
      <c r="V519" s="102"/>
      <c r="W519" s="102"/>
      <c r="X519" s="102"/>
      <c r="Y519" s="102"/>
      <c r="Z519" s="102"/>
      <c r="AA519" s="102"/>
      <c r="AB519" s="102"/>
      <c r="AC519" s="102"/>
      <c r="AD519" s="102"/>
      <c r="AE519" s="102"/>
      <c r="AF519" s="102"/>
    </row>
    <row r="520" spans="1:32" ht="75" customHeight="1">
      <c r="A520" s="102"/>
      <c r="B520" s="102"/>
      <c r="C520" s="102"/>
      <c r="D520" s="70"/>
      <c r="E520" s="102"/>
      <c r="F520" s="102"/>
      <c r="G520" s="102"/>
      <c r="H520" s="102"/>
      <c r="I520" s="102"/>
      <c r="J520" s="102"/>
      <c r="K520" s="103"/>
      <c r="L520" s="103"/>
      <c r="M520" s="103"/>
      <c r="N520" s="103"/>
      <c r="O520" s="103"/>
      <c r="P520" s="103"/>
      <c r="Q520" s="102"/>
      <c r="R520" s="102"/>
      <c r="S520" s="102"/>
      <c r="T520" s="102"/>
      <c r="U520" s="102"/>
      <c r="V520" s="102"/>
      <c r="W520" s="102"/>
      <c r="X520" s="102"/>
      <c r="Y520" s="102"/>
      <c r="Z520" s="102"/>
      <c r="AA520" s="102"/>
      <c r="AB520" s="102"/>
      <c r="AC520" s="102"/>
      <c r="AD520" s="102"/>
      <c r="AE520" s="102"/>
      <c r="AF520" s="102"/>
    </row>
    <row r="521" spans="1:32" ht="75" customHeight="1">
      <c r="A521" s="102"/>
      <c r="B521" s="102"/>
      <c r="C521" s="102"/>
      <c r="D521" s="70"/>
      <c r="E521" s="102"/>
      <c r="F521" s="102"/>
      <c r="G521" s="102"/>
      <c r="H521" s="102"/>
      <c r="I521" s="102"/>
      <c r="J521" s="102"/>
      <c r="K521" s="103"/>
      <c r="L521" s="103"/>
      <c r="M521" s="103"/>
      <c r="N521" s="103"/>
      <c r="O521" s="103"/>
      <c r="P521" s="103"/>
      <c r="Q521" s="102"/>
      <c r="R521" s="102"/>
      <c r="S521" s="102"/>
      <c r="T521" s="102"/>
      <c r="U521" s="102"/>
      <c r="V521" s="102"/>
      <c r="W521" s="102"/>
      <c r="X521" s="102"/>
      <c r="Y521" s="102"/>
      <c r="Z521" s="102"/>
      <c r="AA521" s="102"/>
      <c r="AB521" s="102"/>
      <c r="AC521" s="102"/>
      <c r="AD521" s="102"/>
      <c r="AE521" s="102"/>
      <c r="AF521" s="102"/>
    </row>
    <row r="522" spans="1:32" ht="75" customHeight="1">
      <c r="A522" s="102"/>
      <c r="B522" s="102"/>
      <c r="C522" s="102"/>
      <c r="D522" s="70"/>
      <c r="E522" s="102"/>
      <c r="F522" s="102"/>
      <c r="G522" s="102"/>
      <c r="H522" s="102"/>
      <c r="I522" s="102"/>
      <c r="J522" s="102"/>
      <c r="K522" s="103"/>
      <c r="L522" s="103"/>
      <c r="M522" s="103"/>
      <c r="N522" s="103"/>
      <c r="O522" s="103"/>
      <c r="P522" s="103"/>
      <c r="Q522" s="102"/>
      <c r="R522" s="102"/>
      <c r="S522" s="102"/>
      <c r="T522" s="102"/>
      <c r="U522" s="102"/>
      <c r="V522" s="102"/>
      <c r="W522" s="102"/>
      <c r="X522" s="102"/>
      <c r="Y522" s="102"/>
      <c r="Z522" s="102"/>
      <c r="AA522" s="102"/>
      <c r="AB522" s="102"/>
      <c r="AC522" s="102"/>
      <c r="AD522" s="102"/>
      <c r="AE522" s="102"/>
      <c r="AF522" s="102"/>
    </row>
    <row r="523" spans="1:32" ht="75" customHeight="1">
      <c r="A523" s="102"/>
      <c r="B523" s="102"/>
      <c r="C523" s="102"/>
      <c r="D523" s="70"/>
      <c r="E523" s="102"/>
      <c r="F523" s="102"/>
      <c r="G523" s="102"/>
      <c r="H523" s="102"/>
      <c r="I523" s="102"/>
      <c r="J523" s="102"/>
      <c r="K523" s="103"/>
      <c r="L523" s="103"/>
      <c r="M523" s="103"/>
      <c r="N523" s="103"/>
      <c r="O523" s="103"/>
      <c r="P523" s="103"/>
      <c r="Q523" s="102"/>
      <c r="R523" s="102"/>
      <c r="S523" s="102"/>
      <c r="T523" s="102"/>
      <c r="U523" s="102"/>
      <c r="V523" s="102"/>
      <c r="W523" s="102"/>
      <c r="X523" s="102"/>
      <c r="Y523" s="102"/>
      <c r="Z523" s="102"/>
      <c r="AA523" s="102"/>
      <c r="AB523" s="102"/>
      <c r="AC523" s="102"/>
      <c r="AD523" s="102"/>
      <c r="AE523" s="102"/>
      <c r="AF523" s="102"/>
    </row>
    <row r="524" spans="1:32" ht="75" customHeight="1">
      <c r="A524" s="102"/>
      <c r="B524" s="102"/>
      <c r="C524" s="102"/>
      <c r="D524" s="70"/>
      <c r="E524" s="102"/>
      <c r="F524" s="102"/>
      <c r="G524" s="102"/>
      <c r="H524" s="102"/>
      <c r="I524" s="102"/>
      <c r="J524" s="102"/>
      <c r="K524" s="103"/>
      <c r="L524" s="103"/>
      <c r="M524" s="103"/>
      <c r="N524" s="103"/>
      <c r="O524" s="103"/>
      <c r="P524" s="103"/>
      <c r="Q524" s="102"/>
      <c r="R524" s="102"/>
      <c r="S524" s="102"/>
      <c r="T524" s="102"/>
      <c r="U524" s="102"/>
      <c r="V524" s="102"/>
      <c r="W524" s="102"/>
      <c r="X524" s="102"/>
      <c r="Y524" s="102"/>
      <c r="Z524" s="102"/>
      <c r="AA524" s="102"/>
      <c r="AB524" s="102"/>
      <c r="AC524" s="102"/>
      <c r="AD524" s="102"/>
      <c r="AE524" s="102"/>
      <c r="AF524" s="102"/>
    </row>
    <row r="525" spans="1:32" ht="75" customHeight="1">
      <c r="A525" s="102"/>
      <c r="B525" s="102"/>
      <c r="C525" s="102"/>
      <c r="D525" s="70"/>
      <c r="E525" s="102"/>
      <c r="F525" s="102"/>
      <c r="G525" s="102"/>
      <c r="H525" s="102"/>
      <c r="I525" s="102"/>
      <c r="J525" s="102"/>
      <c r="K525" s="103"/>
      <c r="L525" s="103"/>
      <c r="M525" s="103"/>
      <c r="N525" s="103"/>
      <c r="O525" s="103"/>
      <c r="P525" s="103"/>
      <c r="Q525" s="102"/>
      <c r="R525" s="102"/>
      <c r="S525" s="102"/>
      <c r="T525" s="102"/>
      <c r="U525" s="102"/>
      <c r="V525" s="102"/>
      <c r="W525" s="102"/>
      <c r="X525" s="102"/>
      <c r="Y525" s="102"/>
      <c r="Z525" s="102"/>
      <c r="AA525" s="102"/>
      <c r="AB525" s="102"/>
      <c r="AC525" s="102"/>
      <c r="AD525" s="102"/>
      <c r="AE525" s="102"/>
      <c r="AF525" s="102"/>
    </row>
    <row r="526" spans="1:32" ht="75" customHeight="1">
      <c r="A526" s="102"/>
      <c r="B526" s="102"/>
      <c r="C526" s="102"/>
      <c r="D526" s="70"/>
      <c r="E526" s="102"/>
      <c r="F526" s="102"/>
      <c r="G526" s="102"/>
      <c r="H526" s="102"/>
      <c r="I526" s="102"/>
      <c r="J526" s="102"/>
      <c r="K526" s="103"/>
      <c r="L526" s="103"/>
      <c r="M526" s="103"/>
      <c r="N526" s="103"/>
      <c r="O526" s="103"/>
      <c r="P526" s="103"/>
      <c r="Q526" s="102"/>
      <c r="R526" s="102"/>
      <c r="S526" s="102"/>
      <c r="T526" s="102"/>
      <c r="U526" s="102"/>
      <c r="V526" s="102"/>
      <c r="W526" s="102"/>
      <c r="X526" s="102"/>
      <c r="Y526" s="102"/>
      <c r="Z526" s="102"/>
      <c r="AA526" s="102"/>
      <c r="AB526" s="102"/>
      <c r="AC526" s="102"/>
      <c r="AD526" s="102"/>
      <c r="AE526" s="102"/>
      <c r="AF526" s="102"/>
    </row>
    <row r="527" spans="1:32" ht="75" customHeight="1">
      <c r="A527" s="102"/>
      <c r="B527" s="102"/>
      <c r="C527" s="102"/>
      <c r="D527" s="70"/>
      <c r="E527" s="102"/>
      <c r="F527" s="102"/>
      <c r="G527" s="102"/>
      <c r="H527" s="102"/>
      <c r="I527" s="102"/>
      <c r="J527" s="102"/>
      <c r="K527" s="103"/>
      <c r="L527" s="103"/>
      <c r="M527" s="103"/>
      <c r="N527" s="103"/>
      <c r="O527" s="103"/>
      <c r="P527" s="103"/>
      <c r="Q527" s="102"/>
      <c r="R527" s="102"/>
      <c r="S527" s="102"/>
      <c r="T527" s="102"/>
      <c r="U527" s="102"/>
      <c r="V527" s="102"/>
      <c r="W527" s="102"/>
      <c r="X527" s="102"/>
      <c r="Y527" s="102"/>
      <c r="Z527" s="102"/>
      <c r="AA527" s="102"/>
      <c r="AB527" s="102"/>
      <c r="AC527" s="102"/>
      <c r="AD527" s="102"/>
      <c r="AE527" s="102"/>
      <c r="AF527" s="102"/>
    </row>
    <row r="528" spans="1:32" ht="75" customHeight="1">
      <c r="A528" s="102"/>
      <c r="B528" s="102"/>
      <c r="C528" s="102"/>
      <c r="D528" s="70"/>
      <c r="E528" s="102"/>
      <c r="F528" s="102"/>
      <c r="G528" s="102"/>
      <c r="H528" s="102"/>
      <c r="I528" s="102"/>
      <c r="J528" s="102"/>
      <c r="K528" s="103"/>
      <c r="L528" s="103"/>
      <c r="M528" s="103"/>
      <c r="N528" s="103"/>
      <c r="O528" s="103"/>
      <c r="P528" s="103"/>
      <c r="Q528" s="102"/>
      <c r="R528" s="102"/>
      <c r="S528" s="102"/>
      <c r="T528" s="102"/>
      <c r="U528" s="102"/>
      <c r="V528" s="102"/>
      <c r="W528" s="102"/>
      <c r="X528" s="102"/>
      <c r="Y528" s="102"/>
      <c r="Z528" s="102"/>
      <c r="AA528" s="102"/>
      <c r="AB528" s="102"/>
      <c r="AC528" s="102"/>
      <c r="AD528" s="102"/>
      <c r="AE528" s="102"/>
      <c r="AF528" s="102"/>
    </row>
    <row r="529" spans="1:32" ht="75" customHeight="1">
      <c r="A529" s="102"/>
      <c r="B529" s="102"/>
      <c r="C529" s="102"/>
      <c r="D529" s="70"/>
      <c r="E529" s="102"/>
      <c r="F529" s="102"/>
      <c r="G529" s="102"/>
      <c r="H529" s="102"/>
      <c r="I529" s="102"/>
      <c r="J529" s="102"/>
      <c r="K529" s="103"/>
      <c r="L529" s="103"/>
      <c r="M529" s="103"/>
      <c r="N529" s="103"/>
      <c r="O529" s="103"/>
      <c r="P529" s="103"/>
      <c r="Q529" s="102"/>
      <c r="R529" s="102"/>
      <c r="S529" s="102"/>
      <c r="T529" s="102"/>
      <c r="U529" s="102"/>
      <c r="V529" s="102"/>
      <c r="W529" s="102"/>
      <c r="X529" s="102"/>
      <c r="Y529" s="102"/>
      <c r="Z529" s="102"/>
      <c r="AA529" s="102"/>
      <c r="AB529" s="102"/>
      <c r="AC529" s="102"/>
      <c r="AD529" s="102"/>
      <c r="AE529" s="102"/>
      <c r="AF529" s="102"/>
    </row>
    <row r="530" spans="1:32" ht="75" customHeight="1">
      <c r="A530" s="102"/>
      <c r="B530" s="102"/>
      <c r="C530" s="102"/>
      <c r="D530" s="70"/>
      <c r="E530" s="102"/>
      <c r="F530" s="102"/>
      <c r="G530" s="102"/>
      <c r="H530" s="102"/>
      <c r="I530" s="102"/>
      <c r="J530" s="102"/>
      <c r="K530" s="103"/>
      <c r="L530" s="103"/>
      <c r="M530" s="103"/>
      <c r="N530" s="103"/>
      <c r="O530" s="103"/>
      <c r="P530" s="103"/>
      <c r="Q530" s="102"/>
      <c r="R530" s="102"/>
      <c r="S530" s="102"/>
      <c r="T530" s="102"/>
      <c r="U530" s="102"/>
      <c r="V530" s="102"/>
      <c r="W530" s="102"/>
      <c r="X530" s="102"/>
      <c r="Y530" s="102"/>
      <c r="Z530" s="102"/>
      <c r="AA530" s="102"/>
      <c r="AB530" s="102"/>
      <c r="AC530" s="102"/>
      <c r="AD530" s="102"/>
      <c r="AE530" s="102"/>
      <c r="AF530" s="102"/>
    </row>
    <row r="531" spans="1:32" ht="75" customHeight="1">
      <c r="A531" s="102"/>
      <c r="B531" s="102"/>
      <c r="C531" s="102"/>
      <c r="D531" s="70"/>
      <c r="E531" s="102"/>
      <c r="F531" s="102"/>
      <c r="G531" s="102"/>
      <c r="H531" s="102"/>
      <c r="I531" s="102"/>
      <c r="J531" s="102"/>
      <c r="K531" s="103"/>
      <c r="L531" s="103"/>
      <c r="M531" s="103"/>
      <c r="N531" s="103"/>
      <c r="O531" s="103"/>
      <c r="P531" s="103"/>
      <c r="Q531" s="102"/>
      <c r="R531" s="102"/>
      <c r="S531" s="102"/>
      <c r="T531" s="102"/>
      <c r="U531" s="102"/>
      <c r="V531" s="102"/>
      <c r="W531" s="102"/>
      <c r="X531" s="102"/>
      <c r="Y531" s="102"/>
      <c r="Z531" s="102"/>
      <c r="AA531" s="102"/>
      <c r="AB531" s="102"/>
      <c r="AC531" s="102"/>
      <c r="AD531" s="102"/>
      <c r="AE531" s="102"/>
      <c r="AF531" s="102"/>
    </row>
    <row r="532" spans="1:32" ht="75" customHeight="1">
      <c r="A532" s="102"/>
      <c r="B532" s="102"/>
      <c r="C532" s="102"/>
      <c r="D532" s="70"/>
      <c r="E532" s="102"/>
      <c r="F532" s="102"/>
      <c r="G532" s="102"/>
      <c r="H532" s="102"/>
      <c r="I532" s="102"/>
      <c r="J532" s="102"/>
      <c r="K532" s="103"/>
      <c r="L532" s="103"/>
      <c r="M532" s="103"/>
      <c r="N532" s="103"/>
      <c r="O532" s="103"/>
      <c r="P532" s="103"/>
      <c r="Q532" s="102"/>
      <c r="R532" s="102"/>
      <c r="S532" s="102"/>
      <c r="T532" s="102"/>
      <c r="U532" s="102"/>
      <c r="V532" s="102"/>
      <c r="W532" s="102"/>
      <c r="X532" s="102"/>
      <c r="Y532" s="102"/>
      <c r="Z532" s="102"/>
      <c r="AA532" s="102"/>
      <c r="AB532" s="102"/>
      <c r="AC532" s="102"/>
      <c r="AD532" s="102"/>
      <c r="AE532" s="102"/>
      <c r="AF532" s="102"/>
    </row>
    <row r="533" spans="1:32" ht="75" customHeight="1">
      <c r="A533" s="102"/>
      <c r="B533" s="102"/>
      <c r="C533" s="102"/>
      <c r="D533" s="70"/>
      <c r="E533" s="102"/>
      <c r="F533" s="102"/>
      <c r="G533" s="102"/>
      <c r="H533" s="102"/>
      <c r="I533" s="102"/>
      <c r="J533" s="102"/>
      <c r="K533" s="103"/>
      <c r="L533" s="103"/>
      <c r="M533" s="103"/>
      <c r="N533" s="103"/>
      <c r="O533" s="103"/>
      <c r="P533" s="103"/>
      <c r="Q533" s="102"/>
      <c r="R533" s="102"/>
      <c r="S533" s="102"/>
      <c r="T533" s="102"/>
      <c r="U533" s="102"/>
      <c r="V533" s="102"/>
      <c r="W533" s="102"/>
      <c r="X533" s="102"/>
      <c r="Y533" s="102"/>
      <c r="Z533" s="102"/>
      <c r="AA533" s="102"/>
      <c r="AB533" s="102"/>
      <c r="AC533" s="102"/>
      <c r="AD533" s="102"/>
      <c r="AE533" s="102"/>
      <c r="AF533" s="102"/>
    </row>
    <row r="534" spans="1:32" ht="75" customHeight="1">
      <c r="A534" s="102"/>
      <c r="B534" s="102"/>
      <c r="C534" s="102"/>
      <c r="D534" s="70"/>
      <c r="E534" s="102"/>
      <c r="F534" s="102"/>
      <c r="G534" s="102"/>
      <c r="H534" s="102"/>
      <c r="I534" s="102"/>
      <c r="J534" s="102"/>
      <c r="K534" s="103"/>
      <c r="L534" s="103"/>
      <c r="M534" s="103"/>
      <c r="N534" s="103"/>
      <c r="O534" s="103"/>
      <c r="P534" s="103"/>
      <c r="Q534" s="102"/>
      <c r="R534" s="102"/>
      <c r="S534" s="102"/>
      <c r="T534" s="102"/>
      <c r="U534" s="102"/>
      <c r="V534" s="102"/>
      <c r="W534" s="102"/>
      <c r="X534" s="102"/>
      <c r="Y534" s="102"/>
      <c r="Z534" s="102"/>
      <c r="AA534" s="102"/>
      <c r="AB534" s="102"/>
      <c r="AC534" s="102"/>
      <c r="AD534" s="102"/>
      <c r="AE534" s="102"/>
      <c r="AF534" s="102"/>
    </row>
    <row r="535" spans="1:32" ht="75" customHeight="1">
      <c r="A535" s="102"/>
      <c r="B535" s="102"/>
      <c r="C535" s="102"/>
      <c r="D535" s="70"/>
      <c r="E535" s="102"/>
      <c r="F535" s="102"/>
      <c r="G535" s="102"/>
      <c r="H535" s="102"/>
      <c r="I535" s="102"/>
      <c r="J535" s="102"/>
      <c r="K535" s="103"/>
      <c r="L535" s="103"/>
      <c r="M535" s="103"/>
      <c r="N535" s="103"/>
      <c r="O535" s="103"/>
      <c r="P535" s="103"/>
      <c r="Q535" s="102"/>
      <c r="R535" s="102"/>
      <c r="S535" s="102"/>
      <c r="T535" s="102"/>
      <c r="U535" s="102"/>
      <c r="V535" s="102"/>
      <c r="W535" s="102"/>
      <c r="X535" s="102"/>
      <c r="Y535" s="102"/>
      <c r="Z535" s="102"/>
      <c r="AA535" s="102"/>
      <c r="AB535" s="102"/>
      <c r="AC535" s="102"/>
      <c r="AD535" s="102"/>
      <c r="AE535" s="102"/>
      <c r="AF535" s="102"/>
    </row>
    <row r="536" spans="1:32" ht="75" customHeight="1">
      <c r="A536" s="102"/>
      <c r="B536" s="102"/>
      <c r="C536" s="102"/>
      <c r="D536" s="70"/>
      <c r="E536" s="102"/>
      <c r="F536" s="102"/>
      <c r="G536" s="102"/>
      <c r="H536" s="102"/>
      <c r="I536" s="102"/>
      <c r="J536" s="102"/>
      <c r="K536" s="103"/>
      <c r="L536" s="103"/>
      <c r="M536" s="103"/>
      <c r="N536" s="103"/>
      <c r="O536" s="103"/>
      <c r="P536" s="103"/>
      <c r="Q536" s="102"/>
      <c r="R536" s="102"/>
      <c r="S536" s="102"/>
      <c r="T536" s="102"/>
      <c r="U536" s="102"/>
      <c r="V536" s="102"/>
      <c r="W536" s="102"/>
      <c r="X536" s="102"/>
      <c r="Y536" s="102"/>
      <c r="Z536" s="102"/>
      <c r="AA536" s="102"/>
      <c r="AB536" s="102"/>
      <c r="AC536" s="102"/>
      <c r="AD536" s="102"/>
      <c r="AE536" s="102"/>
      <c r="AF536" s="102"/>
    </row>
    <row r="537" spans="1:32" ht="75" customHeight="1">
      <c r="A537" s="102"/>
      <c r="B537" s="102"/>
      <c r="C537" s="102"/>
      <c r="D537" s="70"/>
      <c r="E537" s="102"/>
      <c r="F537" s="102"/>
      <c r="G537" s="102"/>
      <c r="H537" s="102"/>
      <c r="I537" s="102"/>
      <c r="J537" s="102"/>
      <c r="K537" s="103"/>
      <c r="L537" s="103"/>
      <c r="M537" s="103"/>
      <c r="N537" s="103"/>
      <c r="O537" s="103"/>
      <c r="P537" s="103"/>
      <c r="Q537" s="102"/>
      <c r="R537" s="102"/>
      <c r="S537" s="102"/>
      <c r="T537" s="102"/>
      <c r="U537" s="102"/>
      <c r="V537" s="102"/>
      <c r="W537" s="102"/>
      <c r="X537" s="102"/>
      <c r="Y537" s="102"/>
      <c r="Z537" s="102"/>
      <c r="AA537" s="102"/>
      <c r="AB537" s="102"/>
      <c r="AC537" s="102"/>
      <c r="AD537" s="102"/>
      <c r="AE537" s="102"/>
      <c r="AF537" s="102"/>
    </row>
    <row r="538" spans="1:32" ht="75" customHeight="1">
      <c r="A538" s="102"/>
      <c r="B538" s="102"/>
      <c r="C538" s="102"/>
      <c r="D538" s="70"/>
      <c r="E538" s="102"/>
      <c r="F538" s="102"/>
      <c r="G538" s="102"/>
      <c r="H538" s="102"/>
      <c r="I538" s="102"/>
      <c r="J538" s="102"/>
      <c r="K538" s="103"/>
      <c r="L538" s="103"/>
      <c r="M538" s="103"/>
      <c r="N538" s="103"/>
      <c r="O538" s="103"/>
      <c r="P538" s="103"/>
      <c r="Q538" s="102"/>
      <c r="R538" s="102"/>
      <c r="S538" s="102"/>
      <c r="T538" s="102"/>
      <c r="U538" s="102"/>
      <c r="V538" s="102"/>
      <c r="W538" s="102"/>
      <c r="X538" s="102"/>
      <c r="Y538" s="102"/>
      <c r="Z538" s="102"/>
      <c r="AA538" s="102"/>
      <c r="AB538" s="102"/>
      <c r="AC538" s="102"/>
      <c r="AD538" s="102"/>
      <c r="AE538" s="102"/>
      <c r="AF538" s="102"/>
    </row>
    <row r="539" spans="1:32" ht="75" customHeight="1">
      <c r="A539" s="102"/>
      <c r="B539" s="102"/>
      <c r="C539" s="102"/>
      <c r="D539" s="70"/>
      <c r="E539" s="102"/>
      <c r="F539" s="102"/>
      <c r="G539" s="102"/>
      <c r="H539" s="102"/>
      <c r="I539" s="102"/>
      <c r="J539" s="102"/>
      <c r="K539" s="103"/>
      <c r="L539" s="103"/>
      <c r="M539" s="103"/>
      <c r="N539" s="103"/>
      <c r="O539" s="103"/>
      <c r="P539" s="103"/>
      <c r="Q539" s="102"/>
      <c r="R539" s="102"/>
      <c r="S539" s="102"/>
      <c r="T539" s="102"/>
      <c r="U539" s="102"/>
      <c r="V539" s="102"/>
      <c r="W539" s="102"/>
      <c r="X539" s="102"/>
      <c r="Y539" s="102"/>
      <c r="Z539" s="102"/>
      <c r="AA539" s="102"/>
      <c r="AB539" s="102"/>
      <c r="AC539" s="102"/>
      <c r="AD539" s="102"/>
      <c r="AE539" s="102"/>
      <c r="AF539" s="102"/>
    </row>
    <row r="540" spans="1:32" ht="75" customHeight="1">
      <c r="A540" s="102"/>
      <c r="B540" s="102"/>
      <c r="C540" s="102"/>
      <c r="D540" s="70"/>
      <c r="E540" s="102"/>
      <c r="F540" s="102"/>
      <c r="G540" s="102"/>
      <c r="H540" s="102"/>
      <c r="I540" s="102"/>
      <c r="J540" s="102"/>
      <c r="K540" s="103"/>
      <c r="L540" s="103"/>
      <c r="M540" s="103"/>
      <c r="N540" s="103"/>
      <c r="O540" s="103"/>
      <c r="P540" s="103"/>
      <c r="Q540" s="102"/>
      <c r="R540" s="102"/>
      <c r="S540" s="102"/>
      <c r="T540" s="102"/>
      <c r="U540" s="102"/>
      <c r="V540" s="102"/>
      <c r="W540" s="102"/>
      <c r="X540" s="102"/>
      <c r="Y540" s="102"/>
      <c r="Z540" s="102"/>
      <c r="AA540" s="102"/>
      <c r="AB540" s="102"/>
      <c r="AC540" s="102"/>
      <c r="AD540" s="102"/>
      <c r="AE540" s="102"/>
      <c r="AF540" s="102"/>
    </row>
    <row r="541" spans="1:32" ht="75" customHeight="1">
      <c r="A541" s="102"/>
      <c r="B541" s="102"/>
      <c r="C541" s="102"/>
      <c r="D541" s="70"/>
      <c r="E541" s="102"/>
      <c r="F541" s="102"/>
      <c r="G541" s="102"/>
      <c r="H541" s="102"/>
      <c r="I541" s="102"/>
      <c r="J541" s="102"/>
      <c r="K541" s="103"/>
      <c r="L541" s="103"/>
      <c r="M541" s="103"/>
      <c r="N541" s="103"/>
      <c r="O541" s="103"/>
      <c r="P541" s="103"/>
      <c r="Q541" s="102"/>
      <c r="R541" s="102"/>
      <c r="S541" s="102"/>
      <c r="T541" s="102"/>
      <c r="U541" s="102"/>
      <c r="V541" s="102"/>
      <c r="W541" s="102"/>
      <c r="X541" s="102"/>
      <c r="Y541" s="102"/>
      <c r="Z541" s="102"/>
      <c r="AA541" s="102"/>
      <c r="AB541" s="102"/>
      <c r="AC541" s="102"/>
      <c r="AD541" s="102"/>
      <c r="AE541" s="102"/>
      <c r="AF541" s="102"/>
    </row>
    <row r="542" spans="1:32" ht="75" customHeight="1">
      <c r="A542" s="102"/>
      <c r="B542" s="102"/>
      <c r="C542" s="102"/>
      <c r="D542" s="70"/>
      <c r="E542" s="102"/>
      <c r="F542" s="102"/>
      <c r="G542" s="102"/>
      <c r="H542" s="102"/>
      <c r="I542" s="102"/>
      <c r="J542" s="102"/>
      <c r="K542" s="103"/>
      <c r="L542" s="103"/>
      <c r="M542" s="103"/>
      <c r="N542" s="103"/>
      <c r="O542" s="103"/>
      <c r="P542" s="103"/>
      <c r="Q542" s="102"/>
      <c r="R542" s="102"/>
      <c r="S542" s="102"/>
      <c r="T542" s="102"/>
      <c r="U542" s="102"/>
      <c r="V542" s="102"/>
      <c r="W542" s="102"/>
      <c r="X542" s="102"/>
      <c r="Y542" s="102"/>
      <c r="Z542" s="102"/>
      <c r="AA542" s="102"/>
      <c r="AB542" s="102"/>
      <c r="AC542" s="102"/>
      <c r="AD542" s="102"/>
      <c r="AE542" s="102"/>
      <c r="AF542" s="102"/>
    </row>
    <row r="543" spans="1:32" ht="75" customHeight="1">
      <c r="A543" s="102"/>
      <c r="B543" s="102"/>
      <c r="C543" s="102"/>
      <c r="D543" s="70"/>
      <c r="E543" s="102"/>
      <c r="F543" s="102"/>
      <c r="G543" s="102"/>
      <c r="H543" s="102"/>
      <c r="I543" s="102"/>
      <c r="J543" s="102"/>
      <c r="K543" s="103"/>
      <c r="L543" s="103"/>
      <c r="M543" s="103"/>
      <c r="N543" s="103"/>
      <c r="O543" s="103"/>
      <c r="P543" s="103"/>
      <c r="Q543" s="102"/>
      <c r="R543" s="102"/>
      <c r="S543" s="102"/>
      <c r="T543" s="102"/>
      <c r="U543" s="102"/>
      <c r="V543" s="102"/>
      <c r="W543" s="102"/>
      <c r="X543" s="102"/>
      <c r="Y543" s="102"/>
      <c r="Z543" s="102"/>
      <c r="AA543" s="102"/>
      <c r="AB543" s="102"/>
      <c r="AC543" s="102"/>
      <c r="AD543" s="102"/>
      <c r="AE543" s="102"/>
      <c r="AF543" s="102"/>
    </row>
    <row r="544" spans="1:32" ht="75" customHeight="1">
      <c r="A544" s="102"/>
      <c r="B544" s="102"/>
      <c r="C544" s="102"/>
      <c r="D544" s="70"/>
      <c r="E544" s="102"/>
      <c r="F544" s="102"/>
      <c r="G544" s="102"/>
      <c r="H544" s="102"/>
      <c r="I544" s="102"/>
      <c r="J544" s="102"/>
      <c r="K544" s="103"/>
      <c r="L544" s="103"/>
      <c r="M544" s="103"/>
      <c r="N544" s="103"/>
      <c r="O544" s="103"/>
      <c r="P544" s="103"/>
      <c r="Q544" s="102"/>
      <c r="R544" s="102"/>
      <c r="S544" s="102"/>
      <c r="T544" s="102"/>
      <c r="U544" s="102"/>
      <c r="V544" s="102"/>
      <c r="W544" s="102"/>
      <c r="X544" s="102"/>
      <c r="Y544" s="102"/>
      <c r="Z544" s="102"/>
      <c r="AA544" s="102"/>
      <c r="AB544" s="102"/>
      <c r="AC544" s="102"/>
      <c r="AD544" s="102"/>
      <c r="AE544" s="102"/>
      <c r="AF544" s="102"/>
    </row>
    <row r="545" spans="1:32" ht="75" customHeight="1">
      <c r="A545" s="102"/>
      <c r="B545" s="102"/>
      <c r="C545" s="102"/>
      <c r="D545" s="70"/>
      <c r="E545" s="102"/>
      <c r="F545" s="102"/>
      <c r="G545" s="102"/>
      <c r="H545" s="102"/>
      <c r="I545" s="102"/>
      <c r="J545" s="102"/>
      <c r="K545" s="103"/>
      <c r="L545" s="103"/>
      <c r="M545" s="103"/>
      <c r="N545" s="103"/>
      <c r="O545" s="103"/>
      <c r="P545" s="103"/>
      <c r="Q545" s="102"/>
      <c r="R545" s="102"/>
      <c r="S545" s="102"/>
      <c r="T545" s="102"/>
      <c r="U545" s="102"/>
      <c r="V545" s="102"/>
      <c r="W545" s="102"/>
      <c r="X545" s="102"/>
      <c r="Y545" s="102"/>
      <c r="Z545" s="102"/>
      <c r="AA545" s="102"/>
      <c r="AB545" s="102"/>
      <c r="AC545" s="102"/>
      <c r="AD545" s="102"/>
      <c r="AE545" s="102"/>
      <c r="AF545" s="102"/>
    </row>
    <row r="546" spans="1:32" ht="75" customHeight="1">
      <c r="A546" s="102"/>
      <c r="B546" s="102"/>
      <c r="C546" s="102"/>
      <c r="D546" s="70"/>
      <c r="E546" s="102"/>
      <c r="F546" s="102"/>
      <c r="G546" s="102"/>
      <c r="H546" s="102"/>
      <c r="I546" s="102"/>
      <c r="J546" s="102"/>
      <c r="K546" s="103"/>
      <c r="L546" s="103"/>
      <c r="M546" s="103"/>
      <c r="N546" s="103"/>
      <c r="O546" s="103"/>
      <c r="P546" s="103"/>
      <c r="Q546" s="102"/>
      <c r="R546" s="102"/>
      <c r="S546" s="102"/>
      <c r="T546" s="102"/>
      <c r="U546" s="102"/>
      <c r="V546" s="102"/>
      <c r="W546" s="102"/>
      <c r="X546" s="102"/>
      <c r="Y546" s="102"/>
      <c r="Z546" s="102"/>
      <c r="AA546" s="102"/>
      <c r="AB546" s="102"/>
      <c r="AC546" s="102"/>
      <c r="AD546" s="102"/>
      <c r="AE546" s="102"/>
      <c r="AF546" s="102"/>
    </row>
    <row r="547" spans="1:32" ht="75" customHeight="1">
      <c r="A547" s="102"/>
      <c r="B547" s="102"/>
      <c r="C547" s="102"/>
      <c r="D547" s="70"/>
      <c r="E547" s="102"/>
      <c r="F547" s="102"/>
      <c r="G547" s="102"/>
      <c r="H547" s="102"/>
      <c r="I547" s="102"/>
      <c r="J547" s="102"/>
      <c r="K547" s="103"/>
      <c r="L547" s="103"/>
      <c r="M547" s="103"/>
      <c r="N547" s="103"/>
      <c r="O547" s="103"/>
      <c r="P547" s="103"/>
      <c r="Q547" s="102"/>
      <c r="R547" s="102"/>
      <c r="S547" s="102"/>
      <c r="T547" s="102"/>
      <c r="U547" s="102"/>
      <c r="V547" s="102"/>
      <c r="W547" s="102"/>
      <c r="X547" s="102"/>
      <c r="Y547" s="102"/>
      <c r="Z547" s="102"/>
      <c r="AA547" s="102"/>
      <c r="AB547" s="102"/>
      <c r="AC547" s="102"/>
      <c r="AD547" s="102"/>
      <c r="AE547" s="102"/>
      <c r="AF547" s="102"/>
    </row>
    <row r="548" spans="1:32" ht="75" customHeight="1">
      <c r="A548" s="102"/>
      <c r="B548" s="102"/>
      <c r="C548" s="102"/>
      <c r="D548" s="70"/>
      <c r="E548" s="102"/>
      <c r="F548" s="102"/>
      <c r="G548" s="102"/>
      <c r="H548" s="102"/>
      <c r="I548" s="102"/>
      <c r="J548" s="102"/>
      <c r="K548" s="103"/>
      <c r="L548" s="103"/>
      <c r="M548" s="103"/>
      <c r="N548" s="103"/>
      <c r="O548" s="103"/>
      <c r="P548" s="103"/>
      <c r="Q548" s="102"/>
      <c r="R548" s="102"/>
      <c r="S548" s="102"/>
      <c r="T548" s="102"/>
      <c r="U548" s="102"/>
      <c r="V548" s="102"/>
      <c r="W548" s="102"/>
      <c r="X548" s="102"/>
      <c r="Y548" s="102"/>
      <c r="Z548" s="102"/>
      <c r="AA548" s="102"/>
      <c r="AB548" s="102"/>
      <c r="AC548" s="102"/>
      <c r="AD548" s="102"/>
      <c r="AE548" s="102"/>
      <c r="AF548" s="102"/>
    </row>
    <row r="549" spans="1:32" ht="75" customHeight="1">
      <c r="A549" s="102"/>
      <c r="B549" s="102"/>
      <c r="C549" s="102"/>
      <c r="D549" s="70"/>
      <c r="E549" s="102"/>
      <c r="F549" s="102"/>
      <c r="G549" s="102"/>
      <c r="H549" s="102"/>
      <c r="I549" s="102"/>
      <c r="J549" s="102"/>
      <c r="K549" s="103"/>
      <c r="L549" s="103"/>
      <c r="M549" s="103"/>
      <c r="N549" s="103"/>
      <c r="O549" s="103"/>
      <c r="P549" s="103"/>
      <c r="Q549" s="102"/>
      <c r="R549" s="102"/>
      <c r="S549" s="102"/>
      <c r="T549" s="102"/>
      <c r="U549" s="102"/>
      <c r="V549" s="102"/>
      <c r="W549" s="102"/>
      <c r="X549" s="102"/>
      <c r="Y549" s="102"/>
      <c r="Z549" s="102"/>
      <c r="AA549" s="102"/>
      <c r="AB549" s="102"/>
      <c r="AC549" s="102"/>
      <c r="AD549" s="102"/>
      <c r="AE549" s="102"/>
      <c r="AF549" s="102"/>
    </row>
    <row r="550" spans="1:32" ht="75" customHeight="1">
      <c r="A550" s="102"/>
      <c r="B550" s="102"/>
      <c r="C550" s="102"/>
      <c r="D550" s="70"/>
      <c r="E550" s="102"/>
      <c r="F550" s="102"/>
      <c r="G550" s="102"/>
      <c r="H550" s="102"/>
      <c r="I550" s="102"/>
      <c r="J550" s="102"/>
      <c r="K550" s="103"/>
      <c r="L550" s="103"/>
      <c r="M550" s="103"/>
      <c r="N550" s="103"/>
      <c r="O550" s="103"/>
      <c r="P550" s="103"/>
      <c r="Q550" s="102"/>
      <c r="R550" s="102"/>
      <c r="S550" s="102"/>
      <c r="T550" s="102"/>
      <c r="U550" s="102"/>
      <c r="V550" s="102"/>
      <c r="W550" s="102"/>
      <c r="X550" s="102"/>
      <c r="Y550" s="102"/>
      <c r="Z550" s="102"/>
      <c r="AA550" s="102"/>
      <c r="AB550" s="102"/>
      <c r="AC550" s="102"/>
      <c r="AD550" s="102"/>
      <c r="AE550" s="102"/>
      <c r="AF550" s="102"/>
    </row>
    <row r="551" spans="1:32" ht="75" customHeight="1">
      <c r="A551" s="102"/>
      <c r="B551" s="102"/>
      <c r="C551" s="102"/>
      <c r="D551" s="70"/>
      <c r="E551" s="102"/>
      <c r="F551" s="102"/>
      <c r="G551" s="102"/>
      <c r="H551" s="102"/>
      <c r="I551" s="102"/>
      <c r="J551" s="102"/>
      <c r="K551" s="103"/>
      <c r="L551" s="103"/>
      <c r="M551" s="103"/>
      <c r="N551" s="103"/>
      <c r="O551" s="103"/>
      <c r="P551" s="103"/>
      <c r="Q551" s="102"/>
      <c r="R551" s="102"/>
      <c r="S551" s="102"/>
      <c r="T551" s="102"/>
      <c r="U551" s="102"/>
      <c r="V551" s="102"/>
      <c r="W551" s="102"/>
      <c r="X551" s="102"/>
      <c r="Y551" s="102"/>
      <c r="Z551" s="102"/>
      <c r="AA551" s="102"/>
      <c r="AB551" s="102"/>
      <c r="AC551" s="102"/>
      <c r="AD551" s="102"/>
      <c r="AE551" s="102"/>
      <c r="AF551" s="102"/>
    </row>
    <row r="552" spans="1:32" ht="75" customHeight="1">
      <c r="A552" s="102"/>
      <c r="B552" s="102"/>
      <c r="C552" s="102"/>
      <c r="D552" s="70"/>
      <c r="E552" s="102"/>
      <c r="F552" s="102"/>
      <c r="G552" s="102"/>
      <c r="H552" s="102"/>
      <c r="I552" s="102"/>
      <c r="J552" s="102"/>
      <c r="K552" s="103"/>
      <c r="L552" s="103"/>
      <c r="M552" s="103"/>
      <c r="N552" s="103"/>
      <c r="O552" s="103"/>
      <c r="P552" s="103"/>
      <c r="Q552" s="102"/>
      <c r="R552" s="102"/>
      <c r="S552" s="102"/>
      <c r="T552" s="102"/>
      <c r="U552" s="102"/>
      <c r="V552" s="102"/>
      <c r="W552" s="102"/>
      <c r="X552" s="102"/>
      <c r="Y552" s="102"/>
      <c r="Z552" s="102"/>
      <c r="AA552" s="102"/>
      <c r="AB552" s="102"/>
      <c r="AC552" s="102"/>
      <c r="AD552" s="102"/>
      <c r="AE552" s="102"/>
      <c r="AF552" s="102"/>
    </row>
    <row r="553" spans="1:32" ht="75" customHeight="1">
      <c r="A553" s="102"/>
      <c r="B553" s="102"/>
      <c r="C553" s="102"/>
      <c r="D553" s="70"/>
      <c r="E553" s="102"/>
      <c r="F553" s="102"/>
      <c r="G553" s="102"/>
      <c r="H553" s="102"/>
      <c r="I553" s="102"/>
      <c r="J553" s="102"/>
      <c r="K553" s="103"/>
      <c r="L553" s="103"/>
      <c r="M553" s="103"/>
      <c r="N553" s="103"/>
      <c r="O553" s="103"/>
      <c r="P553" s="103"/>
      <c r="Q553" s="102"/>
      <c r="R553" s="102"/>
      <c r="S553" s="102"/>
      <c r="T553" s="102"/>
      <c r="U553" s="102"/>
      <c r="V553" s="102"/>
      <c r="W553" s="102"/>
      <c r="X553" s="102"/>
      <c r="Y553" s="102"/>
      <c r="Z553" s="102"/>
      <c r="AA553" s="102"/>
      <c r="AB553" s="102"/>
      <c r="AC553" s="102"/>
      <c r="AD553" s="102"/>
      <c r="AE553" s="102"/>
      <c r="AF553" s="102"/>
    </row>
    <row r="554" spans="1:32" ht="75" customHeight="1">
      <c r="A554" s="102"/>
      <c r="B554" s="102"/>
      <c r="C554" s="102"/>
      <c r="D554" s="70"/>
      <c r="E554" s="102"/>
      <c r="F554" s="102"/>
      <c r="G554" s="102"/>
      <c r="H554" s="102"/>
      <c r="I554" s="102"/>
      <c r="J554" s="102"/>
      <c r="K554" s="103"/>
      <c r="L554" s="103"/>
      <c r="M554" s="103"/>
      <c r="N554" s="103"/>
      <c r="O554" s="103"/>
      <c r="P554" s="103"/>
      <c r="Q554" s="102"/>
      <c r="R554" s="102"/>
      <c r="S554" s="102"/>
      <c r="T554" s="102"/>
      <c r="U554" s="102"/>
      <c r="V554" s="102"/>
      <c r="W554" s="102"/>
      <c r="X554" s="102"/>
      <c r="Y554" s="102"/>
      <c r="Z554" s="102"/>
      <c r="AA554" s="102"/>
      <c r="AB554" s="102"/>
      <c r="AC554" s="102"/>
      <c r="AD554" s="102"/>
      <c r="AE554" s="102"/>
      <c r="AF554" s="102"/>
    </row>
    <row r="555" spans="1:32" ht="75" customHeight="1">
      <c r="A555" s="102"/>
      <c r="B555" s="102"/>
      <c r="C555" s="102"/>
      <c r="D555" s="70"/>
      <c r="E555" s="102"/>
      <c r="F555" s="102"/>
      <c r="G555" s="102"/>
      <c r="H555" s="102"/>
      <c r="I555" s="102"/>
      <c r="J555" s="102"/>
      <c r="K555" s="103"/>
      <c r="L555" s="103"/>
      <c r="M555" s="103"/>
      <c r="N555" s="103"/>
      <c r="O555" s="103"/>
      <c r="P555" s="103"/>
      <c r="Q555" s="102"/>
      <c r="R555" s="102"/>
      <c r="S555" s="102"/>
      <c r="T555" s="102"/>
      <c r="U555" s="102"/>
      <c r="V555" s="102"/>
      <c r="W555" s="102"/>
      <c r="X555" s="102"/>
      <c r="Y555" s="102"/>
      <c r="Z555" s="102"/>
      <c r="AA555" s="102"/>
      <c r="AB555" s="102"/>
      <c r="AC555" s="102"/>
      <c r="AD555" s="102"/>
      <c r="AE555" s="102"/>
      <c r="AF555" s="102"/>
    </row>
    <row r="556" spans="1:32" ht="75" customHeight="1">
      <c r="A556" s="102"/>
      <c r="B556" s="102"/>
      <c r="C556" s="102"/>
      <c r="D556" s="70"/>
      <c r="E556" s="102"/>
      <c r="F556" s="102"/>
      <c r="G556" s="102"/>
      <c r="H556" s="102"/>
      <c r="I556" s="102"/>
      <c r="J556" s="102"/>
      <c r="K556" s="103"/>
      <c r="L556" s="103"/>
      <c r="M556" s="103"/>
      <c r="N556" s="103"/>
      <c r="O556" s="103"/>
      <c r="P556" s="103"/>
      <c r="Q556" s="102"/>
      <c r="R556" s="102"/>
      <c r="S556" s="102"/>
      <c r="T556" s="102"/>
      <c r="U556" s="102"/>
      <c r="V556" s="102"/>
      <c r="W556" s="102"/>
      <c r="X556" s="102"/>
      <c r="Y556" s="102"/>
      <c r="Z556" s="102"/>
      <c r="AA556" s="102"/>
      <c r="AB556" s="102"/>
      <c r="AC556" s="102"/>
      <c r="AD556" s="102"/>
      <c r="AE556" s="102"/>
      <c r="AF556" s="102"/>
    </row>
    <row r="557" spans="1:32" ht="75" customHeight="1">
      <c r="A557" s="102"/>
      <c r="B557" s="102"/>
      <c r="C557" s="102"/>
      <c r="D557" s="70"/>
      <c r="E557" s="102"/>
      <c r="F557" s="102"/>
      <c r="G557" s="102"/>
      <c r="H557" s="102"/>
      <c r="I557" s="102"/>
      <c r="J557" s="102"/>
      <c r="K557" s="103"/>
      <c r="L557" s="103"/>
      <c r="M557" s="103"/>
      <c r="N557" s="103"/>
      <c r="O557" s="103"/>
      <c r="P557" s="103"/>
      <c r="Q557" s="102"/>
      <c r="R557" s="102"/>
      <c r="S557" s="102"/>
      <c r="T557" s="102"/>
      <c r="U557" s="102"/>
      <c r="V557" s="102"/>
      <c r="W557" s="102"/>
      <c r="X557" s="102"/>
      <c r="Y557" s="102"/>
      <c r="Z557" s="102"/>
      <c r="AA557" s="102"/>
      <c r="AB557" s="102"/>
      <c r="AC557" s="102"/>
      <c r="AD557" s="102"/>
      <c r="AE557" s="102"/>
      <c r="AF557" s="102"/>
    </row>
    <row r="558" spans="1:32" ht="75" customHeight="1">
      <c r="A558" s="102"/>
      <c r="B558" s="102"/>
      <c r="C558" s="102"/>
      <c r="D558" s="70"/>
      <c r="E558" s="102"/>
      <c r="F558" s="102"/>
      <c r="G558" s="102"/>
      <c r="H558" s="102"/>
      <c r="I558" s="102"/>
      <c r="J558" s="102"/>
      <c r="K558" s="103"/>
      <c r="L558" s="103"/>
      <c r="M558" s="103"/>
      <c r="N558" s="103"/>
      <c r="O558" s="103"/>
      <c r="P558" s="103"/>
      <c r="Q558" s="102"/>
      <c r="R558" s="102"/>
      <c r="S558" s="102"/>
      <c r="T558" s="102"/>
      <c r="U558" s="102"/>
      <c r="V558" s="102"/>
      <c r="W558" s="102"/>
      <c r="X558" s="102"/>
      <c r="Y558" s="102"/>
      <c r="Z558" s="102"/>
      <c r="AA558" s="102"/>
      <c r="AB558" s="102"/>
      <c r="AC558" s="102"/>
      <c r="AD558" s="102"/>
      <c r="AE558" s="102"/>
      <c r="AF558" s="102"/>
    </row>
    <row r="559" spans="1:32" ht="75" customHeight="1">
      <c r="A559" s="102"/>
      <c r="B559" s="102"/>
      <c r="C559" s="102"/>
      <c r="D559" s="70"/>
      <c r="E559" s="102"/>
      <c r="F559" s="102"/>
      <c r="G559" s="102"/>
      <c r="H559" s="102"/>
      <c r="I559" s="102"/>
      <c r="J559" s="102"/>
      <c r="K559" s="103"/>
      <c r="L559" s="103"/>
      <c r="M559" s="103"/>
      <c r="N559" s="103"/>
      <c r="O559" s="103"/>
      <c r="P559" s="103"/>
      <c r="Q559" s="102"/>
      <c r="R559" s="102"/>
      <c r="S559" s="102"/>
      <c r="T559" s="102"/>
      <c r="U559" s="102"/>
      <c r="V559" s="102"/>
      <c r="W559" s="102"/>
      <c r="X559" s="102"/>
      <c r="Y559" s="102"/>
      <c r="Z559" s="102"/>
      <c r="AA559" s="102"/>
      <c r="AB559" s="102"/>
      <c r="AC559" s="102"/>
      <c r="AD559" s="102"/>
      <c r="AE559" s="102"/>
      <c r="AF559" s="102"/>
    </row>
    <row r="560" spans="1:32" ht="75" customHeight="1">
      <c r="A560" s="102"/>
      <c r="B560" s="102"/>
      <c r="C560" s="102"/>
      <c r="D560" s="70"/>
      <c r="E560" s="102"/>
      <c r="F560" s="102"/>
      <c r="G560" s="102"/>
      <c r="H560" s="102"/>
      <c r="I560" s="102"/>
      <c r="J560" s="102"/>
      <c r="K560" s="103"/>
      <c r="L560" s="103"/>
      <c r="M560" s="103"/>
      <c r="N560" s="103"/>
      <c r="O560" s="103"/>
      <c r="P560" s="103"/>
      <c r="Q560" s="102"/>
      <c r="R560" s="102"/>
      <c r="S560" s="102"/>
      <c r="T560" s="102"/>
      <c r="U560" s="102"/>
      <c r="V560" s="102"/>
      <c r="W560" s="102"/>
      <c r="X560" s="102"/>
      <c r="Y560" s="102"/>
      <c r="Z560" s="102"/>
      <c r="AA560" s="102"/>
      <c r="AB560" s="102"/>
      <c r="AC560" s="102"/>
      <c r="AD560" s="102"/>
      <c r="AE560" s="102"/>
      <c r="AF560" s="102"/>
    </row>
    <row r="561" spans="1:32" ht="75" customHeight="1">
      <c r="A561" s="102"/>
      <c r="B561" s="102"/>
      <c r="C561" s="102"/>
      <c r="D561" s="70"/>
      <c r="E561" s="102"/>
      <c r="F561" s="102"/>
      <c r="G561" s="102"/>
      <c r="H561" s="102"/>
      <c r="I561" s="102"/>
      <c r="J561" s="102"/>
      <c r="K561" s="103"/>
      <c r="L561" s="103"/>
      <c r="M561" s="103"/>
      <c r="N561" s="103"/>
      <c r="O561" s="103"/>
      <c r="P561" s="103"/>
      <c r="Q561" s="102"/>
      <c r="R561" s="102"/>
      <c r="S561" s="102"/>
      <c r="T561" s="102"/>
      <c r="U561" s="102"/>
      <c r="V561" s="102"/>
      <c r="W561" s="102"/>
      <c r="X561" s="102"/>
      <c r="Y561" s="102"/>
      <c r="Z561" s="102"/>
      <c r="AA561" s="102"/>
      <c r="AB561" s="102"/>
      <c r="AC561" s="102"/>
      <c r="AD561" s="102"/>
      <c r="AE561" s="102"/>
      <c r="AF561" s="102"/>
    </row>
    <row r="562" spans="1:32" ht="75" customHeight="1">
      <c r="A562" s="102"/>
      <c r="B562" s="102"/>
      <c r="C562" s="102"/>
      <c r="D562" s="70"/>
      <c r="E562" s="102"/>
      <c r="F562" s="102"/>
      <c r="G562" s="102"/>
      <c r="H562" s="102"/>
      <c r="I562" s="102"/>
      <c r="J562" s="102"/>
      <c r="K562" s="103"/>
      <c r="L562" s="103"/>
      <c r="M562" s="103"/>
      <c r="N562" s="103"/>
      <c r="O562" s="103"/>
      <c r="P562" s="103"/>
      <c r="Q562" s="102"/>
      <c r="R562" s="102"/>
      <c r="S562" s="102"/>
      <c r="T562" s="102"/>
      <c r="U562" s="102"/>
      <c r="V562" s="102"/>
      <c r="W562" s="102"/>
      <c r="X562" s="102"/>
      <c r="Y562" s="102"/>
      <c r="Z562" s="102"/>
      <c r="AA562" s="102"/>
      <c r="AB562" s="102"/>
      <c r="AC562" s="102"/>
      <c r="AD562" s="102"/>
      <c r="AE562" s="102"/>
      <c r="AF562" s="102"/>
    </row>
    <row r="563" spans="1:32" ht="75" customHeight="1">
      <c r="A563" s="102"/>
      <c r="B563" s="102"/>
      <c r="C563" s="102"/>
      <c r="D563" s="70"/>
      <c r="E563" s="102"/>
      <c r="F563" s="102"/>
      <c r="G563" s="102"/>
      <c r="H563" s="102"/>
      <c r="I563" s="102"/>
      <c r="J563" s="102"/>
      <c r="K563" s="103"/>
      <c r="L563" s="103"/>
      <c r="M563" s="103"/>
      <c r="N563" s="103"/>
      <c r="O563" s="103"/>
      <c r="P563" s="103"/>
      <c r="Q563" s="102"/>
      <c r="R563" s="102"/>
      <c r="S563" s="102"/>
      <c r="T563" s="102"/>
      <c r="U563" s="102"/>
      <c r="V563" s="102"/>
      <c r="W563" s="102"/>
      <c r="X563" s="102"/>
      <c r="Y563" s="102"/>
      <c r="Z563" s="102"/>
      <c r="AA563" s="102"/>
      <c r="AB563" s="102"/>
      <c r="AC563" s="102"/>
      <c r="AD563" s="102"/>
      <c r="AE563" s="102"/>
      <c r="AF563" s="102"/>
    </row>
    <row r="564" spans="1:32" ht="75" customHeight="1">
      <c r="A564" s="102"/>
      <c r="B564" s="102"/>
      <c r="C564" s="102"/>
      <c r="D564" s="70"/>
      <c r="E564" s="102"/>
      <c r="F564" s="102"/>
      <c r="G564" s="102"/>
      <c r="H564" s="102"/>
      <c r="I564" s="102"/>
      <c r="J564" s="102"/>
      <c r="K564" s="103"/>
      <c r="L564" s="103"/>
      <c r="M564" s="103"/>
      <c r="N564" s="103"/>
      <c r="O564" s="103"/>
      <c r="P564" s="103"/>
      <c r="Q564" s="102"/>
      <c r="R564" s="102"/>
      <c r="S564" s="102"/>
      <c r="T564" s="102"/>
      <c r="U564" s="102"/>
      <c r="V564" s="102"/>
      <c r="W564" s="102"/>
      <c r="X564" s="102"/>
      <c r="Y564" s="102"/>
      <c r="Z564" s="102"/>
      <c r="AA564" s="102"/>
      <c r="AB564" s="102"/>
      <c r="AC564" s="102"/>
      <c r="AD564" s="102"/>
      <c r="AE564" s="102"/>
      <c r="AF564" s="102"/>
    </row>
    <row r="565" spans="1:32" ht="75" customHeight="1">
      <c r="A565" s="102"/>
      <c r="B565" s="102"/>
      <c r="C565" s="102"/>
      <c r="D565" s="70"/>
      <c r="E565" s="102"/>
      <c r="F565" s="102"/>
      <c r="G565" s="102"/>
      <c r="H565" s="102"/>
      <c r="I565" s="102"/>
      <c r="J565" s="102"/>
      <c r="K565" s="103"/>
      <c r="L565" s="103"/>
      <c r="M565" s="103"/>
      <c r="N565" s="103"/>
      <c r="O565" s="103"/>
      <c r="P565" s="103"/>
      <c r="Q565" s="102"/>
      <c r="R565" s="102"/>
      <c r="S565" s="102"/>
      <c r="T565" s="102"/>
      <c r="U565" s="102"/>
      <c r="V565" s="102"/>
      <c r="W565" s="102"/>
      <c r="X565" s="102"/>
      <c r="Y565" s="102"/>
      <c r="Z565" s="102"/>
      <c r="AA565" s="102"/>
      <c r="AB565" s="102"/>
      <c r="AC565" s="102"/>
      <c r="AD565" s="102"/>
      <c r="AE565" s="102"/>
      <c r="AF565" s="102"/>
    </row>
    <row r="566" spans="1:32" ht="75" customHeight="1">
      <c r="A566" s="102"/>
      <c r="B566" s="102"/>
      <c r="C566" s="102"/>
      <c r="D566" s="70"/>
      <c r="E566" s="102"/>
      <c r="F566" s="102"/>
      <c r="G566" s="102"/>
      <c r="H566" s="102"/>
      <c r="I566" s="102"/>
      <c r="J566" s="102"/>
      <c r="K566" s="103"/>
      <c r="L566" s="103"/>
      <c r="M566" s="103"/>
      <c r="N566" s="103"/>
      <c r="O566" s="103"/>
      <c r="P566" s="103"/>
      <c r="Q566" s="102"/>
      <c r="R566" s="102"/>
      <c r="S566" s="102"/>
      <c r="T566" s="102"/>
      <c r="U566" s="102"/>
      <c r="V566" s="102"/>
      <c r="W566" s="102"/>
      <c r="X566" s="102"/>
      <c r="Y566" s="102"/>
      <c r="Z566" s="102"/>
      <c r="AA566" s="102"/>
      <c r="AB566" s="102"/>
      <c r="AC566" s="102"/>
      <c r="AD566" s="102"/>
      <c r="AE566" s="102"/>
      <c r="AF566" s="102"/>
    </row>
    <row r="567" spans="1:32" ht="75" customHeight="1">
      <c r="A567" s="102"/>
      <c r="B567" s="102"/>
      <c r="C567" s="102"/>
      <c r="D567" s="70"/>
      <c r="E567" s="102"/>
      <c r="F567" s="102"/>
      <c r="G567" s="102"/>
      <c r="H567" s="102"/>
      <c r="I567" s="102"/>
      <c r="J567" s="102"/>
      <c r="K567" s="103"/>
      <c r="L567" s="103"/>
      <c r="M567" s="103"/>
      <c r="N567" s="103"/>
      <c r="O567" s="103"/>
      <c r="P567" s="103"/>
      <c r="Q567" s="102"/>
      <c r="R567" s="102"/>
      <c r="S567" s="102"/>
      <c r="T567" s="102"/>
      <c r="U567" s="102"/>
      <c r="V567" s="102"/>
      <c r="W567" s="102"/>
      <c r="X567" s="102"/>
      <c r="Y567" s="102"/>
      <c r="Z567" s="102"/>
      <c r="AA567" s="102"/>
      <c r="AB567" s="102"/>
      <c r="AC567" s="102"/>
      <c r="AD567" s="102"/>
      <c r="AE567" s="102"/>
      <c r="AF567" s="102"/>
    </row>
    <row r="568" spans="1:32" ht="75" customHeight="1">
      <c r="A568" s="102"/>
      <c r="B568" s="102"/>
      <c r="C568" s="102"/>
      <c r="D568" s="70"/>
      <c r="E568" s="102"/>
      <c r="F568" s="102"/>
      <c r="G568" s="102"/>
      <c r="H568" s="102"/>
      <c r="I568" s="102"/>
      <c r="J568" s="102"/>
      <c r="K568" s="103"/>
      <c r="L568" s="103"/>
      <c r="M568" s="103"/>
      <c r="N568" s="103"/>
      <c r="O568" s="103"/>
      <c r="P568" s="103"/>
      <c r="Q568" s="102"/>
      <c r="R568" s="102"/>
      <c r="S568" s="102"/>
      <c r="T568" s="102"/>
      <c r="U568" s="102"/>
      <c r="V568" s="102"/>
      <c r="W568" s="102"/>
      <c r="X568" s="102"/>
      <c r="Y568" s="102"/>
      <c r="Z568" s="102"/>
      <c r="AA568" s="102"/>
      <c r="AB568" s="102"/>
      <c r="AC568" s="102"/>
      <c r="AD568" s="102"/>
      <c r="AE568" s="102"/>
      <c r="AF568" s="102"/>
    </row>
    <row r="569" spans="1:32" ht="75" customHeight="1">
      <c r="A569" s="102"/>
      <c r="B569" s="102"/>
      <c r="C569" s="102"/>
      <c r="D569" s="70"/>
      <c r="E569" s="102"/>
      <c r="F569" s="102"/>
      <c r="G569" s="102"/>
      <c r="H569" s="102"/>
      <c r="I569" s="102"/>
      <c r="J569" s="102"/>
      <c r="K569" s="103"/>
      <c r="L569" s="103"/>
      <c r="M569" s="103"/>
      <c r="N569" s="103"/>
      <c r="O569" s="103"/>
      <c r="P569" s="103"/>
      <c r="Q569" s="102"/>
      <c r="R569" s="102"/>
      <c r="S569" s="102"/>
      <c r="T569" s="102"/>
      <c r="U569" s="102"/>
      <c r="V569" s="102"/>
      <c r="W569" s="102"/>
      <c r="X569" s="102"/>
      <c r="Y569" s="102"/>
      <c r="Z569" s="102"/>
      <c r="AA569" s="102"/>
      <c r="AB569" s="102"/>
      <c r="AC569" s="102"/>
      <c r="AD569" s="102"/>
      <c r="AE569" s="102"/>
      <c r="AF569" s="102"/>
    </row>
    <row r="570" spans="1:32" ht="75" customHeight="1">
      <c r="A570" s="102"/>
      <c r="B570" s="102"/>
      <c r="C570" s="102"/>
      <c r="D570" s="70"/>
      <c r="E570" s="102"/>
      <c r="F570" s="102"/>
      <c r="G570" s="102"/>
      <c r="H570" s="102"/>
      <c r="I570" s="102"/>
      <c r="J570" s="102"/>
      <c r="K570" s="103"/>
      <c r="L570" s="103"/>
      <c r="M570" s="103"/>
      <c r="N570" s="103"/>
      <c r="O570" s="103"/>
      <c r="P570" s="103"/>
      <c r="Q570" s="102"/>
      <c r="R570" s="102"/>
      <c r="S570" s="102"/>
      <c r="T570" s="102"/>
      <c r="U570" s="102"/>
      <c r="V570" s="102"/>
      <c r="W570" s="102"/>
      <c r="X570" s="102"/>
      <c r="Y570" s="102"/>
      <c r="Z570" s="102"/>
      <c r="AA570" s="102"/>
      <c r="AB570" s="102"/>
      <c r="AC570" s="102"/>
      <c r="AD570" s="102"/>
      <c r="AE570" s="102"/>
      <c r="AF570" s="102"/>
    </row>
    <row r="571" spans="1:32" ht="75" customHeight="1">
      <c r="A571" s="102"/>
      <c r="B571" s="102"/>
      <c r="C571" s="102"/>
      <c r="D571" s="70"/>
      <c r="E571" s="102"/>
      <c r="F571" s="102"/>
      <c r="G571" s="102"/>
      <c r="H571" s="102"/>
      <c r="I571" s="102"/>
      <c r="J571" s="102"/>
      <c r="K571" s="103"/>
      <c r="L571" s="103"/>
      <c r="M571" s="103"/>
      <c r="N571" s="103"/>
      <c r="O571" s="103"/>
      <c r="P571" s="103"/>
      <c r="Q571" s="102"/>
      <c r="R571" s="102"/>
      <c r="S571" s="102"/>
      <c r="T571" s="102"/>
      <c r="U571" s="102"/>
      <c r="V571" s="102"/>
      <c r="W571" s="102"/>
      <c r="X571" s="102"/>
      <c r="Y571" s="102"/>
      <c r="Z571" s="102"/>
      <c r="AA571" s="102"/>
      <c r="AB571" s="102"/>
      <c r="AC571" s="102"/>
      <c r="AD571" s="102"/>
      <c r="AE571" s="102"/>
      <c r="AF571" s="102"/>
    </row>
    <row r="572" spans="1:32" ht="75" customHeight="1">
      <c r="A572" s="102"/>
      <c r="B572" s="102"/>
      <c r="C572" s="102"/>
      <c r="D572" s="70"/>
      <c r="E572" s="102"/>
      <c r="F572" s="102"/>
      <c r="G572" s="102"/>
      <c r="H572" s="102"/>
      <c r="I572" s="102"/>
      <c r="J572" s="102"/>
      <c r="K572" s="103"/>
      <c r="L572" s="103"/>
      <c r="M572" s="103"/>
      <c r="N572" s="103"/>
      <c r="O572" s="103"/>
      <c r="P572" s="103"/>
      <c r="Q572" s="102"/>
      <c r="R572" s="102"/>
      <c r="S572" s="102"/>
      <c r="T572" s="102"/>
      <c r="U572" s="102"/>
      <c r="V572" s="102"/>
      <c r="W572" s="102"/>
      <c r="X572" s="102"/>
      <c r="Y572" s="102"/>
      <c r="Z572" s="102"/>
      <c r="AA572" s="102"/>
      <c r="AB572" s="102"/>
      <c r="AC572" s="102"/>
      <c r="AD572" s="102"/>
      <c r="AE572" s="102"/>
      <c r="AF572" s="102"/>
    </row>
    <row r="573" spans="1:32" ht="75" customHeight="1">
      <c r="A573" s="102"/>
      <c r="B573" s="102"/>
      <c r="C573" s="102"/>
      <c r="D573" s="70"/>
      <c r="E573" s="102"/>
      <c r="F573" s="102"/>
      <c r="G573" s="102"/>
      <c r="H573" s="102"/>
      <c r="I573" s="102"/>
      <c r="J573" s="102"/>
      <c r="K573" s="103"/>
      <c r="L573" s="103"/>
      <c r="M573" s="103"/>
      <c r="N573" s="103"/>
      <c r="O573" s="103"/>
      <c r="P573" s="103"/>
      <c r="Q573" s="102"/>
      <c r="R573" s="102"/>
      <c r="S573" s="102"/>
      <c r="T573" s="102"/>
      <c r="U573" s="102"/>
      <c r="V573" s="102"/>
      <c r="W573" s="102"/>
      <c r="X573" s="102"/>
      <c r="Y573" s="102"/>
      <c r="Z573" s="102"/>
      <c r="AA573" s="102"/>
      <c r="AB573" s="102"/>
      <c r="AC573" s="102"/>
      <c r="AD573" s="102"/>
      <c r="AE573" s="102"/>
      <c r="AF573" s="102"/>
    </row>
    <row r="574" spans="1:32" ht="75" customHeight="1">
      <c r="A574" s="102"/>
      <c r="B574" s="102"/>
      <c r="C574" s="102"/>
      <c r="D574" s="70"/>
      <c r="E574" s="102"/>
      <c r="F574" s="102"/>
      <c r="G574" s="102"/>
      <c r="H574" s="102"/>
      <c r="I574" s="102"/>
      <c r="J574" s="102"/>
      <c r="K574" s="103"/>
      <c r="L574" s="103"/>
      <c r="M574" s="103"/>
      <c r="N574" s="103"/>
      <c r="O574" s="103"/>
      <c r="P574" s="103"/>
      <c r="Q574" s="102"/>
      <c r="R574" s="102"/>
      <c r="S574" s="102"/>
      <c r="T574" s="102"/>
      <c r="U574" s="102"/>
      <c r="V574" s="102"/>
      <c r="W574" s="102"/>
      <c r="X574" s="102"/>
      <c r="Y574" s="102"/>
      <c r="Z574" s="102"/>
      <c r="AA574" s="102"/>
      <c r="AB574" s="102"/>
      <c r="AC574" s="102"/>
      <c r="AD574" s="102"/>
      <c r="AE574" s="102"/>
      <c r="AF574" s="102"/>
    </row>
    <row r="575" spans="1:32" ht="75" customHeight="1">
      <c r="A575" s="102"/>
      <c r="B575" s="102"/>
      <c r="C575" s="102"/>
      <c r="D575" s="70"/>
      <c r="E575" s="102"/>
      <c r="F575" s="102"/>
      <c r="G575" s="102"/>
      <c r="H575" s="102"/>
      <c r="I575" s="102"/>
      <c r="J575" s="102"/>
      <c r="K575" s="103"/>
      <c r="L575" s="103"/>
      <c r="M575" s="103"/>
      <c r="N575" s="103"/>
      <c r="O575" s="103"/>
      <c r="P575" s="103"/>
      <c r="Q575" s="102"/>
      <c r="R575" s="102"/>
      <c r="S575" s="102"/>
      <c r="T575" s="102"/>
      <c r="U575" s="102"/>
      <c r="V575" s="102"/>
      <c r="W575" s="102"/>
      <c r="X575" s="102"/>
      <c r="Y575" s="102"/>
      <c r="Z575" s="102"/>
      <c r="AA575" s="102"/>
      <c r="AB575" s="102"/>
      <c r="AC575" s="102"/>
      <c r="AD575" s="102"/>
      <c r="AE575" s="102"/>
      <c r="AF575" s="102"/>
    </row>
    <row r="576" spans="1:32" ht="75" customHeight="1">
      <c r="A576" s="102"/>
      <c r="B576" s="102"/>
      <c r="C576" s="102"/>
      <c r="D576" s="70"/>
      <c r="E576" s="102"/>
      <c r="F576" s="102"/>
      <c r="G576" s="102"/>
      <c r="H576" s="102"/>
      <c r="I576" s="102"/>
      <c r="J576" s="102"/>
      <c r="K576" s="103"/>
      <c r="L576" s="103"/>
      <c r="M576" s="103"/>
      <c r="N576" s="103"/>
      <c r="O576" s="103"/>
      <c r="P576" s="103"/>
      <c r="Q576" s="102"/>
      <c r="R576" s="102"/>
      <c r="S576" s="102"/>
      <c r="T576" s="102"/>
      <c r="U576" s="102"/>
      <c r="V576" s="102"/>
      <c r="W576" s="102"/>
      <c r="X576" s="102"/>
      <c r="Y576" s="102"/>
      <c r="Z576" s="102"/>
      <c r="AA576" s="102"/>
      <c r="AB576" s="102"/>
      <c r="AC576" s="102"/>
      <c r="AD576" s="102"/>
      <c r="AE576" s="102"/>
      <c r="AF576" s="102"/>
    </row>
    <row r="577" spans="1:32" ht="75" customHeight="1">
      <c r="A577" s="102"/>
      <c r="B577" s="102"/>
      <c r="C577" s="102"/>
      <c r="D577" s="70"/>
      <c r="E577" s="102"/>
      <c r="F577" s="102"/>
      <c r="G577" s="102"/>
      <c r="H577" s="102"/>
      <c r="I577" s="102"/>
      <c r="J577" s="102"/>
      <c r="K577" s="103"/>
      <c r="L577" s="103"/>
      <c r="M577" s="103"/>
      <c r="N577" s="103"/>
      <c r="O577" s="103"/>
      <c r="P577" s="103"/>
      <c r="Q577" s="102"/>
      <c r="R577" s="102"/>
      <c r="S577" s="102"/>
      <c r="T577" s="102"/>
      <c r="U577" s="102"/>
      <c r="V577" s="102"/>
      <c r="W577" s="102"/>
      <c r="X577" s="102"/>
      <c r="Y577" s="102"/>
      <c r="Z577" s="102"/>
      <c r="AA577" s="102"/>
      <c r="AB577" s="102"/>
      <c r="AC577" s="102"/>
      <c r="AD577" s="102"/>
      <c r="AE577" s="102"/>
      <c r="AF577" s="102"/>
    </row>
    <row r="578" spans="1:32" ht="75" customHeight="1">
      <c r="A578" s="102"/>
      <c r="B578" s="102"/>
      <c r="C578" s="102"/>
      <c r="D578" s="70"/>
      <c r="E578" s="102"/>
      <c r="F578" s="102"/>
      <c r="G578" s="102"/>
      <c r="H578" s="102"/>
      <c r="I578" s="102"/>
      <c r="J578" s="102"/>
      <c r="K578" s="103"/>
      <c r="L578" s="103"/>
      <c r="M578" s="103"/>
      <c r="N578" s="103"/>
      <c r="O578" s="103"/>
      <c r="P578" s="103"/>
      <c r="Q578" s="102"/>
      <c r="R578" s="102"/>
      <c r="S578" s="102"/>
      <c r="T578" s="102"/>
      <c r="U578" s="102"/>
      <c r="V578" s="102"/>
      <c r="W578" s="102"/>
      <c r="X578" s="102"/>
      <c r="Y578" s="102"/>
      <c r="Z578" s="102"/>
      <c r="AA578" s="102"/>
      <c r="AB578" s="102"/>
      <c r="AC578" s="102"/>
      <c r="AD578" s="102"/>
      <c r="AE578" s="102"/>
      <c r="AF578" s="102"/>
    </row>
    <row r="579" spans="1:32" ht="75" customHeight="1">
      <c r="A579" s="102"/>
      <c r="B579" s="102"/>
      <c r="C579" s="102"/>
      <c r="D579" s="70"/>
      <c r="E579" s="102"/>
      <c r="F579" s="102"/>
      <c r="G579" s="102"/>
      <c r="H579" s="102"/>
      <c r="I579" s="102"/>
      <c r="J579" s="102"/>
      <c r="K579" s="103"/>
      <c r="L579" s="103"/>
      <c r="M579" s="103"/>
      <c r="N579" s="103"/>
      <c r="O579" s="103"/>
      <c r="P579" s="103"/>
      <c r="Q579" s="102"/>
      <c r="R579" s="102"/>
      <c r="S579" s="102"/>
      <c r="T579" s="102"/>
      <c r="U579" s="102"/>
      <c r="V579" s="102"/>
      <c r="W579" s="102"/>
      <c r="X579" s="102"/>
      <c r="Y579" s="102"/>
      <c r="Z579" s="102"/>
      <c r="AA579" s="102"/>
      <c r="AB579" s="102"/>
      <c r="AC579" s="102"/>
      <c r="AD579" s="102"/>
      <c r="AE579" s="102"/>
      <c r="AF579" s="102"/>
    </row>
    <row r="580" spans="1:32" ht="75" customHeight="1">
      <c r="A580" s="102"/>
      <c r="B580" s="102"/>
      <c r="C580" s="102"/>
      <c r="D580" s="70"/>
      <c r="E580" s="102"/>
      <c r="F580" s="102"/>
      <c r="G580" s="102"/>
      <c r="H580" s="102"/>
      <c r="I580" s="102"/>
      <c r="J580" s="102"/>
      <c r="K580" s="103"/>
      <c r="L580" s="103"/>
      <c r="M580" s="103"/>
      <c r="N580" s="103"/>
      <c r="O580" s="103"/>
      <c r="P580" s="103"/>
      <c r="Q580" s="102"/>
      <c r="R580" s="102"/>
      <c r="S580" s="102"/>
      <c r="T580" s="102"/>
      <c r="U580" s="102"/>
      <c r="V580" s="102"/>
      <c r="W580" s="102"/>
      <c r="X580" s="102"/>
      <c r="Y580" s="102"/>
      <c r="Z580" s="102"/>
      <c r="AA580" s="102"/>
      <c r="AB580" s="102"/>
      <c r="AC580" s="102"/>
      <c r="AD580" s="102"/>
      <c r="AE580" s="102"/>
      <c r="AF580" s="102"/>
    </row>
    <row r="581" spans="1:32" ht="75" customHeight="1">
      <c r="A581" s="102"/>
      <c r="B581" s="102"/>
      <c r="C581" s="102"/>
      <c r="D581" s="70"/>
      <c r="E581" s="102"/>
      <c r="F581" s="102"/>
      <c r="G581" s="102"/>
      <c r="H581" s="102"/>
      <c r="I581" s="102"/>
      <c r="J581" s="102"/>
      <c r="K581" s="103"/>
      <c r="L581" s="103"/>
      <c r="M581" s="103"/>
      <c r="N581" s="103"/>
      <c r="O581" s="103"/>
      <c r="P581" s="103"/>
      <c r="Q581" s="102"/>
      <c r="R581" s="102"/>
      <c r="S581" s="102"/>
      <c r="T581" s="102"/>
      <c r="U581" s="102"/>
      <c r="V581" s="102"/>
      <c r="W581" s="102"/>
      <c r="X581" s="102"/>
      <c r="Y581" s="102"/>
      <c r="Z581" s="102"/>
      <c r="AA581" s="102"/>
      <c r="AB581" s="102"/>
      <c r="AC581" s="102"/>
      <c r="AD581" s="102"/>
      <c r="AE581" s="102"/>
      <c r="AF581" s="102"/>
    </row>
    <row r="582" spans="1:32" ht="75" customHeight="1">
      <c r="A582" s="102"/>
      <c r="B582" s="102"/>
      <c r="C582" s="102"/>
      <c r="D582" s="70"/>
      <c r="E582" s="102"/>
      <c r="F582" s="102"/>
      <c r="G582" s="102"/>
      <c r="H582" s="102"/>
      <c r="I582" s="102"/>
      <c r="J582" s="102"/>
      <c r="K582" s="103"/>
      <c r="L582" s="103"/>
      <c r="M582" s="103"/>
      <c r="N582" s="103"/>
      <c r="O582" s="103"/>
      <c r="P582" s="103"/>
      <c r="Q582" s="102"/>
      <c r="R582" s="102"/>
      <c r="S582" s="102"/>
      <c r="T582" s="102"/>
      <c r="U582" s="102"/>
      <c r="V582" s="102"/>
      <c r="W582" s="102"/>
      <c r="X582" s="102"/>
      <c r="Y582" s="102"/>
      <c r="Z582" s="102"/>
      <c r="AA582" s="102"/>
      <c r="AB582" s="102"/>
      <c r="AC582" s="102"/>
      <c r="AD582" s="102"/>
      <c r="AE582" s="102"/>
      <c r="AF582" s="102"/>
    </row>
    <row r="583" spans="1:32" ht="75" customHeight="1">
      <c r="A583" s="102"/>
      <c r="B583" s="102"/>
      <c r="C583" s="102"/>
      <c r="D583" s="70"/>
      <c r="E583" s="102"/>
      <c r="F583" s="102"/>
      <c r="G583" s="102"/>
      <c r="H583" s="102"/>
      <c r="I583" s="102"/>
      <c r="J583" s="102"/>
      <c r="K583" s="103"/>
      <c r="L583" s="103"/>
      <c r="M583" s="103"/>
      <c r="N583" s="103"/>
      <c r="O583" s="103"/>
      <c r="P583" s="103"/>
      <c r="Q583" s="102"/>
      <c r="R583" s="102"/>
      <c r="S583" s="102"/>
      <c r="T583" s="102"/>
      <c r="U583" s="102"/>
      <c r="V583" s="102"/>
      <c r="W583" s="102"/>
      <c r="X583" s="102"/>
      <c r="Y583" s="102"/>
      <c r="Z583" s="102"/>
      <c r="AA583" s="102"/>
      <c r="AB583" s="102"/>
      <c r="AC583" s="102"/>
      <c r="AD583" s="102"/>
      <c r="AE583" s="102"/>
      <c r="AF583" s="102"/>
    </row>
    <row r="584" spans="1:32" ht="75" customHeight="1">
      <c r="A584" s="102"/>
      <c r="B584" s="102"/>
      <c r="C584" s="102"/>
      <c r="D584" s="70"/>
      <c r="E584" s="102"/>
      <c r="F584" s="102"/>
      <c r="G584" s="102"/>
      <c r="H584" s="102"/>
      <c r="I584" s="102"/>
      <c r="J584" s="102"/>
      <c r="K584" s="103"/>
      <c r="L584" s="103"/>
      <c r="M584" s="103"/>
      <c r="N584" s="103"/>
      <c r="O584" s="103"/>
      <c r="P584" s="103"/>
      <c r="Q584" s="102"/>
      <c r="R584" s="102"/>
      <c r="S584" s="102"/>
      <c r="T584" s="102"/>
      <c r="U584" s="102"/>
      <c r="V584" s="102"/>
      <c r="W584" s="102"/>
      <c r="X584" s="102"/>
      <c r="Y584" s="102"/>
      <c r="Z584" s="102"/>
      <c r="AA584" s="102"/>
      <c r="AB584" s="102"/>
      <c r="AC584" s="102"/>
      <c r="AD584" s="102"/>
      <c r="AE584" s="102"/>
      <c r="AF584" s="102"/>
    </row>
    <row r="585" spans="1:32" ht="75" customHeight="1">
      <c r="A585" s="102"/>
      <c r="B585" s="102"/>
      <c r="C585" s="102"/>
      <c r="D585" s="70"/>
      <c r="E585" s="102"/>
      <c r="F585" s="102"/>
      <c r="G585" s="102"/>
      <c r="H585" s="102"/>
      <c r="I585" s="102"/>
      <c r="J585" s="102"/>
      <c r="K585" s="103"/>
      <c r="L585" s="103"/>
      <c r="M585" s="103"/>
      <c r="N585" s="103"/>
      <c r="O585" s="103"/>
      <c r="P585" s="103"/>
      <c r="Q585" s="102"/>
      <c r="R585" s="102"/>
      <c r="S585" s="102"/>
      <c r="T585" s="102"/>
      <c r="U585" s="102"/>
      <c r="V585" s="102"/>
      <c r="W585" s="102"/>
      <c r="X585" s="102"/>
      <c r="Y585" s="102"/>
      <c r="Z585" s="102"/>
      <c r="AA585" s="102"/>
      <c r="AB585" s="102"/>
      <c r="AC585" s="102"/>
      <c r="AD585" s="102"/>
      <c r="AE585" s="102"/>
      <c r="AF585" s="102"/>
    </row>
    <row r="586" spans="1:32" ht="75" customHeight="1">
      <c r="A586" s="102"/>
      <c r="B586" s="102"/>
      <c r="C586" s="102"/>
      <c r="D586" s="70"/>
      <c r="E586" s="102"/>
      <c r="F586" s="102"/>
      <c r="G586" s="102"/>
      <c r="H586" s="102"/>
      <c r="I586" s="102"/>
      <c r="J586" s="102"/>
      <c r="K586" s="103"/>
      <c r="L586" s="103"/>
      <c r="M586" s="103"/>
      <c r="N586" s="103"/>
      <c r="O586" s="103"/>
      <c r="P586" s="103"/>
      <c r="Q586" s="102"/>
      <c r="R586" s="102"/>
      <c r="S586" s="102"/>
      <c r="T586" s="102"/>
      <c r="U586" s="102"/>
      <c r="V586" s="102"/>
      <c r="W586" s="102"/>
      <c r="X586" s="102"/>
      <c r="Y586" s="102"/>
      <c r="Z586" s="102"/>
      <c r="AA586" s="102"/>
      <c r="AB586" s="102"/>
      <c r="AC586" s="102"/>
      <c r="AD586" s="102"/>
      <c r="AE586" s="102"/>
      <c r="AF586" s="102"/>
    </row>
    <row r="587" spans="1:32" ht="75" customHeight="1">
      <c r="A587" s="102"/>
      <c r="B587" s="102"/>
      <c r="C587" s="102"/>
      <c r="D587" s="70"/>
      <c r="E587" s="102"/>
      <c r="F587" s="102"/>
      <c r="G587" s="102"/>
      <c r="H587" s="102"/>
      <c r="I587" s="102"/>
      <c r="J587" s="102"/>
      <c r="K587" s="103"/>
      <c r="L587" s="103"/>
      <c r="M587" s="103"/>
      <c r="N587" s="103"/>
      <c r="O587" s="103"/>
      <c r="P587" s="103"/>
      <c r="Q587" s="102"/>
      <c r="R587" s="102"/>
      <c r="S587" s="102"/>
      <c r="T587" s="102"/>
      <c r="U587" s="102"/>
      <c r="V587" s="102"/>
      <c r="W587" s="102"/>
      <c r="X587" s="102"/>
      <c r="Y587" s="102"/>
      <c r="Z587" s="102"/>
      <c r="AA587" s="102"/>
      <c r="AB587" s="102"/>
      <c r="AC587" s="102"/>
      <c r="AD587" s="102"/>
      <c r="AE587" s="102"/>
      <c r="AF587" s="102"/>
    </row>
    <row r="588" spans="1:32" ht="75" customHeight="1">
      <c r="A588" s="102"/>
      <c r="B588" s="102"/>
      <c r="C588" s="102"/>
      <c r="D588" s="70"/>
      <c r="E588" s="102"/>
      <c r="F588" s="102"/>
      <c r="G588" s="102"/>
      <c r="H588" s="102"/>
      <c r="I588" s="102"/>
      <c r="J588" s="102"/>
      <c r="K588" s="103"/>
      <c r="L588" s="103"/>
      <c r="M588" s="103"/>
      <c r="N588" s="103"/>
      <c r="O588" s="103"/>
      <c r="P588" s="103"/>
      <c r="Q588" s="102"/>
      <c r="R588" s="102"/>
      <c r="S588" s="102"/>
      <c r="T588" s="102"/>
      <c r="U588" s="102"/>
      <c r="V588" s="102"/>
      <c r="W588" s="102"/>
      <c r="X588" s="102"/>
      <c r="Y588" s="102"/>
      <c r="Z588" s="102"/>
      <c r="AA588" s="102"/>
      <c r="AB588" s="102"/>
      <c r="AC588" s="102"/>
      <c r="AD588" s="102"/>
      <c r="AE588" s="102"/>
      <c r="AF588" s="102"/>
    </row>
    <row r="589" spans="1:32" ht="75" customHeight="1">
      <c r="A589" s="102"/>
      <c r="B589" s="102"/>
      <c r="C589" s="102"/>
      <c r="D589" s="70"/>
      <c r="E589" s="102"/>
      <c r="F589" s="102"/>
      <c r="G589" s="102"/>
      <c r="H589" s="102"/>
      <c r="I589" s="102"/>
      <c r="J589" s="102"/>
      <c r="K589" s="103"/>
      <c r="L589" s="103"/>
      <c r="M589" s="103"/>
      <c r="N589" s="103"/>
      <c r="O589" s="103"/>
      <c r="P589" s="103"/>
      <c r="Q589" s="102"/>
      <c r="R589" s="102"/>
      <c r="S589" s="102"/>
      <c r="T589" s="102"/>
      <c r="U589" s="102"/>
      <c r="V589" s="102"/>
      <c r="W589" s="102"/>
      <c r="X589" s="102"/>
      <c r="Y589" s="102"/>
      <c r="Z589" s="102"/>
      <c r="AA589" s="102"/>
      <c r="AB589" s="102"/>
      <c r="AC589" s="102"/>
      <c r="AD589" s="102"/>
      <c r="AE589" s="102"/>
      <c r="AF589" s="102"/>
    </row>
    <row r="590" spans="1:32" ht="75" customHeight="1">
      <c r="A590" s="102"/>
      <c r="B590" s="102"/>
      <c r="C590" s="102"/>
      <c r="D590" s="70"/>
      <c r="E590" s="102"/>
      <c r="F590" s="102"/>
      <c r="G590" s="102"/>
      <c r="H590" s="102"/>
      <c r="I590" s="102"/>
      <c r="J590" s="102"/>
      <c r="K590" s="103"/>
      <c r="L590" s="103"/>
      <c r="M590" s="103"/>
      <c r="N590" s="103"/>
      <c r="O590" s="103"/>
      <c r="P590" s="103"/>
      <c r="Q590" s="102"/>
      <c r="R590" s="102"/>
      <c r="S590" s="102"/>
      <c r="T590" s="102"/>
      <c r="U590" s="102"/>
      <c r="V590" s="102"/>
      <c r="W590" s="102"/>
      <c r="X590" s="102"/>
      <c r="Y590" s="102"/>
      <c r="Z590" s="102"/>
      <c r="AA590" s="102"/>
      <c r="AB590" s="102"/>
      <c r="AC590" s="102"/>
      <c r="AD590" s="102"/>
      <c r="AE590" s="102"/>
      <c r="AF590" s="102"/>
    </row>
    <row r="591" spans="1:32" ht="75" customHeight="1">
      <c r="A591" s="102"/>
      <c r="B591" s="102"/>
      <c r="C591" s="102"/>
      <c r="D591" s="70"/>
      <c r="E591" s="102"/>
      <c r="F591" s="102"/>
      <c r="G591" s="102"/>
      <c r="H591" s="102"/>
      <c r="I591" s="102"/>
      <c r="J591" s="102"/>
      <c r="K591" s="103"/>
      <c r="L591" s="103"/>
      <c r="M591" s="103"/>
      <c r="N591" s="103"/>
      <c r="O591" s="103"/>
      <c r="P591" s="103"/>
      <c r="Q591" s="102"/>
      <c r="R591" s="102"/>
      <c r="S591" s="102"/>
      <c r="T591" s="102"/>
      <c r="U591" s="102"/>
      <c r="V591" s="102"/>
      <c r="W591" s="102"/>
      <c r="X591" s="102"/>
      <c r="Y591" s="102"/>
      <c r="Z591" s="102"/>
      <c r="AA591" s="102"/>
      <c r="AB591" s="102"/>
      <c r="AC591" s="102"/>
      <c r="AD591" s="102"/>
      <c r="AE591" s="102"/>
      <c r="AF591" s="102"/>
    </row>
    <row r="592" spans="1:32" ht="75" customHeight="1">
      <c r="A592" s="102"/>
      <c r="B592" s="102"/>
      <c r="C592" s="102"/>
      <c r="D592" s="70"/>
      <c r="E592" s="102"/>
      <c r="F592" s="102"/>
      <c r="G592" s="102"/>
      <c r="H592" s="102"/>
      <c r="I592" s="102"/>
      <c r="J592" s="102"/>
      <c r="K592" s="103"/>
      <c r="L592" s="103"/>
      <c r="M592" s="103"/>
      <c r="N592" s="103"/>
      <c r="O592" s="103"/>
      <c r="P592" s="103"/>
      <c r="Q592" s="102"/>
      <c r="R592" s="102"/>
      <c r="S592" s="102"/>
      <c r="T592" s="102"/>
      <c r="U592" s="102"/>
      <c r="V592" s="102"/>
      <c r="W592" s="102"/>
      <c r="X592" s="102"/>
      <c r="Y592" s="102"/>
      <c r="Z592" s="102"/>
      <c r="AA592" s="102"/>
      <c r="AB592" s="102"/>
      <c r="AC592" s="102"/>
      <c r="AD592" s="102"/>
      <c r="AE592" s="102"/>
      <c r="AF592" s="102"/>
    </row>
    <row r="593" spans="1:32" ht="75" customHeight="1">
      <c r="A593" s="102"/>
      <c r="B593" s="102"/>
      <c r="C593" s="102"/>
      <c r="D593" s="70"/>
      <c r="E593" s="102"/>
      <c r="F593" s="102"/>
      <c r="G593" s="102"/>
      <c r="H593" s="102"/>
      <c r="I593" s="102"/>
      <c r="J593" s="102"/>
      <c r="K593" s="103"/>
      <c r="L593" s="103"/>
      <c r="M593" s="103"/>
      <c r="N593" s="103"/>
      <c r="O593" s="103"/>
      <c r="P593" s="103"/>
      <c r="Q593" s="102"/>
      <c r="R593" s="102"/>
      <c r="S593" s="102"/>
      <c r="T593" s="102"/>
      <c r="U593" s="102"/>
      <c r="V593" s="102"/>
      <c r="W593" s="102"/>
      <c r="X593" s="102"/>
      <c r="Y593" s="102"/>
      <c r="Z593" s="102"/>
      <c r="AA593" s="102"/>
      <c r="AB593" s="102"/>
      <c r="AC593" s="102"/>
      <c r="AD593" s="102"/>
      <c r="AE593" s="102"/>
      <c r="AF593" s="102"/>
    </row>
    <row r="594" spans="1:32" ht="75" customHeight="1">
      <c r="A594" s="102"/>
      <c r="B594" s="102"/>
      <c r="C594" s="102"/>
      <c r="D594" s="70"/>
      <c r="E594" s="102"/>
      <c r="F594" s="102"/>
      <c r="G594" s="102"/>
      <c r="H594" s="102"/>
      <c r="I594" s="102"/>
      <c r="J594" s="102"/>
      <c r="K594" s="103"/>
      <c r="L594" s="103"/>
      <c r="M594" s="103"/>
      <c r="N594" s="103"/>
      <c r="O594" s="103"/>
      <c r="P594" s="103"/>
      <c r="Q594" s="102"/>
      <c r="R594" s="102"/>
      <c r="S594" s="102"/>
      <c r="T594" s="102"/>
      <c r="U594" s="102"/>
      <c r="V594" s="102"/>
      <c r="W594" s="102"/>
      <c r="X594" s="102"/>
      <c r="Y594" s="102"/>
      <c r="Z594" s="102"/>
      <c r="AA594" s="102"/>
      <c r="AB594" s="102"/>
      <c r="AC594" s="102"/>
      <c r="AD594" s="102"/>
      <c r="AE594" s="102"/>
      <c r="AF594" s="102"/>
    </row>
    <row r="595" spans="1:32" ht="75" customHeight="1">
      <c r="A595" s="102"/>
      <c r="B595" s="102"/>
      <c r="C595" s="102"/>
      <c r="D595" s="70"/>
      <c r="E595" s="102"/>
      <c r="F595" s="102"/>
      <c r="G595" s="102"/>
      <c r="H595" s="102"/>
      <c r="I595" s="102"/>
      <c r="J595" s="102"/>
      <c r="K595" s="103"/>
      <c r="L595" s="103"/>
      <c r="M595" s="103"/>
      <c r="N595" s="103"/>
      <c r="O595" s="103"/>
      <c r="P595" s="103"/>
      <c r="Q595" s="102"/>
      <c r="R595" s="102"/>
      <c r="S595" s="102"/>
      <c r="T595" s="102"/>
      <c r="U595" s="102"/>
      <c r="V595" s="102"/>
      <c r="W595" s="102"/>
      <c r="X595" s="102"/>
      <c r="Y595" s="102"/>
      <c r="Z595" s="102"/>
      <c r="AA595" s="102"/>
      <c r="AB595" s="102"/>
      <c r="AC595" s="102"/>
      <c r="AD595" s="102"/>
      <c r="AE595" s="102"/>
      <c r="AF595" s="102"/>
    </row>
    <row r="596" spans="1:32" ht="75" customHeight="1">
      <c r="A596" s="102"/>
      <c r="B596" s="102"/>
      <c r="C596" s="102"/>
      <c r="D596" s="70"/>
      <c r="E596" s="102"/>
      <c r="F596" s="102"/>
      <c r="G596" s="102"/>
      <c r="H596" s="102"/>
      <c r="I596" s="102"/>
      <c r="J596" s="102"/>
      <c r="K596" s="103"/>
      <c r="L596" s="103"/>
      <c r="M596" s="103"/>
      <c r="N596" s="103"/>
      <c r="O596" s="103"/>
      <c r="P596" s="103"/>
      <c r="Q596" s="102"/>
      <c r="R596" s="102"/>
      <c r="S596" s="102"/>
      <c r="T596" s="102"/>
      <c r="U596" s="102"/>
      <c r="V596" s="102"/>
      <c r="W596" s="102"/>
      <c r="X596" s="102"/>
      <c r="Y596" s="102"/>
      <c r="Z596" s="102"/>
      <c r="AA596" s="102"/>
      <c r="AB596" s="102"/>
      <c r="AC596" s="102"/>
      <c r="AD596" s="102"/>
      <c r="AE596" s="102"/>
      <c r="AF596" s="102"/>
    </row>
    <row r="597" spans="1:32" ht="75" customHeight="1">
      <c r="A597" s="102"/>
      <c r="B597" s="102"/>
      <c r="C597" s="102"/>
      <c r="D597" s="70"/>
      <c r="E597" s="102"/>
      <c r="F597" s="102"/>
      <c r="G597" s="102"/>
      <c r="H597" s="102"/>
      <c r="I597" s="102"/>
      <c r="J597" s="102"/>
      <c r="K597" s="103"/>
      <c r="L597" s="103"/>
      <c r="M597" s="103"/>
      <c r="N597" s="103"/>
      <c r="O597" s="103"/>
      <c r="P597" s="103"/>
      <c r="Q597" s="102"/>
      <c r="R597" s="102"/>
      <c r="S597" s="102"/>
      <c r="T597" s="102"/>
      <c r="U597" s="102"/>
      <c r="V597" s="102"/>
      <c r="W597" s="102"/>
      <c r="X597" s="102"/>
      <c r="Y597" s="102"/>
      <c r="Z597" s="102"/>
      <c r="AA597" s="102"/>
      <c r="AB597" s="102"/>
      <c r="AC597" s="102"/>
      <c r="AD597" s="102"/>
      <c r="AE597" s="102"/>
      <c r="AF597" s="102"/>
    </row>
    <row r="598" spans="1:32" ht="75" customHeight="1">
      <c r="A598" s="102"/>
      <c r="B598" s="102"/>
      <c r="C598" s="102"/>
      <c r="D598" s="70"/>
      <c r="E598" s="102"/>
      <c r="F598" s="102"/>
      <c r="G598" s="102"/>
      <c r="H598" s="102"/>
      <c r="I598" s="102"/>
      <c r="J598" s="102"/>
      <c r="K598" s="103"/>
      <c r="L598" s="103"/>
      <c r="M598" s="103"/>
      <c r="N598" s="103"/>
      <c r="O598" s="103"/>
      <c r="P598" s="103"/>
      <c r="Q598" s="102"/>
      <c r="R598" s="102"/>
      <c r="S598" s="102"/>
      <c r="T598" s="102"/>
      <c r="U598" s="102"/>
      <c r="V598" s="102"/>
      <c r="W598" s="102"/>
      <c r="X598" s="102"/>
      <c r="Y598" s="102"/>
      <c r="Z598" s="102"/>
      <c r="AA598" s="102"/>
      <c r="AB598" s="102"/>
      <c r="AC598" s="102"/>
      <c r="AD598" s="102"/>
      <c r="AE598" s="102"/>
      <c r="AF598" s="102"/>
    </row>
    <row r="599" spans="1:32" ht="75" customHeight="1">
      <c r="A599" s="102"/>
      <c r="B599" s="102"/>
      <c r="C599" s="102"/>
      <c r="D599" s="70"/>
      <c r="E599" s="102"/>
      <c r="F599" s="102"/>
      <c r="G599" s="102"/>
      <c r="H599" s="102"/>
      <c r="I599" s="102"/>
      <c r="J599" s="102"/>
      <c r="K599" s="103"/>
      <c r="L599" s="103"/>
      <c r="M599" s="103"/>
      <c r="N599" s="103"/>
      <c r="O599" s="103"/>
      <c r="P599" s="103"/>
      <c r="Q599" s="102"/>
      <c r="R599" s="102"/>
      <c r="S599" s="102"/>
      <c r="T599" s="102"/>
      <c r="U599" s="102"/>
      <c r="V599" s="102"/>
      <c r="W599" s="102"/>
      <c r="X599" s="102"/>
      <c r="Y599" s="102"/>
      <c r="Z599" s="102"/>
      <c r="AA599" s="102"/>
      <c r="AB599" s="102"/>
      <c r="AC599" s="102"/>
      <c r="AD599" s="102"/>
      <c r="AE599" s="102"/>
      <c r="AF599" s="102"/>
    </row>
    <row r="600" spans="1:32" ht="75" customHeight="1">
      <c r="A600" s="102"/>
      <c r="B600" s="102"/>
      <c r="C600" s="102"/>
      <c r="D600" s="70"/>
      <c r="E600" s="102"/>
      <c r="F600" s="102"/>
      <c r="G600" s="102"/>
      <c r="H600" s="102"/>
      <c r="I600" s="102"/>
      <c r="J600" s="102"/>
      <c r="K600" s="103"/>
      <c r="L600" s="103"/>
      <c r="M600" s="103"/>
      <c r="N600" s="103"/>
      <c r="O600" s="103"/>
      <c r="P600" s="103"/>
      <c r="Q600" s="102"/>
      <c r="R600" s="102"/>
      <c r="S600" s="102"/>
      <c r="T600" s="102"/>
      <c r="U600" s="102"/>
      <c r="V600" s="102"/>
      <c r="W600" s="102"/>
      <c r="X600" s="102"/>
      <c r="Y600" s="102"/>
      <c r="Z600" s="102"/>
      <c r="AA600" s="102"/>
      <c r="AB600" s="102"/>
      <c r="AC600" s="102"/>
      <c r="AD600" s="102"/>
      <c r="AE600" s="102"/>
      <c r="AF600" s="102"/>
    </row>
    <row r="601" spans="1:32" ht="75" customHeight="1">
      <c r="A601" s="102"/>
      <c r="B601" s="102"/>
      <c r="C601" s="102"/>
      <c r="D601" s="70"/>
      <c r="E601" s="102"/>
      <c r="F601" s="102"/>
      <c r="G601" s="102"/>
      <c r="H601" s="102"/>
      <c r="I601" s="102"/>
      <c r="J601" s="102"/>
      <c r="K601" s="103"/>
      <c r="L601" s="103"/>
      <c r="M601" s="103"/>
      <c r="N601" s="103"/>
      <c r="O601" s="103"/>
      <c r="P601" s="103"/>
      <c r="Q601" s="102"/>
      <c r="R601" s="102"/>
      <c r="S601" s="102"/>
      <c r="T601" s="102"/>
      <c r="U601" s="102"/>
      <c r="V601" s="102"/>
      <c r="W601" s="102"/>
      <c r="X601" s="102"/>
      <c r="Y601" s="102"/>
      <c r="Z601" s="102"/>
      <c r="AA601" s="102"/>
      <c r="AB601" s="102"/>
      <c r="AC601" s="102"/>
      <c r="AD601" s="102"/>
      <c r="AE601" s="102"/>
      <c r="AF601" s="102"/>
    </row>
    <row r="602" spans="1:32" ht="75" customHeight="1">
      <c r="A602" s="102"/>
      <c r="B602" s="102"/>
      <c r="C602" s="102"/>
      <c r="D602" s="70"/>
      <c r="E602" s="102"/>
      <c r="F602" s="102"/>
      <c r="G602" s="102"/>
      <c r="H602" s="102"/>
      <c r="I602" s="102"/>
      <c r="J602" s="102"/>
      <c r="K602" s="103"/>
      <c r="L602" s="103"/>
      <c r="M602" s="103"/>
      <c r="N602" s="103"/>
      <c r="O602" s="103"/>
      <c r="P602" s="103"/>
      <c r="Q602" s="102"/>
      <c r="R602" s="102"/>
      <c r="S602" s="102"/>
      <c r="T602" s="102"/>
      <c r="U602" s="102"/>
      <c r="V602" s="102"/>
      <c r="W602" s="102"/>
      <c r="X602" s="102"/>
      <c r="Y602" s="102"/>
      <c r="Z602" s="102"/>
      <c r="AA602" s="102"/>
      <c r="AB602" s="102"/>
      <c r="AC602" s="102"/>
      <c r="AD602" s="102"/>
      <c r="AE602" s="102"/>
      <c r="AF602" s="102"/>
    </row>
    <row r="603" spans="1:32" ht="75" customHeight="1">
      <c r="A603" s="102"/>
      <c r="B603" s="102"/>
      <c r="C603" s="102"/>
      <c r="D603" s="70"/>
      <c r="E603" s="102"/>
      <c r="F603" s="102"/>
      <c r="G603" s="102"/>
      <c r="H603" s="102"/>
      <c r="I603" s="102"/>
      <c r="J603" s="102"/>
      <c r="K603" s="103"/>
      <c r="L603" s="103"/>
      <c r="M603" s="103"/>
      <c r="N603" s="103"/>
      <c r="O603" s="103"/>
      <c r="P603" s="103"/>
      <c r="Q603" s="102"/>
      <c r="R603" s="102"/>
      <c r="S603" s="102"/>
      <c r="T603" s="102"/>
      <c r="U603" s="102"/>
      <c r="V603" s="102"/>
      <c r="W603" s="102"/>
      <c r="X603" s="102"/>
      <c r="Y603" s="102"/>
      <c r="Z603" s="102"/>
      <c r="AA603" s="102"/>
      <c r="AB603" s="102"/>
      <c r="AC603" s="102"/>
      <c r="AD603" s="102"/>
      <c r="AE603" s="102"/>
      <c r="AF603" s="102"/>
    </row>
    <row r="604" spans="1:32" ht="75" customHeight="1">
      <c r="A604" s="102"/>
      <c r="B604" s="102"/>
      <c r="C604" s="102"/>
      <c r="D604" s="70"/>
      <c r="E604" s="102"/>
      <c r="F604" s="102"/>
      <c r="G604" s="102"/>
      <c r="H604" s="102"/>
      <c r="I604" s="102"/>
      <c r="J604" s="102"/>
      <c r="K604" s="103"/>
      <c r="L604" s="103"/>
      <c r="M604" s="103"/>
      <c r="N604" s="103"/>
      <c r="O604" s="103"/>
      <c r="P604" s="103"/>
      <c r="Q604" s="102"/>
      <c r="R604" s="102"/>
      <c r="S604" s="102"/>
      <c r="T604" s="102"/>
      <c r="U604" s="102"/>
      <c r="V604" s="102"/>
      <c r="W604" s="102"/>
      <c r="X604" s="102"/>
      <c r="Y604" s="102"/>
      <c r="Z604" s="102"/>
      <c r="AA604" s="102"/>
      <c r="AB604" s="102"/>
      <c r="AC604" s="102"/>
      <c r="AD604" s="102"/>
      <c r="AE604" s="102"/>
      <c r="AF604" s="102"/>
    </row>
    <row r="605" spans="1:32" ht="75" customHeight="1">
      <c r="A605" s="102"/>
      <c r="B605" s="102"/>
      <c r="C605" s="102"/>
      <c r="D605" s="70"/>
      <c r="E605" s="102"/>
      <c r="F605" s="102"/>
      <c r="G605" s="102"/>
      <c r="H605" s="102"/>
      <c r="I605" s="102"/>
      <c r="J605" s="102"/>
      <c r="K605" s="103"/>
      <c r="L605" s="103"/>
      <c r="M605" s="103"/>
      <c r="N605" s="103"/>
      <c r="O605" s="103"/>
      <c r="P605" s="103"/>
      <c r="Q605" s="102"/>
      <c r="R605" s="102"/>
      <c r="S605" s="102"/>
      <c r="T605" s="102"/>
      <c r="U605" s="102"/>
      <c r="V605" s="102"/>
      <c r="W605" s="102"/>
      <c r="X605" s="102"/>
      <c r="Y605" s="102"/>
      <c r="Z605" s="102"/>
      <c r="AA605" s="102"/>
      <c r="AB605" s="102"/>
      <c r="AC605" s="102"/>
      <c r="AD605" s="102"/>
      <c r="AE605" s="102"/>
      <c r="AF605" s="102"/>
    </row>
    <row r="606" spans="1:32" ht="75" customHeight="1">
      <c r="A606" s="102"/>
      <c r="B606" s="102"/>
      <c r="C606" s="102"/>
      <c r="D606" s="70"/>
      <c r="E606" s="102"/>
      <c r="F606" s="102"/>
      <c r="G606" s="102"/>
      <c r="H606" s="102"/>
      <c r="I606" s="102"/>
      <c r="J606" s="102"/>
      <c r="K606" s="103"/>
      <c r="L606" s="103"/>
      <c r="M606" s="103"/>
      <c r="N606" s="103"/>
      <c r="O606" s="103"/>
      <c r="P606" s="103"/>
      <c r="Q606" s="102"/>
      <c r="R606" s="102"/>
      <c r="S606" s="102"/>
      <c r="T606" s="102"/>
      <c r="U606" s="102"/>
      <c r="V606" s="102"/>
      <c r="W606" s="102"/>
      <c r="X606" s="102"/>
      <c r="Y606" s="102"/>
      <c r="Z606" s="102"/>
      <c r="AA606" s="102"/>
      <c r="AB606" s="102"/>
      <c r="AC606" s="102"/>
      <c r="AD606" s="102"/>
      <c r="AE606" s="102"/>
      <c r="AF606" s="102"/>
    </row>
    <row r="607" spans="1:32" ht="75" customHeight="1">
      <c r="A607" s="102"/>
      <c r="B607" s="102"/>
      <c r="C607" s="102"/>
      <c r="D607" s="70"/>
      <c r="E607" s="102"/>
      <c r="F607" s="102"/>
      <c r="G607" s="102"/>
      <c r="H607" s="102"/>
      <c r="I607" s="102"/>
      <c r="J607" s="102"/>
      <c r="K607" s="103"/>
      <c r="L607" s="103"/>
      <c r="M607" s="103"/>
      <c r="N607" s="103"/>
      <c r="O607" s="103"/>
      <c r="P607" s="103"/>
      <c r="Q607" s="102"/>
      <c r="R607" s="102"/>
      <c r="S607" s="102"/>
      <c r="T607" s="102"/>
      <c r="U607" s="102"/>
      <c r="V607" s="102"/>
      <c r="W607" s="102"/>
      <c r="X607" s="102"/>
      <c r="Y607" s="102"/>
      <c r="Z607" s="102"/>
      <c r="AA607" s="102"/>
      <c r="AB607" s="102"/>
      <c r="AC607" s="102"/>
      <c r="AD607" s="102"/>
      <c r="AE607" s="102"/>
      <c r="AF607" s="102"/>
    </row>
    <row r="608" spans="1:32" ht="75" customHeight="1">
      <c r="A608" s="102"/>
      <c r="B608" s="102"/>
      <c r="C608" s="102"/>
      <c r="D608" s="70"/>
      <c r="E608" s="102"/>
      <c r="F608" s="102"/>
      <c r="G608" s="102"/>
      <c r="H608" s="102"/>
      <c r="I608" s="102"/>
      <c r="J608" s="102"/>
      <c r="K608" s="103"/>
      <c r="L608" s="103"/>
      <c r="M608" s="103"/>
      <c r="N608" s="103"/>
      <c r="O608" s="103"/>
      <c r="P608" s="103"/>
      <c r="Q608" s="102"/>
      <c r="R608" s="102"/>
      <c r="S608" s="102"/>
      <c r="T608" s="102"/>
      <c r="U608" s="102"/>
      <c r="V608" s="102"/>
      <c r="W608" s="102"/>
      <c r="X608" s="102"/>
      <c r="Y608" s="102"/>
      <c r="Z608" s="102"/>
      <c r="AA608" s="102"/>
      <c r="AB608" s="102"/>
      <c r="AC608" s="102"/>
      <c r="AD608" s="102"/>
      <c r="AE608" s="102"/>
      <c r="AF608" s="102"/>
    </row>
    <row r="609" spans="1:32" ht="75" customHeight="1">
      <c r="A609" s="102"/>
      <c r="B609" s="102"/>
      <c r="C609" s="102"/>
      <c r="D609" s="70"/>
      <c r="E609" s="102"/>
      <c r="F609" s="102"/>
      <c r="G609" s="102"/>
      <c r="H609" s="102"/>
      <c r="I609" s="102"/>
      <c r="J609" s="102"/>
      <c r="K609" s="103"/>
      <c r="L609" s="103"/>
      <c r="M609" s="103"/>
      <c r="N609" s="103"/>
      <c r="O609" s="103"/>
      <c r="P609" s="103"/>
      <c r="Q609" s="102"/>
      <c r="R609" s="102"/>
      <c r="S609" s="102"/>
      <c r="T609" s="102"/>
      <c r="U609" s="102"/>
      <c r="V609" s="102"/>
      <c r="W609" s="102"/>
      <c r="X609" s="102"/>
      <c r="Y609" s="102"/>
      <c r="Z609" s="102"/>
      <c r="AA609" s="102"/>
      <c r="AB609" s="102"/>
      <c r="AC609" s="102"/>
      <c r="AD609" s="102"/>
      <c r="AE609" s="102"/>
      <c r="AF609" s="102"/>
    </row>
    <row r="610" spans="1:32" ht="75" customHeight="1">
      <c r="A610" s="102"/>
      <c r="B610" s="102"/>
      <c r="C610" s="102"/>
      <c r="D610" s="70"/>
      <c r="E610" s="102"/>
      <c r="F610" s="102"/>
      <c r="G610" s="102"/>
      <c r="H610" s="102"/>
      <c r="I610" s="102"/>
      <c r="J610" s="102"/>
      <c r="K610" s="103"/>
      <c r="L610" s="103"/>
      <c r="M610" s="103"/>
      <c r="N610" s="103"/>
      <c r="O610" s="103"/>
      <c r="P610" s="103"/>
      <c r="Q610" s="102"/>
      <c r="R610" s="102"/>
      <c r="S610" s="102"/>
      <c r="T610" s="102"/>
      <c r="U610" s="102"/>
      <c r="V610" s="102"/>
      <c r="W610" s="102"/>
      <c r="X610" s="102"/>
      <c r="Y610" s="102"/>
      <c r="Z610" s="102"/>
      <c r="AA610" s="102"/>
      <c r="AB610" s="102"/>
      <c r="AC610" s="102"/>
      <c r="AD610" s="102"/>
      <c r="AE610" s="102"/>
      <c r="AF610" s="102"/>
    </row>
    <row r="611" spans="1:32" ht="75" customHeight="1">
      <c r="A611" s="102"/>
      <c r="B611" s="102"/>
      <c r="C611" s="102"/>
      <c r="D611" s="70"/>
      <c r="E611" s="102"/>
      <c r="F611" s="102"/>
      <c r="G611" s="102"/>
      <c r="H611" s="102"/>
      <c r="I611" s="102"/>
      <c r="J611" s="102"/>
      <c r="K611" s="103"/>
      <c r="L611" s="103"/>
      <c r="M611" s="103"/>
      <c r="N611" s="103"/>
      <c r="O611" s="103"/>
      <c r="P611" s="103"/>
      <c r="Q611" s="102"/>
      <c r="R611" s="102"/>
      <c r="S611" s="102"/>
      <c r="T611" s="102"/>
      <c r="U611" s="102"/>
      <c r="V611" s="102"/>
      <c r="W611" s="102"/>
      <c r="X611" s="102"/>
      <c r="Y611" s="102"/>
      <c r="Z611" s="102"/>
      <c r="AA611" s="102"/>
      <c r="AB611" s="102"/>
      <c r="AC611" s="102"/>
      <c r="AD611" s="102"/>
      <c r="AE611" s="102"/>
      <c r="AF611" s="102"/>
    </row>
    <row r="612" spans="1:32" ht="75" customHeight="1">
      <c r="A612" s="102"/>
      <c r="B612" s="102"/>
      <c r="C612" s="102"/>
      <c r="D612" s="70"/>
      <c r="E612" s="102"/>
      <c r="F612" s="102"/>
      <c r="G612" s="102"/>
      <c r="H612" s="102"/>
      <c r="I612" s="102"/>
      <c r="J612" s="102"/>
      <c r="K612" s="103"/>
      <c r="L612" s="103"/>
      <c r="M612" s="103"/>
      <c r="N612" s="103"/>
      <c r="O612" s="103"/>
      <c r="P612" s="103"/>
      <c r="Q612" s="102"/>
      <c r="R612" s="102"/>
      <c r="S612" s="102"/>
      <c r="T612" s="102"/>
      <c r="U612" s="102"/>
      <c r="V612" s="102"/>
      <c r="W612" s="102"/>
      <c r="X612" s="102"/>
      <c r="Y612" s="102"/>
      <c r="Z612" s="102"/>
      <c r="AA612" s="102"/>
      <c r="AB612" s="102"/>
      <c r="AC612" s="102"/>
      <c r="AD612" s="102"/>
      <c r="AE612" s="102"/>
      <c r="AF612" s="102"/>
    </row>
    <row r="613" spans="1:32" ht="75" customHeight="1">
      <c r="A613" s="102"/>
      <c r="B613" s="102"/>
      <c r="C613" s="102"/>
      <c r="D613" s="70"/>
      <c r="E613" s="102"/>
      <c r="F613" s="102"/>
      <c r="G613" s="102"/>
      <c r="H613" s="102"/>
      <c r="I613" s="102"/>
      <c r="J613" s="102"/>
      <c r="K613" s="103"/>
      <c r="L613" s="103"/>
      <c r="M613" s="103"/>
      <c r="N613" s="103"/>
      <c r="O613" s="103"/>
      <c r="P613" s="103"/>
      <c r="Q613" s="102"/>
      <c r="R613" s="102"/>
      <c r="S613" s="102"/>
      <c r="T613" s="102"/>
      <c r="U613" s="102"/>
      <c r="V613" s="102"/>
      <c r="W613" s="102"/>
      <c r="X613" s="102"/>
      <c r="Y613" s="102"/>
      <c r="Z613" s="102"/>
      <c r="AA613" s="102"/>
      <c r="AB613" s="102"/>
      <c r="AC613" s="102"/>
      <c r="AD613" s="102"/>
      <c r="AE613" s="102"/>
      <c r="AF613" s="102"/>
    </row>
    <row r="614" spans="1:32" ht="75" customHeight="1">
      <c r="A614" s="102"/>
      <c r="B614" s="102"/>
      <c r="C614" s="102"/>
      <c r="D614" s="70"/>
      <c r="E614" s="102"/>
      <c r="F614" s="102"/>
      <c r="G614" s="102"/>
      <c r="H614" s="102"/>
      <c r="I614" s="102"/>
      <c r="J614" s="102"/>
      <c r="K614" s="103"/>
      <c r="L614" s="103"/>
      <c r="M614" s="103"/>
      <c r="N614" s="103"/>
      <c r="O614" s="103"/>
      <c r="P614" s="103"/>
      <c r="Q614" s="102"/>
      <c r="R614" s="102"/>
      <c r="S614" s="102"/>
      <c r="T614" s="102"/>
      <c r="U614" s="102"/>
      <c r="V614" s="102"/>
      <c r="W614" s="102"/>
      <c r="X614" s="102"/>
      <c r="Y614" s="102"/>
      <c r="Z614" s="102"/>
      <c r="AA614" s="102"/>
      <c r="AB614" s="102"/>
      <c r="AC614" s="102"/>
      <c r="AD614" s="102"/>
      <c r="AE614" s="102"/>
      <c r="AF614" s="102"/>
    </row>
    <row r="615" spans="1:32" ht="75" customHeight="1">
      <c r="A615" s="102"/>
      <c r="B615" s="102"/>
      <c r="C615" s="102"/>
      <c r="D615" s="70"/>
      <c r="E615" s="102"/>
      <c r="F615" s="102"/>
      <c r="G615" s="102"/>
      <c r="H615" s="102"/>
      <c r="I615" s="102"/>
      <c r="J615" s="102"/>
      <c r="K615" s="103"/>
      <c r="L615" s="103"/>
      <c r="M615" s="103"/>
      <c r="N615" s="103"/>
      <c r="O615" s="103"/>
      <c r="P615" s="103"/>
      <c r="Q615" s="102"/>
      <c r="R615" s="102"/>
      <c r="S615" s="102"/>
      <c r="T615" s="102"/>
      <c r="U615" s="102"/>
      <c r="V615" s="102"/>
      <c r="W615" s="102"/>
      <c r="X615" s="102"/>
      <c r="Y615" s="102"/>
      <c r="Z615" s="102"/>
      <c r="AA615" s="102"/>
      <c r="AB615" s="102"/>
      <c r="AC615" s="102"/>
      <c r="AD615" s="102"/>
      <c r="AE615" s="102"/>
      <c r="AF615" s="102"/>
    </row>
    <row r="616" spans="1:32" ht="75" customHeight="1">
      <c r="A616" s="102"/>
      <c r="B616" s="102"/>
      <c r="C616" s="102"/>
      <c r="D616" s="70"/>
      <c r="E616" s="102"/>
      <c r="F616" s="102"/>
      <c r="G616" s="102"/>
      <c r="H616" s="102"/>
      <c r="I616" s="102"/>
      <c r="J616" s="102"/>
      <c r="K616" s="103"/>
      <c r="L616" s="103"/>
      <c r="M616" s="103"/>
      <c r="N616" s="103"/>
      <c r="O616" s="103"/>
      <c r="P616" s="103"/>
      <c r="Q616" s="102"/>
      <c r="R616" s="102"/>
      <c r="S616" s="102"/>
      <c r="T616" s="102"/>
      <c r="U616" s="102"/>
      <c r="V616" s="102"/>
      <c r="W616" s="102"/>
      <c r="X616" s="102"/>
      <c r="Y616" s="102"/>
      <c r="Z616" s="102"/>
      <c r="AA616" s="102"/>
      <c r="AB616" s="102"/>
      <c r="AC616" s="102"/>
      <c r="AD616" s="102"/>
      <c r="AE616" s="102"/>
      <c r="AF616" s="102"/>
    </row>
    <row r="617" spans="1:32" ht="75" customHeight="1">
      <c r="A617" s="102"/>
      <c r="B617" s="102"/>
      <c r="C617" s="102"/>
      <c r="D617" s="70"/>
      <c r="E617" s="102"/>
      <c r="F617" s="102"/>
      <c r="G617" s="102"/>
      <c r="H617" s="102"/>
      <c r="I617" s="102"/>
      <c r="J617" s="102"/>
      <c r="K617" s="103"/>
      <c r="L617" s="103"/>
      <c r="M617" s="103"/>
      <c r="N617" s="103"/>
      <c r="O617" s="103"/>
      <c r="P617" s="103"/>
      <c r="Q617" s="102"/>
      <c r="R617" s="102"/>
      <c r="S617" s="102"/>
      <c r="T617" s="102"/>
      <c r="U617" s="102"/>
      <c r="V617" s="102"/>
      <c r="W617" s="102"/>
      <c r="X617" s="102"/>
      <c r="Y617" s="102"/>
      <c r="Z617" s="102"/>
      <c r="AA617" s="102"/>
      <c r="AB617" s="102"/>
      <c r="AC617" s="102"/>
      <c r="AD617" s="102"/>
      <c r="AE617" s="102"/>
      <c r="AF617" s="102"/>
    </row>
    <row r="618" spans="1:32" ht="75" customHeight="1">
      <c r="A618" s="102"/>
      <c r="B618" s="102"/>
      <c r="C618" s="102"/>
      <c r="D618" s="70"/>
      <c r="E618" s="102"/>
      <c r="F618" s="102"/>
      <c r="G618" s="102"/>
      <c r="H618" s="102"/>
      <c r="I618" s="102"/>
      <c r="J618" s="102"/>
      <c r="K618" s="103"/>
      <c r="L618" s="103"/>
      <c r="M618" s="103"/>
      <c r="N618" s="103"/>
      <c r="O618" s="103"/>
      <c r="P618" s="103"/>
      <c r="Q618" s="102"/>
      <c r="R618" s="102"/>
      <c r="S618" s="102"/>
      <c r="T618" s="102"/>
      <c r="U618" s="102"/>
      <c r="V618" s="102"/>
      <c r="W618" s="102"/>
      <c r="X618" s="102"/>
      <c r="Y618" s="102"/>
      <c r="Z618" s="102"/>
      <c r="AA618" s="102"/>
      <c r="AB618" s="102"/>
      <c r="AC618" s="102"/>
      <c r="AD618" s="102"/>
      <c r="AE618" s="102"/>
      <c r="AF618" s="102"/>
    </row>
    <row r="619" spans="1:32" ht="75" customHeight="1">
      <c r="A619" s="102"/>
      <c r="B619" s="102"/>
      <c r="C619" s="102"/>
      <c r="D619" s="70"/>
      <c r="E619" s="102"/>
      <c r="F619" s="102"/>
      <c r="G619" s="102"/>
      <c r="H619" s="102"/>
      <c r="I619" s="102"/>
      <c r="J619" s="102"/>
      <c r="K619" s="103"/>
      <c r="L619" s="103"/>
      <c r="M619" s="103"/>
      <c r="N619" s="103"/>
      <c r="O619" s="103"/>
      <c r="P619" s="103"/>
      <c r="Q619" s="102"/>
      <c r="R619" s="102"/>
      <c r="S619" s="102"/>
      <c r="T619" s="102"/>
      <c r="U619" s="102"/>
      <c r="V619" s="102"/>
      <c r="W619" s="102"/>
      <c r="X619" s="102"/>
      <c r="Y619" s="102"/>
      <c r="Z619" s="102"/>
      <c r="AA619" s="102"/>
      <c r="AB619" s="102"/>
      <c r="AC619" s="102"/>
      <c r="AD619" s="102"/>
      <c r="AE619" s="102"/>
      <c r="AF619" s="102"/>
    </row>
    <row r="620" spans="1:32" ht="75" customHeight="1">
      <c r="A620" s="102"/>
      <c r="B620" s="102"/>
      <c r="C620" s="102"/>
      <c r="D620" s="70"/>
      <c r="E620" s="102"/>
      <c r="F620" s="102"/>
      <c r="G620" s="102"/>
      <c r="H620" s="102"/>
      <c r="I620" s="102"/>
      <c r="J620" s="102"/>
      <c r="K620" s="103"/>
      <c r="L620" s="103"/>
      <c r="M620" s="103"/>
      <c r="N620" s="103"/>
      <c r="O620" s="103"/>
      <c r="P620" s="103"/>
      <c r="Q620" s="102"/>
      <c r="R620" s="102"/>
      <c r="S620" s="102"/>
      <c r="T620" s="102"/>
      <c r="U620" s="102"/>
      <c r="V620" s="102"/>
      <c r="W620" s="102"/>
      <c r="X620" s="102"/>
      <c r="Y620" s="102"/>
      <c r="Z620" s="102"/>
      <c r="AA620" s="102"/>
      <c r="AB620" s="102"/>
      <c r="AC620" s="102"/>
      <c r="AD620" s="102"/>
      <c r="AE620" s="102"/>
      <c r="AF620" s="102"/>
    </row>
    <row r="621" spans="1:32" ht="75" customHeight="1">
      <c r="A621" s="102"/>
      <c r="B621" s="102"/>
      <c r="C621" s="102"/>
      <c r="D621" s="70"/>
      <c r="E621" s="102"/>
      <c r="F621" s="102"/>
      <c r="G621" s="102"/>
      <c r="H621" s="102"/>
      <c r="I621" s="102"/>
      <c r="J621" s="102"/>
      <c r="K621" s="103"/>
      <c r="L621" s="103"/>
      <c r="M621" s="103"/>
      <c r="N621" s="103"/>
      <c r="O621" s="103"/>
      <c r="P621" s="103"/>
      <c r="Q621" s="102"/>
      <c r="R621" s="102"/>
      <c r="S621" s="102"/>
      <c r="T621" s="102"/>
      <c r="U621" s="102"/>
      <c r="V621" s="102"/>
      <c r="W621" s="102"/>
      <c r="X621" s="102"/>
      <c r="Y621" s="102"/>
      <c r="Z621" s="102"/>
      <c r="AA621" s="102"/>
      <c r="AB621" s="102"/>
      <c r="AC621" s="102"/>
      <c r="AD621" s="102"/>
      <c r="AE621" s="102"/>
      <c r="AF621" s="102"/>
    </row>
    <row r="622" spans="1:32" ht="75" customHeight="1">
      <c r="A622" s="102"/>
      <c r="B622" s="102"/>
      <c r="C622" s="102"/>
      <c r="D622" s="70"/>
      <c r="E622" s="102"/>
      <c r="F622" s="102"/>
      <c r="G622" s="102"/>
      <c r="H622" s="102"/>
      <c r="I622" s="102"/>
      <c r="J622" s="102"/>
      <c r="K622" s="103"/>
      <c r="L622" s="103"/>
      <c r="M622" s="103"/>
      <c r="N622" s="103"/>
      <c r="O622" s="103"/>
      <c r="P622" s="103"/>
      <c r="Q622" s="102"/>
      <c r="R622" s="102"/>
      <c r="S622" s="102"/>
      <c r="T622" s="102"/>
      <c r="U622" s="102"/>
      <c r="V622" s="102"/>
      <c r="W622" s="102"/>
      <c r="X622" s="102"/>
      <c r="Y622" s="102"/>
      <c r="Z622" s="102"/>
      <c r="AA622" s="102"/>
      <c r="AB622" s="102"/>
      <c r="AC622" s="102"/>
      <c r="AD622" s="102"/>
      <c r="AE622" s="102"/>
      <c r="AF622" s="102"/>
    </row>
    <row r="623" spans="1:32" ht="75" customHeight="1">
      <c r="A623" s="102"/>
      <c r="B623" s="102"/>
      <c r="C623" s="102"/>
      <c r="D623" s="70"/>
      <c r="E623" s="102"/>
      <c r="F623" s="102"/>
      <c r="G623" s="102"/>
      <c r="H623" s="102"/>
      <c r="I623" s="102"/>
      <c r="J623" s="102"/>
      <c r="K623" s="103"/>
      <c r="L623" s="103"/>
      <c r="M623" s="103"/>
      <c r="N623" s="103"/>
      <c r="O623" s="103"/>
      <c r="P623" s="103"/>
      <c r="Q623" s="102"/>
      <c r="R623" s="102"/>
      <c r="S623" s="102"/>
      <c r="T623" s="102"/>
      <c r="U623" s="102"/>
      <c r="V623" s="102"/>
      <c r="W623" s="102"/>
      <c r="X623" s="102"/>
      <c r="Y623" s="102"/>
      <c r="Z623" s="102"/>
      <c r="AA623" s="102"/>
      <c r="AB623" s="102"/>
      <c r="AC623" s="102"/>
      <c r="AD623" s="102"/>
      <c r="AE623" s="102"/>
      <c r="AF623" s="102"/>
    </row>
    <row r="624" spans="1:32" ht="75" customHeight="1">
      <c r="A624" s="102"/>
      <c r="B624" s="102"/>
      <c r="C624" s="102"/>
      <c r="D624" s="70"/>
      <c r="E624" s="102"/>
      <c r="F624" s="102"/>
      <c r="G624" s="102"/>
      <c r="H624" s="102"/>
      <c r="I624" s="102"/>
      <c r="J624" s="102"/>
      <c r="K624" s="103"/>
      <c r="L624" s="103"/>
      <c r="M624" s="103"/>
      <c r="N624" s="103"/>
      <c r="O624" s="103"/>
      <c r="P624" s="103"/>
      <c r="Q624" s="102"/>
      <c r="R624" s="102"/>
      <c r="S624" s="102"/>
      <c r="T624" s="102"/>
      <c r="U624" s="102"/>
      <c r="V624" s="102"/>
      <c r="W624" s="102"/>
      <c r="X624" s="102"/>
      <c r="Y624" s="102"/>
      <c r="Z624" s="102"/>
      <c r="AA624" s="102"/>
      <c r="AB624" s="102"/>
      <c r="AC624" s="102"/>
      <c r="AD624" s="102"/>
      <c r="AE624" s="102"/>
      <c r="AF624" s="102"/>
    </row>
    <row r="625" spans="1:32" ht="75" customHeight="1">
      <c r="A625" s="102"/>
      <c r="B625" s="102"/>
      <c r="C625" s="102"/>
      <c r="D625" s="70"/>
      <c r="E625" s="102"/>
      <c r="F625" s="102"/>
      <c r="G625" s="102"/>
      <c r="H625" s="102"/>
      <c r="I625" s="102"/>
      <c r="J625" s="102"/>
      <c r="K625" s="103"/>
      <c r="L625" s="103"/>
      <c r="M625" s="103"/>
      <c r="N625" s="103"/>
      <c r="O625" s="103"/>
      <c r="P625" s="103"/>
      <c r="Q625" s="102"/>
      <c r="R625" s="102"/>
      <c r="S625" s="102"/>
      <c r="T625" s="102"/>
      <c r="U625" s="102"/>
      <c r="V625" s="102"/>
      <c r="W625" s="102"/>
      <c r="X625" s="102"/>
      <c r="Y625" s="102"/>
      <c r="Z625" s="102"/>
      <c r="AA625" s="102"/>
      <c r="AB625" s="102"/>
      <c r="AC625" s="102"/>
      <c r="AD625" s="102"/>
      <c r="AE625" s="102"/>
      <c r="AF625" s="102"/>
    </row>
    <row r="626" spans="1:32" ht="75" customHeight="1">
      <c r="A626" s="102"/>
      <c r="B626" s="102"/>
      <c r="C626" s="102"/>
      <c r="D626" s="70"/>
      <c r="E626" s="102"/>
      <c r="F626" s="102"/>
      <c r="G626" s="102"/>
      <c r="H626" s="102"/>
      <c r="I626" s="102"/>
      <c r="J626" s="102"/>
      <c r="K626" s="103"/>
      <c r="L626" s="103"/>
      <c r="M626" s="103"/>
      <c r="N626" s="103"/>
      <c r="O626" s="103"/>
      <c r="P626" s="103"/>
      <c r="Q626" s="102"/>
      <c r="R626" s="102"/>
      <c r="S626" s="102"/>
      <c r="T626" s="102"/>
      <c r="U626" s="102"/>
      <c r="V626" s="102"/>
      <c r="W626" s="102"/>
      <c r="X626" s="102"/>
      <c r="Y626" s="102"/>
      <c r="Z626" s="102"/>
      <c r="AA626" s="102"/>
      <c r="AB626" s="102"/>
      <c r="AC626" s="102"/>
      <c r="AD626" s="102"/>
      <c r="AE626" s="102"/>
      <c r="AF626" s="102"/>
    </row>
    <row r="627" spans="1:32" ht="75" customHeight="1">
      <c r="A627" s="102"/>
      <c r="B627" s="102"/>
      <c r="C627" s="102"/>
      <c r="D627" s="70"/>
      <c r="E627" s="102"/>
      <c r="F627" s="102"/>
      <c r="G627" s="102"/>
      <c r="H627" s="102"/>
      <c r="I627" s="102"/>
      <c r="J627" s="102"/>
      <c r="K627" s="103"/>
      <c r="L627" s="103"/>
      <c r="M627" s="103"/>
      <c r="N627" s="103"/>
      <c r="O627" s="103"/>
      <c r="P627" s="103"/>
      <c r="Q627" s="102"/>
      <c r="R627" s="102"/>
      <c r="S627" s="102"/>
      <c r="T627" s="102"/>
      <c r="U627" s="102"/>
      <c r="V627" s="102"/>
      <c r="W627" s="102"/>
      <c r="X627" s="102"/>
      <c r="Y627" s="102"/>
      <c r="Z627" s="102"/>
      <c r="AA627" s="102"/>
      <c r="AB627" s="102"/>
      <c r="AC627" s="102"/>
      <c r="AD627" s="102"/>
      <c r="AE627" s="102"/>
      <c r="AF627" s="102"/>
    </row>
    <row r="628" spans="1:32" ht="75" customHeight="1">
      <c r="A628" s="102"/>
      <c r="B628" s="102"/>
      <c r="C628" s="102"/>
      <c r="D628" s="70"/>
      <c r="E628" s="102"/>
      <c r="F628" s="102"/>
      <c r="G628" s="102"/>
      <c r="H628" s="102"/>
      <c r="I628" s="102"/>
      <c r="J628" s="102"/>
      <c r="K628" s="103"/>
      <c r="L628" s="103"/>
      <c r="M628" s="103"/>
      <c r="N628" s="103"/>
      <c r="O628" s="103"/>
      <c r="P628" s="103"/>
      <c r="Q628" s="102"/>
      <c r="R628" s="102"/>
      <c r="S628" s="102"/>
      <c r="T628" s="102"/>
      <c r="U628" s="102"/>
      <c r="V628" s="102"/>
      <c r="W628" s="102"/>
      <c r="X628" s="102"/>
      <c r="Y628" s="102"/>
      <c r="Z628" s="102"/>
      <c r="AA628" s="102"/>
      <c r="AB628" s="102"/>
      <c r="AC628" s="102"/>
      <c r="AD628" s="102"/>
      <c r="AE628" s="102"/>
      <c r="AF628" s="102"/>
    </row>
    <row r="629" spans="1:32" ht="75" customHeight="1">
      <c r="A629" s="102"/>
      <c r="B629" s="102"/>
      <c r="C629" s="102"/>
      <c r="D629" s="70"/>
      <c r="E629" s="102"/>
      <c r="F629" s="102"/>
      <c r="G629" s="102"/>
      <c r="H629" s="102"/>
      <c r="I629" s="102"/>
      <c r="J629" s="102"/>
      <c r="K629" s="103"/>
      <c r="L629" s="103"/>
      <c r="M629" s="103"/>
      <c r="N629" s="103"/>
      <c r="O629" s="103"/>
      <c r="P629" s="103"/>
      <c r="Q629" s="102"/>
      <c r="R629" s="102"/>
      <c r="S629" s="102"/>
      <c r="T629" s="102"/>
      <c r="U629" s="102"/>
      <c r="V629" s="102"/>
      <c r="W629" s="102"/>
      <c r="X629" s="102"/>
      <c r="Y629" s="102"/>
      <c r="Z629" s="102"/>
      <c r="AA629" s="102"/>
      <c r="AB629" s="102"/>
      <c r="AC629" s="102"/>
      <c r="AD629" s="102"/>
      <c r="AE629" s="102"/>
      <c r="AF629" s="102"/>
    </row>
    <row r="630" spans="1:32" ht="75" customHeight="1">
      <c r="A630" s="102"/>
      <c r="B630" s="102"/>
      <c r="C630" s="102"/>
      <c r="D630" s="70"/>
      <c r="E630" s="102"/>
      <c r="F630" s="102"/>
      <c r="G630" s="102"/>
      <c r="H630" s="102"/>
      <c r="I630" s="102"/>
      <c r="J630" s="102"/>
      <c r="K630" s="103"/>
      <c r="L630" s="103"/>
      <c r="M630" s="103"/>
      <c r="N630" s="103"/>
      <c r="O630" s="103"/>
      <c r="P630" s="103"/>
      <c r="Q630" s="102"/>
      <c r="R630" s="102"/>
      <c r="S630" s="102"/>
      <c r="T630" s="102"/>
      <c r="U630" s="102"/>
      <c r="V630" s="102"/>
      <c r="W630" s="102"/>
      <c r="X630" s="102"/>
      <c r="Y630" s="102"/>
      <c r="Z630" s="102"/>
      <c r="AA630" s="102"/>
      <c r="AB630" s="102"/>
      <c r="AC630" s="102"/>
      <c r="AD630" s="102"/>
      <c r="AE630" s="102"/>
      <c r="AF630" s="102"/>
    </row>
    <row r="631" spans="1:32" ht="75" customHeight="1">
      <c r="A631" s="102"/>
      <c r="B631" s="102"/>
      <c r="C631" s="102"/>
      <c r="D631" s="70"/>
      <c r="E631" s="102"/>
      <c r="F631" s="102"/>
      <c r="G631" s="102"/>
      <c r="H631" s="102"/>
      <c r="I631" s="102"/>
      <c r="J631" s="102"/>
      <c r="K631" s="103"/>
      <c r="L631" s="103"/>
      <c r="M631" s="103"/>
      <c r="N631" s="103"/>
      <c r="O631" s="103"/>
      <c r="P631" s="103"/>
      <c r="Q631" s="102"/>
      <c r="R631" s="102"/>
      <c r="S631" s="102"/>
      <c r="T631" s="102"/>
      <c r="U631" s="102"/>
      <c r="V631" s="102"/>
      <c r="W631" s="102"/>
      <c r="X631" s="102"/>
      <c r="Y631" s="102"/>
      <c r="Z631" s="102"/>
      <c r="AA631" s="102"/>
      <c r="AB631" s="102"/>
      <c r="AC631" s="102"/>
      <c r="AD631" s="102"/>
      <c r="AE631" s="102"/>
      <c r="AF631" s="102"/>
    </row>
    <row r="632" spans="1:32" ht="75" customHeight="1">
      <c r="A632" s="102"/>
      <c r="B632" s="102"/>
      <c r="C632" s="102"/>
      <c r="D632" s="70"/>
      <c r="E632" s="102"/>
      <c r="F632" s="102"/>
      <c r="G632" s="102"/>
      <c r="H632" s="102"/>
      <c r="I632" s="102"/>
      <c r="J632" s="102"/>
      <c r="K632" s="103"/>
      <c r="L632" s="103"/>
      <c r="M632" s="103"/>
      <c r="N632" s="103"/>
      <c r="O632" s="103"/>
      <c r="P632" s="103"/>
      <c r="Q632" s="102"/>
      <c r="R632" s="102"/>
      <c r="S632" s="102"/>
      <c r="T632" s="102"/>
      <c r="U632" s="102"/>
      <c r="V632" s="102"/>
      <c r="W632" s="102"/>
      <c r="X632" s="102"/>
      <c r="Y632" s="102"/>
      <c r="Z632" s="102"/>
      <c r="AA632" s="102"/>
      <c r="AB632" s="102"/>
      <c r="AC632" s="102"/>
      <c r="AD632" s="102"/>
      <c r="AE632" s="102"/>
      <c r="AF632" s="102"/>
    </row>
    <row r="633" spans="1:32" ht="75" customHeight="1">
      <c r="A633" s="102"/>
      <c r="B633" s="102"/>
      <c r="C633" s="102"/>
      <c r="D633" s="70"/>
      <c r="E633" s="102"/>
      <c r="F633" s="102"/>
      <c r="G633" s="102"/>
      <c r="H633" s="102"/>
      <c r="I633" s="102"/>
      <c r="J633" s="102"/>
      <c r="K633" s="103"/>
      <c r="L633" s="103"/>
      <c r="M633" s="103"/>
      <c r="N633" s="103"/>
      <c r="O633" s="103"/>
      <c r="P633" s="103"/>
      <c r="Q633" s="102"/>
      <c r="R633" s="102"/>
      <c r="S633" s="102"/>
      <c r="T633" s="102"/>
      <c r="U633" s="102"/>
      <c r="V633" s="102"/>
      <c r="W633" s="102"/>
      <c r="X633" s="102"/>
      <c r="Y633" s="102"/>
      <c r="Z633" s="102"/>
      <c r="AA633" s="102"/>
      <c r="AB633" s="102"/>
      <c r="AC633" s="102"/>
      <c r="AD633" s="102"/>
      <c r="AE633" s="102"/>
      <c r="AF633" s="102"/>
    </row>
    <row r="634" spans="1:32" ht="75" customHeight="1">
      <c r="A634" s="102"/>
      <c r="B634" s="102"/>
      <c r="C634" s="102"/>
      <c r="D634" s="70"/>
      <c r="E634" s="102"/>
      <c r="F634" s="102"/>
      <c r="G634" s="102"/>
      <c r="H634" s="102"/>
      <c r="I634" s="102"/>
      <c r="J634" s="102"/>
      <c r="K634" s="103"/>
      <c r="L634" s="103"/>
      <c r="M634" s="103"/>
      <c r="N634" s="103"/>
      <c r="O634" s="103"/>
      <c r="P634" s="103"/>
      <c r="Q634" s="102"/>
      <c r="R634" s="102"/>
      <c r="S634" s="102"/>
      <c r="T634" s="102"/>
      <c r="U634" s="102"/>
      <c r="V634" s="102"/>
      <c r="W634" s="102"/>
      <c r="X634" s="102"/>
      <c r="Y634" s="102"/>
      <c r="Z634" s="102"/>
      <c r="AA634" s="102"/>
      <c r="AB634" s="102"/>
      <c r="AC634" s="102"/>
      <c r="AD634" s="102"/>
      <c r="AE634" s="102"/>
      <c r="AF634" s="102"/>
    </row>
    <row r="635" spans="1:32" ht="75" customHeight="1">
      <c r="A635" s="102"/>
      <c r="B635" s="102"/>
      <c r="C635" s="102"/>
      <c r="D635" s="70"/>
      <c r="E635" s="102"/>
      <c r="F635" s="102"/>
      <c r="G635" s="102"/>
      <c r="H635" s="102"/>
      <c r="I635" s="102"/>
      <c r="J635" s="102"/>
      <c r="K635" s="103"/>
      <c r="L635" s="103"/>
      <c r="M635" s="103"/>
      <c r="N635" s="103"/>
      <c r="O635" s="103"/>
      <c r="P635" s="103"/>
      <c r="Q635" s="102"/>
      <c r="R635" s="102"/>
      <c r="S635" s="102"/>
      <c r="T635" s="102"/>
      <c r="U635" s="102"/>
      <c r="V635" s="102"/>
      <c r="W635" s="102"/>
      <c r="X635" s="102"/>
      <c r="Y635" s="102"/>
      <c r="Z635" s="102"/>
      <c r="AA635" s="102"/>
      <c r="AB635" s="102"/>
      <c r="AC635" s="102"/>
      <c r="AD635" s="102"/>
      <c r="AE635" s="102"/>
      <c r="AF635" s="102"/>
    </row>
    <row r="636" spans="1:32" ht="75" customHeight="1">
      <c r="A636" s="102"/>
      <c r="B636" s="102"/>
      <c r="C636" s="102"/>
      <c r="D636" s="70"/>
      <c r="E636" s="102"/>
      <c r="F636" s="102"/>
      <c r="G636" s="102"/>
      <c r="H636" s="102"/>
      <c r="I636" s="102"/>
      <c r="J636" s="102"/>
      <c r="K636" s="103"/>
      <c r="L636" s="103"/>
      <c r="M636" s="103"/>
      <c r="N636" s="103"/>
      <c r="O636" s="103"/>
      <c r="P636" s="103"/>
      <c r="Q636" s="102"/>
      <c r="R636" s="102"/>
      <c r="S636" s="102"/>
      <c r="T636" s="102"/>
      <c r="U636" s="102"/>
      <c r="V636" s="102"/>
      <c r="W636" s="102"/>
      <c r="X636" s="102"/>
      <c r="Y636" s="102"/>
      <c r="Z636" s="102"/>
      <c r="AA636" s="102"/>
      <c r="AB636" s="102"/>
      <c r="AC636" s="102"/>
      <c r="AD636" s="102"/>
      <c r="AE636" s="102"/>
      <c r="AF636" s="102"/>
    </row>
    <row r="637" spans="1:32" ht="75" customHeight="1">
      <c r="A637" s="102"/>
      <c r="B637" s="102"/>
      <c r="C637" s="102"/>
      <c r="D637" s="70"/>
      <c r="E637" s="102"/>
      <c r="F637" s="102"/>
      <c r="G637" s="102"/>
      <c r="H637" s="102"/>
      <c r="I637" s="102"/>
      <c r="J637" s="102"/>
      <c r="K637" s="103"/>
      <c r="L637" s="103"/>
      <c r="M637" s="103"/>
      <c r="N637" s="103"/>
      <c r="O637" s="103"/>
      <c r="P637" s="103"/>
      <c r="Q637" s="102"/>
      <c r="R637" s="102"/>
      <c r="S637" s="102"/>
      <c r="T637" s="102"/>
      <c r="U637" s="102"/>
      <c r="V637" s="102"/>
      <c r="W637" s="102"/>
      <c r="X637" s="102"/>
      <c r="Y637" s="102"/>
      <c r="Z637" s="102"/>
      <c r="AA637" s="102"/>
      <c r="AB637" s="102"/>
      <c r="AC637" s="102"/>
      <c r="AD637" s="102"/>
      <c r="AE637" s="102"/>
      <c r="AF637" s="102"/>
    </row>
    <row r="638" spans="1:32" ht="75" customHeight="1">
      <c r="A638" s="102"/>
      <c r="B638" s="102"/>
      <c r="C638" s="102"/>
      <c r="D638" s="70"/>
      <c r="E638" s="102"/>
      <c r="F638" s="102"/>
      <c r="G638" s="102"/>
      <c r="H638" s="102"/>
      <c r="I638" s="102"/>
      <c r="J638" s="102"/>
      <c r="K638" s="103"/>
      <c r="L638" s="103"/>
      <c r="M638" s="103"/>
      <c r="N638" s="103"/>
      <c r="O638" s="103"/>
      <c r="P638" s="103"/>
      <c r="Q638" s="102"/>
      <c r="R638" s="102"/>
      <c r="S638" s="102"/>
      <c r="T638" s="102"/>
      <c r="U638" s="102"/>
      <c r="V638" s="102"/>
      <c r="W638" s="102"/>
      <c r="X638" s="102"/>
      <c r="Y638" s="102"/>
      <c r="Z638" s="102"/>
      <c r="AA638" s="102"/>
      <c r="AB638" s="102"/>
      <c r="AC638" s="102"/>
      <c r="AD638" s="102"/>
      <c r="AE638" s="102"/>
      <c r="AF638" s="102"/>
    </row>
    <row r="639" spans="1:32" ht="75" customHeight="1">
      <c r="A639" s="102"/>
      <c r="B639" s="102"/>
      <c r="C639" s="102"/>
      <c r="D639" s="70"/>
      <c r="E639" s="102"/>
      <c r="F639" s="102"/>
      <c r="G639" s="102"/>
      <c r="H639" s="102"/>
      <c r="I639" s="102"/>
      <c r="J639" s="102"/>
      <c r="K639" s="103"/>
      <c r="L639" s="103"/>
      <c r="M639" s="103"/>
      <c r="N639" s="103"/>
      <c r="O639" s="103"/>
      <c r="P639" s="103"/>
      <c r="Q639" s="102"/>
      <c r="R639" s="102"/>
      <c r="S639" s="102"/>
      <c r="T639" s="102"/>
      <c r="U639" s="102"/>
      <c r="V639" s="102"/>
      <c r="W639" s="102"/>
      <c r="X639" s="102"/>
      <c r="Y639" s="102"/>
      <c r="Z639" s="102"/>
      <c r="AA639" s="102"/>
      <c r="AB639" s="102"/>
      <c r="AC639" s="102"/>
      <c r="AD639" s="102"/>
      <c r="AE639" s="102"/>
      <c r="AF639" s="102"/>
    </row>
    <row r="640" spans="1:32" ht="75" customHeight="1">
      <c r="A640" s="102"/>
      <c r="B640" s="102"/>
      <c r="C640" s="102"/>
      <c r="D640" s="70"/>
      <c r="E640" s="102"/>
      <c r="F640" s="102"/>
      <c r="G640" s="102"/>
      <c r="H640" s="102"/>
      <c r="I640" s="102"/>
      <c r="J640" s="102"/>
      <c r="K640" s="103"/>
      <c r="L640" s="103"/>
      <c r="M640" s="103"/>
      <c r="N640" s="103"/>
      <c r="O640" s="103"/>
      <c r="P640" s="103"/>
      <c r="Q640" s="102"/>
      <c r="R640" s="102"/>
      <c r="S640" s="102"/>
      <c r="T640" s="102"/>
      <c r="U640" s="102"/>
      <c r="V640" s="102"/>
      <c r="W640" s="102"/>
      <c r="X640" s="102"/>
      <c r="Y640" s="102"/>
      <c r="Z640" s="102"/>
      <c r="AA640" s="102"/>
      <c r="AB640" s="102"/>
      <c r="AC640" s="102"/>
      <c r="AD640" s="102"/>
      <c r="AE640" s="102"/>
      <c r="AF640" s="102"/>
    </row>
    <row r="641" spans="1:32" ht="75" customHeight="1">
      <c r="A641" s="102"/>
      <c r="B641" s="102"/>
      <c r="C641" s="102"/>
      <c r="D641" s="70"/>
      <c r="E641" s="102"/>
      <c r="F641" s="102"/>
      <c r="G641" s="102"/>
      <c r="H641" s="102"/>
      <c r="I641" s="102"/>
      <c r="J641" s="102"/>
      <c r="K641" s="103"/>
      <c r="L641" s="103"/>
      <c r="M641" s="103"/>
      <c r="N641" s="103"/>
      <c r="O641" s="103"/>
      <c r="P641" s="103"/>
      <c r="Q641" s="102"/>
      <c r="R641" s="102"/>
      <c r="S641" s="102"/>
      <c r="T641" s="102"/>
      <c r="U641" s="102"/>
      <c r="V641" s="102"/>
      <c r="W641" s="102"/>
      <c r="X641" s="102"/>
      <c r="Y641" s="102"/>
      <c r="Z641" s="102"/>
      <c r="AA641" s="102"/>
      <c r="AB641" s="102"/>
      <c r="AC641" s="102"/>
      <c r="AD641" s="102"/>
      <c r="AE641" s="102"/>
      <c r="AF641" s="102"/>
    </row>
    <row r="642" spans="1:32" ht="75" customHeight="1">
      <c r="A642" s="102"/>
      <c r="B642" s="102"/>
      <c r="C642" s="102"/>
      <c r="D642" s="70"/>
      <c r="E642" s="102"/>
      <c r="F642" s="102"/>
      <c r="G642" s="102"/>
      <c r="H642" s="102"/>
      <c r="I642" s="102"/>
      <c r="J642" s="102"/>
      <c r="K642" s="103"/>
      <c r="L642" s="103"/>
      <c r="M642" s="103"/>
      <c r="N642" s="103"/>
      <c r="O642" s="103"/>
      <c r="P642" s="103"/>
      <c r="Q642" s="102"/>
      <c r="R642" s="102"/>
      <c r="S642" s="102"/>
      <c r="T642" s="102"/>
      <c r="U642" s="102"/>
      <c r="V642" s="102"/>
      <c r="W642" s="102"/>
      <c r="X642" s="102"/>
      <c r="Y642" s="102"/>
      <c r="Z642" s="102"/>
      <c r="AA642" s="102"/>
      <c r="AB642" s="102"/>
      <c r="AC642" s="102"/>
      <c r="AD642" s="102"/>
      <c r="AE642" s="102"/>
      <c r="AF642" s="102"/>
    </row>
    <row r="643" spans="1:32" ht="75" customHeight="1">
      <c r="A643" s="102"/>
      <c r="B643" s="102"/>
      <c r="C643" s="102"/>
      <c r="D643" s="70"/>
      <c r="E643" s="102"/>
      <c r="F643" s="102"/>
      <c r="G643" s="102"/>
      <c r="H643" s="102"/>
      <c r="I643" s="102"/>
      <c r="J643" s="102"/>
      <c r="K643" s="103"/>
      <c r="L643" s="103"/>
      <c r="M643" s="103"/>
      <c r="N643" s="103"/>
      <c r="O643" s="103"/>
      <c r="P643" s="103"/>
      <c r="Q643" s="102"/>
      <c r="R643" s="102"/>
      <c r="S643" s="102"/>
      <c r="T643" s="102"/>
      <c r="U643" s="102"/>
      <c r="V643" s="102"/>
      <c r="W643" s="102"/>
      <c r="X643" s="102"/>
      <c r="Y643" s="102"/>
      <c r="Z643" s="102"/>
      <c r="AA643" s="102"/>
      <c r="AB643" s="102"/>
      <c r="AC643" s="102"/>
      <c r="AD643" s="102"/>
      <c r="AE643" s="102"/>
      <c r="AF643" s="102"/>
    </row>
    <row r="644" spans="1:32" ht="75" customHeight="1">
      <c r="A644" s="102"/>
      <c r="B644" s="102"/>
      <c r="C644" s="102"/>
      <c r="D644" s="70"/>
      <c r="E644" s="102"/>
      <c r="F644" s="102"/>
      <c r="G644" s="102"/>
      <c r="H644" s="102"/>
      <c r="I644" s="102"/>
      <c r="J644" s="102"/>
      <c r="K644" s="103"/>
      <c r="L644" s="103"/>
      <c r="M644" s="103"/>
      <c r="N644" s="103"/>
      <c r="O644" s="103"/>
      <c r="P644" s="103"/>
      <c r="Q644" s="102"/>
      <c r="R644" s="102"/>
      <c r="S644" s="102"/>
      <c r="T644" s="102"/>
      <c r="U644" s="102"/>
      <c r="V644" s="102"/>
      <c r="W644" s="102"/>
      <c r="X644" s="102"/>
      <c r="Y644" s="102"/>
      <c r="Z644" s="102"/>
      <c r="AA644" s="102"/>
      <c r="AB644" s="102"/>
      <c r="AC644" s="102"/>
      <c r="AD644" s="102"/>
      <c r="AE644" s="102"/>
      <c r="AF644" s="102"/>
    </row>
    <row r="645" spans="1:32" ht="75" customHeight="1">
      <c r="A645" s="102"/>
      <c r="B645" s="102"/>
      <c r="C645" s="102"/>
      <c r="D645" s="70"/>
      <c r="E645" s="102"/>
      <c r="F645" s="102"/>
      <c r="G645" s="102"/>
      <c r="H645" s="102"/>
      <c r="I645" s="102"/>
      <c r="J645" s="102"/>
      <c r="K645" s="103"/>
      <c r="L645" s="103"/>
      <c r="M645" s="103"/>
      <c r="N645" s="103"/>
      <c r="O645" s="103"/>
      <c r="P645" s="103"/>
      <c r="Q645" s="102"/>
      <c r="R645" s="102"/>
      <c r="S645" s="102"/>
      <c r="T645" s="102"/>
      <c r="U645" s="102"/>
      <c r="V645" s="102"/>
      <c r="W645" s="102"/>
      <c r="X645" s="102"/>
      <c r="Y645" s="102"/>
      <c r="Z645" s="102"/>
      <c r="AA645" s="102"/>
      <c r="AB645" s="102"/>
      <c r="AC645" s="102"/>
      <c r="AD645" s="102"/>
      <c r="AE645" s="102"/>
      <c r="AF645" s="102"/>
    </row>
    <row r="646" spans="1:32" ht="75" customHeight="1">
      <c r="A646" s="102"/>
      <c r="B646" s="102"/>
      <c r="C646" s="102"/>
      <c r="D646" s="70"/>
      <c r="E646" s="102"/>
      <c r="F646" s="102"/>
      <c r="G646" s="102"/>
      <c r="H646" s="102"/>
      <c r="I646" s="102"/>
      <c r="J646" s="102"/>
      <c r="K646" s="103"/>
      <c r="L646" s="103"/>
      <c r="M646" s="103"/>
      <c r="N646" s="103"/>
      <c r="O646" s="103"/>
      <c r="P646" s="103"/>
      <c r="Q646" s="102"/>
      <c r="R646" s="102"/>
      <c r="S646" s="102"/>
      <c r="T646" s="102"/>
      <c r="U646" s="102"/>
      <c r="V646" s="102"/>
      <c r="W646" s="102"/>
      <c r="X646" s="102"/>
      <c r="Y646" s="102"/>
      <c r="Z646" s="102"/>
      <c r="AA646" s="102"/>
      <c r="AB646" s="102"/>
      <c r="AC646" s="102"/>
      <c r="AD646" s="102"/>
      <c r="AE646" s="102"/>
      <c r="AF646" s="102"/>
    </row>
    <row r="647" spans="1:32" ht="75" customHeight="1">
      <c r="A647" s="102"/>
      <c r="B647" s="102"/>
      <c r="C647" s="102"/>
      <c r="D647" s="70"/>
      <c r="E647" s="102"/>
      <c r="F647" s="102"/>
      <c r="G647" s="102"/>
      <c r="H647" s="102"/>
      <c r="I647" s="102"/>
      <c r="J647" s="102"/>
      <c r="K647" s="103"/>
      <c r="L647" s="103"/>
      <c r="M647" s="103"/>
      <c r="N647" s="103"/>
      <c r="O647" s="103"/>
      <c r="P647" s="103"/>
      <c r="Q647" s="102"/>
      <c r="R647" s="102"/>
      <c r="S647" s="102"/>
      <c r="T647" s="102"/>
      <c r="U647" s="102"/>
      <c r="V647" s="102"/>
      <c r="W647" s="102"/>
      <c r="X647" s="102"/>
      <c r="Y647" s="102"/>
      <c r="Z647" s="102"/>
      <c r="AA647" s="102"/>
      <c r="AB647" s="102"/>
      <c r="AC647" s="102"/>
      <c r="AD647" s="102"/>
      <c r="AE647" s="102"/>
      <c r="AF647" s="102"/>
    </row>
    <row r="648" spans="1:32" ht="75" customHeight="1">
      <c r="A648" s="102"/>
      <c r="B648" s="102"/>
      <c r="C648" s="102"/>
      <c r="D648" s="70"/>
      <c r="E648" s="102"/>
      <c r="F648" s="102"/>
      <c r="G648" s="102"/>
      <c r="H648" s="102"/>
      <c r="I648" s="102"/>
      <c r="J648" s="102"/>
      <c r="K648" s="103"/>
      <c r="L648" s="103"/>
      <c r="M648" s="103"/>
      <c r="N648" s="103"/>
      <c r="O648" s="103"/>
      <c r="P648" s="103"/>
      <c r="Q648" s="102"/>
      <c r="R648" s="102"/>
      <c r="S648" s="102"/>
      <c r="T648" s="102"/>
      <c r="U648" s="102"/>
      <c r="V648" s="102"/>
      <c r="W648" s="102"/>
      <c r="X648" s="102"/>
      <c r="Y648" s="102"/>
      <c r="Z648" s="102"/>
      <c r="AA648" s="102"/>
      <c r="AB648" s="102"/>
      <c r="AC648" s="102"/>
      <c r="AD648" s="102"/>
      <c r="AE648" s="102"/>
      <c r="AF648" s="102"/>
    </row>
    <row r="649" spans="1:32" ht="75" customHeight="1">
      <c r="A649" s="102"/>
      <c r="B649" s="102"/>
      <c r="C649" s="102"/>
      <c r="D649" s="70"/>
      <c r="E649" s="102"/>
      <c r="F649" s="102"/>
      <c r="G649" s="102"/>
      <c r="H649" s="102"/>
      <c r="I649" s="102"/>
      <c r="J649" s="102"/>
      <c r="K649" s="103"/>
      <c r="L649" s="103"/>
      <c r="M649" s="103"/>
      <c r="N649" s="103"/>
      <c r="O649" s="103"/>
      <c r="P649" s="103"/>
      <c r="Q649" s="102"/>
      <c r="R649" s="102"/>
      <c r="S649" s="102"/>
      <c r="T649" s="102"/>
      <c r="U649" s="102"/>
      <c r="V649" s="102"/>
      <c r="W649" s="102"/>
      <c r="X649" s="102"/>
      <c r="Y649" s="102"/>
      <c r="Z649" s="102"/>
      <c r="AA649" s="102"/>
      <c r="AB649" s="102"/>
      <c r="AC649" s="102"/>
      <c r="AD649" s="102"/>
      <c r="AE649" s="102"/>
      <c r="AF649" s="102"/>
    </row>
    <row r="650" spans="1:32" ht="75" customHeight="1">
      <c r="A650" s="102"/>
      <c r="B650" s="102"/>
      <c r="C650" s="102"/>
      <c r="D650" s="70"/>
      <c r="E650" s="102"/>
      <c r="F650" s="102"/>
      <c r="G650" s="102"/>
      <c r="H650" s="102"/>
      <c r="I650" s="102"/>
      <c r="J650" s="102"/>
      <c r="K650" s="103"/>
      <c r="L650" s="103"/>
      <c r="M650" s="103"/>
      <c r="N650" s="103"/>
      <c r="O650" s="103"/>
      <c r="P650" s="103"/>
      <c r="Q650" s="102"/>
      <c r="R650" s="102"/>
      <c r="S650" s="102"/>
      <c r="T650" s="102"/>
      <c r="U650" s="102"/>
      <c r="V650" s="102"/>
      <c r="W650" s="102"/>
      <c r="X650" s="102"/>
      <c r="Y650" s="102"/>
      <c r="Z650" s="102"/>
      <c r="AA650" s="102"/>
      <c r="AB650" s="102"/>
      <c r="AC650" s="102"/>
      <c r="AD650" s="102"/>
      <c r="AE650" s="102"/>
      <c r="AF650" s="102"/>
    </row>
    <row r="651" spans="1:32" ht="75" customHeight="1">
      <c r="A651" s="102"/>
      <c r="B651" s="102"/>
      <c r="C651" s="102"/>
      <c r="D651" s="70"/>
      <c r="E651" s="102"/>
      <c r="F651" s="102"/>
      <c r="G651" s="102"/>
      <c r="H651" s="102"/>
      <c r="I651" s="102"/>
      <c r="J651" s="102"/>
      <c r="K651" s="103"/>
      <c r="L651" s="103"/>
      <c r="M651" s="103"/>
      <c r="N651" s="103"/>
      <c r="O651" s="103"/>
      <c r="P651" s="103"/>
      <c r="Q651" s="102"/>
      <c r="R651" s="102"/>
      <c r="S651" s="102"/>
      <c r="T651" s="102"/>
      <c r="U651" s="102"/>
      <c r="V651" s="102"/>
      <c r="W651" s="102"/>
      <c r="X651" s="102"/>
      <c r="Y651" s="102"/>
      <c r="Z651" s="102"/>
      <c r="AA651" s="102"/>
      <c r="AB651" s="102"/>
      <c r="AC651" s="102"/>
      <c r="AD651" s="102"/>
      <c r="AE651" s="102"/>
      <c r="AF651" s="102"/>
    </row>
    <row r="652" spans="1:32" ht="75" customHeight="1">
      <c r="A652" s="102"/>
      <c r="B652" s="102"/>
      <c r="C652" s="102"/>
      <c r="D652" s="70"/>
      <c r="E652" s="102"/>
      <c r="F652" s="102"/>
      <c r="G652" s="102"/>
      <c r="H652" s="102"/>
      <c r="I652" s="102"/>
      <c r="J652" s="102"/>
      <c r="K652" s="103"/>
      <c r="L652" s="103"/>
      <c r="M652" s="103"/>
      <c r="N652" s="103"/>
      <c r="O652" s="103"/>
      <c r="P652" s="103"/>
      <c r="Q652" s="102"/>
      <c r="R652" s="102"/>
      <c r="S652" s="102"/>
      <c r="T652" s="102"/>
      <c r="U652" s="102"/>
      <c r="V652" s="102"/>
      <c r="W652" s="102"/>
      <c r="X652" s="102"/>
      <c r="Y652" s="102"/>
      <c r="Z652" s="102"/>
      <c r="AA652" s="102"/>
      <c r="AB652" s="102"/>
      <c r="AC652" s="102"/>
      <c r="AD652" s="102"/>
      <c r="AE652" s="102"/>
      <c r="AF652" s="102"/>
    </row>
    <row r="653" spans="1:32" ht="75" customHeight="1">
      <c r="A653" s="102"/>
      <c r="B653" s="102"/>
      <c r="C653" s="102"/>
      <c r="D653" s="70"/>
      <c r="E653" s="102"/>
      <c r="F653" s="102"/>
      <c r="G653" s="102"/>
      <c r="H653" s="102"/>
      <c r="I653" s="102"/>
      <c r="J653" s="102"/>
      <c r="K653" s="103"/>
      <c r="L653" s="103"/>
      <c r="M653" s="103"/>
      <c r="N653" s="103"/>
      <c r="O653" s="103"/>
      <c r="P653" s="103"/>
      <c r="Q653" s="102"/>
      <c r="R653" s="102"/>
      <c r="S653" s="102"/>
      <c r="T653" s="102"/>
      <c r="U653" s="102"/>
      <c r="V653" s="102"/>
      <c r="W653" s="102"/>
      <c r="X653" s="102"/>
      <c r="Y653" s="102"/>
      <c r="Z653" s="102"/>
      <c r="AA653" s="102"/>
      <c r="AB653" s="102"/>
      <c r="AC653" s="102"/>
      <c r="AD653" s="102"/>
      <c r="AE653" s="102"/>
      <c r="AF653" s="102"/>
    </row>
    <row r="654" spans="1:32" ht="75" customHeight="1">
      <c r="A654" s="102"/>
      <c r="B654" s="102"/>
      <c r="C654" s="102"/>
      <c r="D654" s="70"/>
      <c r="E654" s="102"/>
      <c r="F654" s="102"/>
      <c r="G654" s="102"/>
      <c r="H654" s="102"/>
      <c r="I654" s="102"/>
      <c r="J654" s="102"/>
      <c r="K654" s="103"/>
      <c r="L654" s="103"/>
      <c r="M654" s="103"/>
      <c r="N654" s="103"/>
      <c r="O654" s="103"/>
      <c r="P654" s="103"/>
      <c r="Q654" s="102"/>
      <c r="R654" s="102"/>
      <c r="S654" s="102"/>
      <c r="T654" s="102"/>
      <c r="U654" s="102"/>
      <c r="V654" s="102"/>
      <c r="W654" s="102"/>
      <c r="X654" s="102"/>
      <c r="Y654" s="102"/>
      <c r="Z654" s="102"/>
      <c r="AA654" s="102"/>
      <c r="AB654" s="102"/>
      <c r="AC654" s="102"/>
      <c r="AD654" s="102"/>
      <c r="AE654" s="102"/>
      <c r="AF654" s="102"/>
    </row>
    <row r="655" spans="1:32" ht="75" customHeight="1">
      <c r="A655" s="102"/>
      <c r="B655" s="102"/>
      <c r="C655" s="102"/>
      <c r="D655" s="70"/>
      <c r="E655" s="102"/>
      <c r="F655" s="102"/>
      <c r="G655" s="102"/>
      <c r="H655" s="102"/>
      <c r="I655" s="102"/>
      <c r="J655" s="102"/>
      <c r="K655" s="103"/>
      <c r="L655" s="103"/>
      <c r="M655" s="103"/>
      <c r="N655" s="103"/>
      <c r="O655" s="103"/>
      <c r="P655" s="103"/>
      <c r="Q655" s="102"/>
      <c r="R655" s="102"/>
      <c r="S655" s="102"/>
      <c r="T655" s="102"/>
      <c r="U655" s="102"/>
      <c r="V655" s="102"/>
      <c r="W655" s="102"/>
      <c r="X655" s="102"/>
      <c r="Y655" s="102"/>
      <c r="Z655" s="102"/>
      <c r="AA655" s="102"/>
      <c r="AB655" s="102"/>
      <c r="AC655" s="102"/>
      <c r="AD655" s="102"/>
      <c r="AE655" s="102"/>
      <c r="AF655" s="102"/>
    </row>
    <row r="656" spans="1:32" ht="75" customHeight="1">
      <c r="A656" s="102"/>
      <c r="B656" s="102"/>
      <c r="C656" s="102"/>
      <c r="D656" s="70"/>
      <c r="E656" s="102"/>
      <c r="F656" s="102"/>
      <c r="G656" s="102"/>
      <c r="H656" s="102"/>
      <c r="I656" s="102"/>
      <c r="J656" s="102"/>
      <c r="K656" s="103"/>
      <c r="L656" s="103"/>
      <c r="M656" s="103"/>
      <c r="N656" s="103"/>
      <c r="O656" s="103"/>
      <c r="P656" s="103"/>
      <c r="Q656" s="102"/>
      <c r="R656" s="102"/>
      <c r="S656" s="102"/>
      <c r="T656" s="102"/>
      <c r="U656" s="102"/>
      <c r="V656" s="102"/>
      <c r="W656" s="102"/>
      <c r="X656" s="102"/>
      <c r="Y656" s="102"/>
      <c r="Z656" s="102"/>
      <c r="AA656" s="102"/>
      <c r="AB656" s="102"/>
      <c r="AC656" s="102"/>
      <c r="AD656" s="102"/>
      <c r="AE656" s="102"/>
      <c r="AF656" s="102"/>
    </row>
    <row r="657" spans="1:32" ht="75" customHeight="1">
      <c r="A657" s="102"/>
      <c r="B657" s="102"/>
      <c r="C657" s="102"/>
      <c r="D657" s="70"/>
      <c r="E657" s="102"/>
      <c r="F657" s="102"/>
      <c r="G657" s="102"/>
      <c r="H657" s="102"/>
      <c r="I657" s="102"/>
      <c r="J657" s="102"/>
      <c r="K657" s="103"/>
      <c r="L657" s="103"/>
      <c r="M657" s="103"/>
      <c r="N657" s="103"/>
      <c r="O657" s="103"/>
      <c r="P657" s="103"/>
      <c r="Q657" s="102"/>
      <c r="R657" s="102"/>
      <c r="S657" s="102"/>
      <c r="T657" s="102"/>
      <c r="U657" s="102"/>
      <c r="V657" s="102"/>
      <c r="W657" s="102"/>
      <c r="X657" s="102"/>
      <c r="Y657" s="102"/>
      <c r="Z657" s="102"/>
      <c r="AA657" s="102"/>
      <c r="AB657" s="102"/>
      <c r="AC657" s="102"/>
      <c r="AD657" s="102"/>
      <c r="AE657" s="102"/>
      <c r="AF657" s="102"/>
    </row>
    <row r="658" spans="1:32" ht="75" customHeight="1">
      <c r="A658" s="102"/>
      <c r="B658" s="102"/>
      <c r="C658" s="102"/>
      <c r="D658" s="70"/>
      <c r="E658" s="102"/>
      <c r="F658" s="102"/>
      <c r="G658" s="102"/>
      <c r="H658" s="102"/>
      <c r="I658" s="102"/>
      <c r="J658" s="102"/>
      <c r="K658" s="103"/>
      <c r="L658" s="103"/>
      <c r="M658" s="103"/>
      <c r="N658" s="103"/>
      <c r="O658" s="103"/>
      <c r="P658" s="103"/>
      <c r="Q658" s="102"/>
      <c r="R658" s="102"/>
      <c r="S658" s="102"/>
      <c r="T658" s="102"/>
      <c r="U658" s="102"/>
      <c r="V658" s="102"/>
      <c r="W658" s="102"/>
      <c r="X658" s="102"/>
      <c r="Y658" s="102"/>
      <c r="Z658" s="102"/>
      <c r="AA658" s="102"/>
      <c r="AB658" s="102"/>
      <c r="AC658" s="102"/>
      <c r="AD658" s="102"/>
      <c r="AE658" s="102"/>
      <c r="AF658" s="102"/>
    </row>
    <row r="659" spans="1:32" ht="75" customHeight="1">
      <c r="A659" s="102"/>
      <c r="B659" s="102"/>
      <c r="C659" s="102"/>
      <c r="D659" s="70"/>
      <c r="E659" s="102"/>
      <c r="F659" s="102"/>
      <c r="G659" s="102"/>
      <c r="H659" s="102"/>
      <c r="I659" s="102"/>
      <c r="J659" s="102"/>
      <c r="K659" s="103"/>
      <c r="L659" s="103"/>
      <c r="M659" s="103"/>
      <c r="N659" s="103"/>
      <c r="O659" s="103"/>
      <c r="P659" s="103"/>
      <c r="Q659" s="102"/>
      <c r="R659" s="102"/>
      <c r="S659" s="102"/>
      <c r="T659" s="102"/>
      <c r="U659" s="102"/>
      <c r="V659" s="102"/>
      <c r="W659" s="102"/>
      <c r="X659" s="102"/>
      <c r="Y659" s="102"/>
      <c r="Z659" s="102"/>
      <c r="AA659" s="102"/>
      <c r="AB659" s="102"/>
      <c r="AC659" s="102"/>
      <c r="AD659" s="102"/>
      <c r="AE659" s="102"/>
      <c r="AF659" s="102"/>
    </row>
    <row r="660" spans="1:32" ht="75" customHeight="1">
      <c r="A660" s="102"/>
      <c r="B660" s="102"/>
      <c r="C660" s="102"/>
      <c r="D660" s="70"/>
      <c r="E660" s="102"/>
      <c r="F660" s="102"/>
      <c r="G660" s="102"/>
      <c r="H660" s="102"/>
      <c r="I660" s="102"/>
      <c r="J660" s="102"/>
      <c r="K660" s="103"/>
      <c r="L660" s="103"/>
      <c r="M660" s="103"/>
      <c r="N660" s="103"/>
      <c r="O660" s="103"/>
      <c r="P660" s="103"/>
      <c r="Q660" s="102"/>
      <c r="R660" s="102"/>
      <c r="S660" s="102"/>
      <c r="T660" s="102"/>
      <c r="U660" s="102"/>
      <c r="V660" s="102"/>
      <c r="W660" s="102"/>
      <c r="X660" s="102"/>
      <c r="Y660" s="102"/>
      <c r="Z660" s="102"/>
      <c r="AA660" s="102"/>
      <c r="AB660" s="102"/>
      <c r="AC660" s="102"/>
      <c r="AD660" s="102"/>
      <c r="AE660" s="102"/>
      <c r="AF660" s="102"/>
    </row>
    <row r="661" spans="1:32" ht="75" customHeight="1">
      <c r="A661" s="102"/>
      <c r="B661" s="102"/>
      <c r="C661" s="102"/>
      <c r="D661" s="70"/>
      <c r="E661" s="102"/>
      <c r="F661" s="102"/>
      <c r="G661" s="102"/>
      <c r="H661" s="102"/>
      <c r="I661" s="102"/>
      <c r="J661" s="102"/>
      <c r="K661" s="103"/>
      <c r="L661" s="103"/>
      <c r="M661" s="103"/>
      <c r="N661" s="103"/>
      <c r="O661" s="103"/>
      <c r="P661" s="103"/>
      <c r="Q661" s="102"/>
      <c r="R661" s="102"/>
      <c r="S661" s="102"/>
      <c r="T661" s="102"/>
      <c r="U661" s="102"/>
      <c r="V661" s="102"/>
      <c r="W661" s="102"/>
      <c r="X661" s="102"/>
      <c r="Y661" s="102"/>
      <c r="Z661" s="102"/>
      <c r="AA661" s="102"/>
      <c r="AB661" s="102"/>
      <c r="AC661" s="102"/>
      <c r="AD661" s="102"/>
      <c r="AE661" s="102"/>
      <c r="AF661" s="102"/>
    </row>
    <row r="662" spans="1:32" ht="75" customHeight="1">
      <c r="A662" s="102"/>
      <c r="B662" s="102"/>
      <c r="C662" s="102"/>
      <c r="D662" s="70"/>
      <c r="E662" s="102"/>
      <c r="F662" s="102"/>
      <c r="G662" s="102"/>
      <c r="H662" s="102"/>
      <c r="I662" s="102"/>
      <c r="J662" s="102"/>
      <c r="K662" s="103"/>
      <c r="L662" s="103"/>
      <c r="M662" s="103"/>
      <c r="N662" s="103"/>
      <c r="O662" s="103"/>
      <c r="P662" s="103"/>
      <c r="Q662" s="102"/>
      <c r="R662" s="102"/>
      <c r="S662" s="102"/>
      <c r="T662" s="102"/>
      <c r="U662" s="102"/>
      <c r="V662" s="102"/>
      <c r="W662" s="102"/>
      <c r="X662" s="102"/>
      <c r="Y662" s="102"/>
      <c r="Z662" s="102"/>
      <c r="AA662" s="102"/>
      <c r="AB662" s="102"/>
      <c r="AC662" s="102"/>
      <c r="AD662" s="102"/>
      <c r="AE662" s="102"/>
      <c r="AF662" s="102"/>
    </row>
    <row r="663" spans="1:32" ht="75" customHeight="1">
      <c r="A663" s="102"/>
      <c r="B663" s="102"/>
      <c r="C663" s="102"/>
      <c r="D663" s="70"/>
      <c r="E663" s="102"/>
      <c r="F663" s="102"/>
      <c r="G663" s="102"/>
      <c r="H663" s="102"/>
      <c r="I663" s="102"/>
      <c r="J663" s="102"/>
      <c r="K663" s="103"/>
      <c r="L663" s="103"/>
      <c r="M663" s="103"/>
      <c r="N663" s="103"/>
      <c r="O663" s="103"/>
      <c r="P663" s="103"/>
      <c r="Q663" s="102"/>
      <c r="R663" s="102"/>
      <c r="S663" s="102"/>
      <c r="T663" s="102"/>
      <c r="U663" s="102"/>
      <c r="V663" s="102"/>
      <c r="W663" s="102"/>
      <c r="X663" s="102"/>
      <c r="Y663" s="102"/>
      <c r="Z663" s="102"/>
      <c r="AA663" s="102"/>
      <c r="AB663" s="102"/>
      <c r="AC663" s="102"/>
      <c r="AD663" s="102"/>
      <c r="AE663" s="102"/>
      <c r="AF663" s="102"/>
    </row>
    <row r="664" spans="1:32" ht="75" customHeight="1">
      <c r="A664" s="102"/>
      <c r="B664" s="102"/>
      <c r="C664" s="102"/>
      <c r="D664" s="70"/>
      <c r="E664" s="102"/>
      <c r="F664" s="102"/>
      <c r="G664" s="102"/>
      <c r="H664" s="102"/>
      <c r="I664" s="102"/>
      <c r="J664" s="102"/>
      <c r="K664" s="103"/>
      <c r="L664" s="103"/>
      <c r="M664" s="103"/>
      <c r="N664" s="103"/>
      <c r="O664" s="103"/>
      <c r="P664" s="103"/>
      <c r="Q664" s="102"/>
      <c r="R664" s="102"/>
      <c r="S664" s="102"/>
      <c r="T664" s="102"/>
      <c r="U664" s="102"/>
      <c r="V664" s="102"/>
      <c r="W664" s="102"/>
      <c r="X664" s="102"/>
      <c r="Y664" s="102"/>
      <c r="Z664" s="102"/>
      <c r="AA664" s="102"/>
      <c r="AB664" s="102"/>
      <c r="AC664" s="102"/>
      <c r="AD664" s="102"/>
      <c r="AE664" s="102"/>
      <c r="AF664" s="102"/>
    </row>
    <row r="665" spans="1:32" ht="75" customHeight="1">
      <c r="A665" s="102"/>
      <c r="B665" s="102"/>
      <c r="C665" s="102"/>
      <c r="D665" s="70"/>
      <c r="E665" s="102"/>
      <c r="F665" s="102"/>
      <c r="G665" s="102"/>
      <c r="H665" s="102"/>
      <c r="I665" s="102"/>
      <c r="J665" s="102"/>
      <c r="K665" s="103"/>
      <c r="L665" s="103"/>
      <c r="M665" s="103"/>
      <c r="N665" s="103"/>
      <c r="O665" s="103"/>
      <c r="P665" s="103"/>
      <c r="Q665" s="102"/>
      <c r="R665" s="102"/>
      <c r="S665" s="102"/>
      <c r="T665" s="102"/>
      <c r="U665" s="102"/>
      <c r="V665" s="102"/>
      <c r="W665" s="102"/>
      <c r="X665" s="102"/>
      <c r="Y665" s="102"/>
      <c r="Z665" s="102"/>
      <c r="AA665" s="102"/>
      <c r="AB665" s="102"/>
      <c r="AC665" s="102"/>
      <c r="AD665" s="102"/>
      <c r="AE665" s="102"/>
      <c r="AF665" s="102"/>
    </row>
    <row r="666" spans="1:32" ht="75" customHeight="1">
      <c r="A666" s="102"/>
      <c r="B666" s="102"/>
      <c r="C666" s="102"/>
      <c r="D666" s="70"/>
      <c r="E666" s="102"/>
      <c r="F666" s="102"/>
      <c r="G666" s="102"/>
      <c r="H666" s="102"/>
      <c r="I666" s="102"/>
      <c r="J666" s="102"/>
      <c r="K666" s="103"/>
      <c r="L666" s="103"/>
      <c r="M666" s="103"/>
      <c r="N666" s="103"/>
      <c r="O666" s="103"/>
      <c r="P666" s="103"/>
      <c r="Q666" s="102"/>
      <c r="R666" s="102"/>
      <c r="S666" s="102"/>
      <c r="T666" s="102"/>
      <c r="U666" s="102"/>
      <c r="V666" s="102"/>
      <c r="W666" s="102"/>
      <c r="X666" s="102"/>
      <c r="Y666" s="102"/>
      <c r="Z666" s="102"/>
      <c r="AA666" s="102"/>
      <c r="AB666" s="102"/>
      <c r="AC666" s="102"/>
      <c r="AD666" s="102"/>
      <c r="AE666" s="102"/>
      <c r="AF666" s="102"/>
    </row>
    <row r="667" spans="1:32" ht="75" customHeight="1">
      <c r="A667" s="102"/>
      <c r="B667" s="102"/>
      <c r="C667" s="102"/>
      <c r="D667" s="70"/>
      <c r="E667" s="102"/>
      <c r="F667" s="102"/>
      <c r="G667" s="102"/>
      <c r="H667" s="102"/>
      <c r="I667" s="102"/>
      <c r="J667" s="102"/>
      <c r="K667" s="103"/>
      <c r="L667" s="103"/>
      <c r="M667" s="103"/>
      <c r="N667" s="103"/>
      <c r="O667" s="103"/>
      <c r="P667" s="103"/>
      <c r="Q667" s="102"/>
      <c r="R667" s="102"/>
      <c r="S667" s="102"/>
      <c r="T667" s="102"/>
      <c r="U667" s="102"/>
      <c r="V667" s="102"/>
      <c r="W667" s="102"/>
      <c r="X667" s="102"/>
      <c r="Y667" s="102"/>
      <c r="Z667" s="102"/>
      <c r="AA667" s="102"/>
      <c r="AB667" s="102"/>
      <c r="AC667" s="102"/>
      <c r="AD667" s="102"/>
      <c r="AE667" s="102"/>
      <c r="AF667" s="102"/>
    </row>
    <row r="668" spans="1:32" ht="75" customHeight="1">
      <c r="A668" s="102"/>
      <c r="B668" s="102"/>
      <c r="C668" s="102"/>
      <c r="D668" s="70"/>
      <c r="E668" s="102"/>
      <c r="F668" s="102"/>
      <c r="G668" s="102"/>
      <c r="H668" s="102"/>
      <c r="I668" s="102"/>
      <c r="J668" s="102"/>
      <c r="K668" s="103"/>
      <c r="L668" s="103"/>
      <c r="M668" s="103"/>
      <c r="N668" s="103"/>
      <c r="O668" s="103"/>
      <c r="P668" s="103"/>
      <c r="Q668" s="102"/>
      <c r="R668" s="102"/>
      <c r="S668" s="102"/>
      <c r="T668" s="102"/>
      <c r="U668" s="102"/>
      <c r="V668" s="102"/>
      <c r="W668" s="102"/>
      <c r="X668" s="102"/>
      <c r="Y668" s="102"/>
      <c r="Z668" s="102"/>
      <c r="AA668" s="102"/>
      <c r="AB668" s="102"/>
      <c r="AC668" s="102"/>
      <c r="AD668" s="102"/>
      <c r="AE668" s="102"/>
      <c r="AF668" s="102"/>
    </row>
    <row r="669" spans="1:32" ht="75" customHeight="1">
      <c r="A669" s="102"/>
      <c r="B669" s="102"/>
      <c r="C669" s="102"/>
      <c r="D669" s="70"/>
      <c r="E669" s="102"/>
      <c r="F669" s="102"/>
      <c r="G669" s="102"/>
      <c r="H669" s="102"/>
      <c r="I669" s="102"/>
      <c r="J669" s="102"/>
      <c r="K669" s="103"/>
      <c r="L669" s="103"/>
      <c r="M669" s="103"/>
      <c r="N669" s="103"/>
      <c r="O669" s="103"/>
      <c r="P669" s="103"/>
      <c r="Q669" s="102"/>
      <c r="R669" s="102"/>
      <c r="S669" s="102"/>
      <c r="T669" s="102"/>
      <c r="U669" s="102"/>
      <c r="V669" s="102"/>
      <c r="W669" s="102"/>
      <c r="X669" s="102"/>
      <c r="Y669" s="102"/>
      <c r="Z669" s="102"/>
      <c r="AA669" s="102"/>
      <c r="AB669" s="102"/>
      <c r="AC669" s="102"/>
      <c r="AD669" s="102"/>
      <c r="AE669" s="102"/>
      <c r="AF669" s="102"/>
    </row>
    <row r="670" spans="1:32" ht="75" customHeight="1">
      <c r="A670" s="102"/>
      <c r="B670" s="102"/>
      <c r="C670" s="102"/>
      <c r="D670" s="70"/>
      <c r="E670" s="102"/>
      <c r="F670" s="102"/>
      <c r="G670" s="102"/>
      <c r="H670" s="102"/>
      <c r="I670" s="102"/>
      <c r="J670" s="102"/>
      <c r="K670" s="103"/>
      <c r="L670" s="103"/>
      <c r="M670" s="103"/>
      <c r="N670" s="103"/>
      <c r="O670" s="103"/>
      <c r="P670" s="103"/>
      <c r="Q670" s="102"/>
      <c r="R670" s="102"/>
      <c r="S670" s="102"/>
      <c r="T670" s="102"/>
      <c r="U670" s="102"/>
      <c r="V670" s="102"/>
      <c r="W670" s="102"/>
      <c r="X670" s="102"/>
      <c r="Y670" s="102"/>
      <c r="Z670" s="102"/>
      <c r="AA670" s="102"/>
      <c r="AB670" s="102"/>
      <c r="AC670" s="102"/>
      <c r="AD670" s="102"/>
      <c r="AE670" s="102"/>
      <c r="AF670" s="102"/>
    </row>
    <row r="671" spans="1:32" ht="75" customHeight="1">
      <c r="A671" s="102"/>
      <c r="B671" s="102"/>
      <c r="C671" s="102"/>
      <c r="D671" s="70"/>
      <c r="E671" s="102"/>
      <c r="F671" s="102"/>
      <c r="G671" s="102"/>
      <c r="H671" s="102"/>
      <c r="I671" s="102"/>
      <c r="J671" s="102"/>
      <c r="K671" s="103"/>
      <c r="L671" s="103"/>
      <c r="M671" s="103"/>
      <c r="N671" s="103"/>
      <c r="O671" s="103"/>
      <c r="P671" s="103"/>
      <c r="Q671" s="102"/>
      <c r="R671" s="102"/>
      <c r="S671" s="102"/>
      <c r="T671" s="102"/>
      <c r="U671" s="102"/>
      <c r="V671" s="102"/>
      <c r="W671" s="102"/>
      <c r="X671" s="102"/>
      <c r="Y671" s="102"/>
      <c r="Z671" s="102"/>
      <c r="AA671" s="102"/>
      <c r="AB671" s="102"/>
      <c r="AC671" s="102"/>
      <c r="AD671" s="102"/>
      <c r="AE671" s="102"/>
      <c r="AF671" s="102"/>
    </row>
    <row r="672" spans="1:32" ht="75" customHeight="1">
      <c r="A672" s="102"/>
      <c r="B672" s="102"/>
      <c r="C672" s="102"/>
      <c r="D672" s="70"/>
      <c r="E672" s="102"/>
      <c r="F672" s="102"/>
      <c r="G672" s="102"/>
      <c r="H672" s="102"/>
      <c r="I672" s="102"/>
      <c r="J672" s="102"/>
      <c r="K672" s="103"/>
      <c r="L672" s="103"/>
      <c r="M672" s="103"/>
      <c r="N672" s="103"/>
      <c r="O672" s="103"/>
      <c r="P672" s="103"/>
      <c r="Q672" s="102"/>
      <c r="R672" s="102"/>
      <c r="S672" s="102"/>
      <c r="T672" s="102"/>
      <c r="U672" s="102"/>
      <c r="V672" s="102"/>
      <c r="W672" s="102"/>
      <c r="X672" s="102"/>
      <c r="Y672" s="102"/>
      <c r="Z672" s="102"/>
      <c r="AA672" s="102"/>
      <c r="AB672" s="102"/>
      <c r="AC672" s="102"/>
      <c r="AD672" s="102"/>
      <c r="AE672" s="102"/>
      <c r="AF672" s="102"/>
    </row>
    <row r="673" spans="1:32" ht="75" customHeight="1">
      <c r="A673" s="102"/>
      <c r="B673" s="102"/>
      <c r="C673" s="102"/>
      <c r="D673" s="70"/>
      <c r="E673" s="102"/>
      <c r="F673" s="102"/>
      <c r="G673" s="102"/>
      <c r="H673" s="102"/>
      <c r="I673" s="102"/>
      <c r="J673" s="102"/>
      <c r="K673" s="103"/>
      <c r="L673" s="103"/>
      <c r="M673" s="103"/>
      <c r="N673" s="103"/>
      <c r="O673" s="103"/>
      <c r="P673" s="103"/>
      <c r="Q673" s="102"/>
      <c r="R673" s="102"/>
      <c r="S673" s="102"/>
      <c r="T673" s="102"/>
      <c r="U673" s="102"/>
      <c r="V673" s="102"/>
      <c r="W673" s="102"/>
      <c r="X673" s="102"/>
      <c r="Y673" s="102"/>
      <c r="Z673" s="102"/>
      <c r="AA673" s="102"/>
      <c r="AB673" s="102"/>
      <c r="AC673" s="102"/>
      <c r="AD673" s="102"/>
      <c r="AE673" s="102"/>
      <c r="AF673" s="102"/>
    </row>
    <row r="674" spans="1:32" ht="75" customHeight="1">
      <c r="A674" s="102"/>
      <c r="B674" s="102"/>
      <c r="C674" s="102"/>
      <c r="D674" s="70"/>
      <c r="E674" s="102"/>
      <c r="F674" s="102"/>
      <c r="G674" s="102"/>
      <c r="H674" s="102"/>
      <c r="I674" s="102"/>
      <c r="J674" s="102"/>
      <c r="K674" s="103"/>
      <c r="L674" s="103"/>
      <c r="M674" s="103"/>
      <c r="N674" s="103"/>
      <c r="O674" s="103"/>
      <c r="P674" s="103"/>
      <c r="Q674" s="102"/>
      <c r="R674" s="102"/>
      <c r="S674" s="102"/>
      <c r="T674" s="102"/>
      <c r="U674" s="102"/>
      <c r="V674" s="102"/>
      <c r="W674" s="102"/>
      <c r="X674" s="102"/>
      <c r="Y674" s="102"/>
      <c r="Z674" s="102"/>
      <c r="AA674" s="102"/>
      <c r="AB674" s="102"/>
      <c r="AC674" s="102"/>
      <c r="AD674" s="102"/>
      <c r="AE674" s="102"/>
      <c r="AF674" s="102"/>
    </row>
    <row r="675" spans="1:32" ht="75" customHeight="1">
      <c r="A675" s="102"/>
      <c r="B675" s="102"/>
      <c r="C675" s="102"/>
      <c r="D675" s="70"/>
      <c r="E675" s="102"/>
      <c r="F675" s="102"/>
      <c r="G675" s="102"/>
      <c r="H675" s="102"/>
      <c r="I675" s="102"/>
      <c r="J675" s="102"/>
      <c r="K675" s="103"/>
      <c r="L675" s="103"/>
      <c r="M675" s="103"/>
      <c r="N675" s="103"/>
      <c r="O675" s="103"/>
      <c r="P675" s="103"/>
      <c r="Q675" s="102"/>
      <c r="R675" s="102"/>
      <c r="S675" s="102"/>
      <c r="T675" s="102"/>
      <c r="U675" s="102"/>
      <c r="V675" s="102"/>
      <c r="W675" s="102"/>
      <c r="X675" s="102"/>
      <c r="Y675" s="102"/>
      <c r="Z675" s="102"/>
      <c r="AA675" s="102"/>
      <c r="AB675" s="102"/>
      <c r="AC675" s="102"/>
      <c r="AD675" s="102"/>
      <c r="AE675" s="102"/>
      <c r="AF675" s="102"/>
    </row>
    <row r="676" spans="1:32" ht="75" customHeight="1">
      <c r="A676" s="102"/>
      <c r="B676" s="102"/>
      <c r="C676" s="102"/>
      <c r="D676" s="70"/>
      <c r="E676" s="102"/>
      <c r="F676" s="102"/>
      <c r="G676" s="102"/>
      <c r="H676" s="102"/>
      <c r="I676" s="102"/>
      <c r="J676" s="102"/>
      <c r="K676" s="103"/>
      <c r="L676" s="103"/>
      <c r="M676" s="103"/>
      <c r="N676" s="103"/>
      <c r="O676" s="103"/>
      <c r="P676" s="103"/>
      <c r="Q676" s="102"/>
      <c r="R676" s="102"/>
      <c r="S676" s="102"/>
      <c r="T676" s="102"/>
      <c r="U676" s="102"/>
      <c r="V676" s="102"/>
      <c r="W676" s="102"/>
      <c r="X676" s="102"/>
      <c r="Y676" s="102"/>
      <c r="Z676" s="102"/>
      <c r="AA676" s="102"/>
      <c r="AB676" s="102"/>
      <c r="AC676" s="102"/>
      <c r="AD676" s="102"/>
      <c r="AE676" s="102"/>
      <c r="AF676" s="102"/>
    </row>
    <row r="677" spans="1:32" ht="75" customHeight="1">
      <c r="A677" s="102"/>
      <c r="B677" s="102"/>
      <c r="C677" s="102"/>
      <c r="D677" s="70"/>
      <c r="E677" s="102"/>
      <c r="F677" s="102"/>
      <c r="G677" s="102"/>
      <c r="H677" s="102"/>
      <c r="I677" s="102"/>
      <c r="J677" s="102"/>
      <c r="K677" s="103"/>
      <c r="L677" s="103"/>
      <c r="M677" s="103"/>
      <c r="N677" s="103"/>
      <c r="O677" s="103"/>
      <c r="P677" s="103"/>
      <c r="Q677" s="102"/>
      <c r="R677" s="102"/>
      <c r="S677" s="102"/>
      <c r="T677" s="102"/>
      <c r="U677" s="102"/>
      <c r="V677" s="102"/>
      <c r="W677" s="102"/>
      <c r="X677" s="102"/>
      <c r="Y677" s="102"/>
      <c r="Z677" s="102"/>
      <c r="AA677" s="102"/>
      <c r="AB677" s="102"/>
      <c r="AC677" s="102"/>
      <c r="AD677" s="102"/>
      <c r="AE677" s="102"/>
      <c r="AF677" s="102"/>
    </row>
    <row r="678" spans="1:32" ht="75" customHeight="1">
      <c r="A678" s="102"/>
      <c r="B678" s="102"/>
      <c r="C678" s="102"/>
      <c r="D678" s="70"/>
      <c r="E678" s="102"/>
      <c r="F678" s="102"/>
      <c r="G678" s="102"/>
      <c r="H678" s="102"/>
      <c r="I678" s="102"/>
      <c r="J678" s="102"/>
      <c r="K678" s="103"/>
      <c r="L678" s="103"/>
      <c r="M678" s="103"/>
      <c r="N678" s="103"/>
      <c r="O678" s="103"/>
      <c r="P678" s="103"/>
      <c r="Q678" s="102"/>
      <c r="R678" s="102"/>
      <c r="S678" s="102"/>
      <c r="T678" s="102"/>
      <c r="U678" s="102"/>
      <c r="V678" s="102"/>
      <c r="W678" s="102"/>
      <c r="X678" s="102"/>
      <c r="Y678" s="102"/>
      <c r="Z678" s="102"/>
      <c r="AA678" s="102"/>
      <c r="AB678" s="102"/>
      <c r="AC678" s="102"/>
      <c r="AD678" s="102"/>
      <c r="AE678" s="102"/>
      <c r="AF678" s="102"/>
    </row>
    <row r="679" spans="1:32" ht="75" customHeight="1">
      <c r="A679" s="102"/>
      <c r="B679" s="102"/>
      <c r="C679" s="102"/>
      <c r="D679" s="70"/>
      <c r="E679" s="102"/>
      <c r="F679" s="102"/>
      <c r="G679" s="102"/>
      <c r="H679" s="102"/>
      <c r="I679" s="102"/>
      <c r="J679" s="102"/>
      <c r="K679" s="103"/>
      <c r="L679" s="103"/>
      <c r="M679" s="103"/>
      <c r="N679" s="103"/>
      <c r="O679" s="103"/>
      <c r="P679" s="103"/>
      <c r="Q679" s="102"/>
      <c r="R679" s="102"/>
      <c r="S679" s="102"/>
      <c r="T679" s="102"/>
      <c r="U679" s="102"/>
      <c r="V679" s="102"/>
      <c r="W679" s="102"/>
      <c r="X679" s="102"/>
      <c r="Y679" s="102"/>
      <c r="Z679" s="102"/>
      <c r="AA679" s="102"/>
      <c r="AB679" s="102"/>
      <c r="AC679" s="102"/>
      <c r="AD679" s="102"/>
      <c r="AE679" s="102"/>
      <c r="AF679" s="102"/>
    </row>
    <row r="680" spans="1:32" ht="75" customHeight="1">
      <c r="A680" s="102"/>
      <c r="B680" s="102"/>
      <c r="C680" s="102"/>
      <c r="D680" s="70"/>
      <c r="E680" s="102"/>
      <c r="F680" s="102"/>
      <c r="G680" s="102"/>
      <c r="H680" s="102"/>
      <c r="I680" s="102"/>
      <c r="J680" s="102"/>
      <c r="K680" s="103"/>
      <c r="L680" s="103"/>
      <c r="M680" s="103"/>
      <c r="N680" s="103"/>
      <c r="O680" s="103"/>
      <c r="P680" s="103"/>
      <c r="Q680" s="102"/>
      <c r="R680" s="102"/>
      <c r="S680" s="102"/>
      <c r="T680" s="102"/>
      <c r="U680" s="102"/>
      <c r="V680" s="102"/>
      <c r="W680" s="102"/>
      <c r="X680" s="102"/>
      <c r="Y680" s="102"/>
      <c r="Z680" s="102"/>
      <c r="AA680" s="102"/>
      <c r="AB680" s="102"/>
      <c r="AC680" s="102"/>
      <c r="AD680" s="102"/>
      <c r="AE680" s="102"/>
      <c r="AF680" s="102"/>
    </row>
    <row r="681" spans="1:32" ht="75" customHeight="1">
      <c r="A681" s="102"/>
      <c r="B681" s="102"/>
      <c r="C681" s="102"/>
      <c r="D681" s="70"/>
      <c r="E681" s="102"/>
      <c r="F681" s="102"/>
      <c r="G681" s="102"/>
      <c r="H681" s="102"/>
      <c r="I681" s="102"/>
      <c r="J681" s="102"/>
      <c r="K681" s="103"/>
      <c r="L681" s="103"/>
      <c r="M681" s="103"/>
      <c r="N681" s="103"/>
      <c r="O681" s="103"/>
      <c r="P681" s="103"/>
      <c r="Q681" s="102"/>
      <c r="R681" s="102"/>
      <c r="S681" s="102"/>
      <c r="T681" s="102"/>
      <c r="U681" s="102"/>
      <c r="V681" s="102"/>
      <c r="W681" s="102"/>
      <c r="X681" s="102"/>
      <c r="Y681" s="102"/>
      <c r="Z681" s="102"/>
      <c r="AA681" s="102"/>
      <c r="AB681" s="102"/>
      <c r="AC681" s="102"/>
      <c r="AD681" s="102"/>
      <c r="AE681" s="102"/>
      <c r="AF681" s="102"/>
    </row>
    <row r="682" spans="1:32" ht="75" customHeight="1">
      <c r="A682" s="102"/>
      <c r="B682" s="102"/>
      <c r="C682" s="102"/>
      <c r="D682" s="70"/>
      <c r="E682" s="102"/>
      <c r="F682" s="102"/>
      <c r="G682" s="102"/>
      <c r="H682" s="102"/>
      <c r="I682" s="102"/>
      <c r="J682" s="102"/>
      <c r="K682" s="103"/>
      <c r="L682" s="103"/>
      <c r="M682" s="103"/>
      <c r="N682" s="103"/>
      <c r="O682" s="103"/>
      <c r="P682" s="103"/>
      <c r="Q682" s="102"/>
      <c r="R682" s="102"/>
      <c r="S682" s="102"/>
      <c r="T682" s="102"/>
      <c r="U682" s="102"/>
      <c r="V682" s="102"/>
      <c r="W682" s="102"/>
      <c r="X682" s="102"/>
      <c r="Y682" s="102"/>
      <c r="Z682" s="102"/>
      <c r="AA682" s="102"/>
      <c r="AB682" s="102"/>
      <c r="AC682" s="102"/>
      <c r="AD682" s="102"/>
      <c r="AE682" s="102"/>
      <c r="AF682" s="102"/>
    </row>
    <row r="683" spans="1:32" ht="75" customHeight="1">
      <c r="A683" s="102"/>
      <c r="B683" s="102"/>
      <c r="C683" s="102"/>
      <c r="D683" s="70"/>
      <c r="E683" s="102"/>
      <c r="F683" s="102"/>
      <c r="G683" s="102"/>
      <c r="H683" s="102"/>
      <c r="I683" s="102"/>
      <c r="J683" s="102"/>
      <c r="K683" s="103"/>
      <c r="L683" s="103"/>
      <c r="M683" s="103"/>
      <c r="N683" s="103"/>
      <c r="O683" s="103"/>
      <c r="P683" s="103"/>
      <c r="Q683" s="102"/>
      <c r="R683" s="102"/>
      <c r="S683" s="102"/>
      <c r="T683" s="102"/>
      <c r="U683" s="102"/>
      <c r="V683" s="102"/>
      <c r="W683" s="102"/>
      <c r="X683" s="102"/>
      <c r="Y683" s="102"/>
      <c r="Z683" s="102"/>
      <c r="AA683" s="102"/>
      <c r="AB683" s="102"/>
      <c r="AC683" s="102"/>
      <c r="AD683" s="102"/>
      <c r="AE683" s="102"/>
      <c r="AF683" s="102"/>
    </row>
    <row r="684" spans="1:32" ht="75" customHeight="1">
      <c r="A684" s="102"/>
      <c r="B684" s="102"/>
      <c r="C684" s="102"/>
      <c r="D684" s="70"/>
      <c r="E684" s="102"/>
      <c r="F684" s="102"/>
      <c r="G684" s="102"/>
      <c r="H684" s="102"/>
      <c r="I684" s="102"/>
      <c r="J684" s="102"/>
      <c r="K684" s="103"/>
      <c r="L684" s="103"/>
      <c r="M684" s="103"/>
      <c r="N684" s="103"/>
      <c r="O684" s="103"/>
      <c r="P684" s="103"/>
      <c r="Q684" s="102"/>
      <c r="R684" s="102"/>
      <c r="S684" s="102"/>
      <c r="T684" s="102"/>
      <c r="U684" s="102"/>
      <c r="V684" s="102"/>
      <c r="W684" s="102"/>
      <c r="X684" s="102"/>
      <c r="Y684" s="102"/>
      <c r="Z684" s="102"/>
      <c r="AA684" s="102"/>
      <c r="AB684" s="102"/>
      <c r="AC684" s="102"/>
      <c r="AD684" s="102"/>
      <c r="AE684" s="102"/>
      <c r="AF684" s="102"/>
    </row>
    <row r="685" spans="1:32" ht="75" customHeight="1">
      <c r="A685" s="102"/>
      <c r="B685" s="102"/>
      <c r="C685" s="102"/>
      <c r="D685" s="70"/>
      <c r="E685" s="102"/>
      <c r="F685" s="102"/>
      <c r="G685" s="102"/>
      <c r="H685" s="102"/>
      <c r="I685" s="102"/>
      <c r="J685" s="102"/>
      <c r="K685" s="103"/>
      <c r="L685" s="103"/>
      <c r="M685" s="103"/>
      <c r="N685" s="103"/>
      <c r="O685" s="103"/>
      <c r="P685" s="103"/>
      <c r="Q685" s="102"/>
      <c r="R685" s="102"/>
      <c r="S685" s="102"/>
      <c r="T685" s="102"/>
      <c r="U685" s="102"/>
      <c r="V685" s="102"/>
      <c r="W685" s="102"/>
      <c r="X685" s="102"/>
      <c r="Y685" s="102"/>
      <c r="Z685" s="102"/>
      <c r="AA685" s="102"/>
      <c r="AB685" s="102"/>
      <c r="AC685" s="102"/>
      <c r="AD685" s="102"/>
      <c r="AE685" s="102"/>
      <c r="AF685" s="102"/>
    </row>
    <row r="686" spans="1:32" ht="75" customHeight="1">
      <c r="A686" s="102"/>
      <c r="B686" s="102"/>
      <c r="C686" s="102"/>
      <c r="D686" s="70"/>
      <c r="E686" s="102"/>
      <c r="F686" s="102"/>
      <c r="G686" s="102"/>
      <c r="H686" s="102"/>
      <c r="I686" s="102"/>
      <c r="J686" s="102"/>
      <c r="K686" s="103"/>
      <c r="L686" s="103"/>
      <c r="M686" s="103"/>
      <c r="N686" s="103"/>
      <c r="O686" s="103"/>
      <c r="P686" s="103"/>
      <c r="Q686" s="102"/>
      <c r="R686" s="102"/>
      <c r="S686" s="102"/>
      <c r="T686" s="102"/>
      <c r="U686" s="102"/>
      <c r="V686" s="102"/>
      <c r="W686" s="102"/>
      <c r="X686" s="102"/>
      <c r="Y686" s="102"/>
      <c r="Z686" s="102"/>
      <c r="AA686" s="102"/>
      <c r="AB686" s="102"/>
      <c r="AC686" s="102"/>
      <c r="AD686" s="102"/>
      <c r="AE686" s="102"/>
      <c r="AF686" s="102"/>
    </row>
    <row r="687" spans="1:32" ht="75" customHeight="1">
      <c r="A687" s="102"/>
      <c r="B687" s="102"/>
      <c r="C687" s="102"/>
      <c r="D687" s="70"/>
      <c r="E687" s="102"/>
      <c r="F687" s="102"/>
      <c r="G687" s="102"/>
      <c r="H687" s="102"/>
      <c r="I687" s="102"/>
      <c r="J687" s="102"/>
      <c r="K687" s="103"/>
      <c r="L687" s="103"/>
      <c r="M687" s="103"/>
      <c r="N687" s="103"/>
      <c r="O687" s="103"/>
      <c r="P687" s="103"/>
      <c r="Q687" s="102"/>
      <c r="R687" s="102"/>
      <c r="S687" s="102"/>
      <c r="T687" s="102"/>
      <c r="U687" s="102"/>
      <c r="V687" s="102"/>
      <c r="W687" s="102"/>
      <c r="X687" s="102"/>
      <c r="Y687" s="102"/>
      <c r="Z687" s="102"/>
      <c r="AA687" s="102"/>
      <c r="AB687" s="102"/>
      <c r="AC687" s="102"/>
      <c r="AD687" s="102"/>
      <c r="AE687" s="102"/>
      <c r="AF687" s="102"/>
    </row>
    <row r="688" spans="1:32" ht="75" customHeight="1">
      <c r="A688" s="102"/>
      <c r="B688" s="102"/>
      <c r="C688" s="102"/>
      <c r="D688" s="70"/>
      <c r="E688" s="102"/>
      <c r="F688" s="102"/>
      <c r="G688" s="102"/>
      <c r="H688" s="102"/>
      <c r="I688" s="102"/>
      <c r="J688" s="102"/>
      <c r="K688" s="103"/>
      <c r="L688" s="103"/>
      <c r="M688" s="103"/>
      <c r="N688" s="103"/>
      <c r="O688" s="103"/>
      <c r="P688" s="103"/>
      <c r="Q688" s="102"/>
      <c r="R688" s="102"/>
      <c r="S688" s="102"/>
      <c r="T688" s="102"/>
      <c r="U688" s="102"/>
      <c r="V688" s="102"/>
      <c r="W688" s="102"/>
      <c r="X688" s="102"/>
      <c r="Y688" s="102"/>
      <c r="Z688" s="102"/>
      <c r="AA688" s="102"/>
      <c r="AB688" s="102"/>
      <c r="AC688" s="102"/>
      <c r="AD688" s="102"/>
      <c r="AE688" s="102"/>
      <c r="AF688" s="102"/>
    </row>
    <row r="689" spans="1:32" ht="75" customHeight="1">
      <c r="A689" s="102"/>
      <c r="B689" s="102"/>
      <c r="C689" s="102"/>
      <c r="D689" s="70"/>
      <c r="E689" s="102"/>
      <c r="F689" s="102"/>
      <c r="G689" s="102"/>
      <c r="H689" s="102"/>
      <c r="I689" s="102"/>
      <c r="J689" s="102"/>
      <c r="K689" s="103"/>
      <c r="L689" s="103"/>
      <c r="M689" s="103"/>
      <c r="N689" s="103"/>
      <c r="O689" s="103"/>
      <c r="P689" s="103"/>
      <c r="Q689" s="102"/>
      <c r="R689" s="102"/>
      <c r="S689" s="102"/>
      <c r="T689" s="102"/>
      <c r="U689" s="102"/>
      <c r="V689" s="102"/>
      <c r="W689" s="102"/>
      <c r="X689" s="102"/>
      <c r="Y689" s="102"/>
      <c r="Z689" s="102"/>
      <c r="AA689" s="102"/>
      <c r="AB689" s="102"/>
      <c r="AC689" s="102"/>
      <c r="AD689" s="102"/>
      <c r="AE689" s="102"/>
      <c r="AF689" s="102"/>
    </row>
    <row r="690" spans="1:32" ht="75" customHeight="1">
      <c r="A690" s="102"/>
      <c r="B690" s="102"/>
      <c r="C690" s="102"/>
      <c r="D690" s="70"/>
      <c r="E690" s="102"/>
      <c r="F690" s="102"/>
      <c r="G690" s="102"/>
      <c r="H690" s="102"/>
      <c r="I690" s="102"/>
      <c r="J690" s="102"/>
      <c r="K690" s="103"/>
      <c r="L690" s="103"/>
      <c r="M690" s="103"/>
      <c r="N690" s="103"/>
      <c r="O690" s="103"/>
      <c r="P690" s="103"/>
      <c r="Q690" s="102"/>
      <c r="R690" s="102"/>
      <c r="S690" s="102"/>
      <c r="T690" s="102"/>
      <c r="U690" s="102"/>
      <c r="V690" s="102"/>
      <c r="W690" s="102"/>
      <c r="X690" s="102"/>
      <c r="Y690" s="102"/>
      <c r="Z690" s="102"/>
      <c r="AA690" s="102"/>
      <c r="AB690" s="102"/>
      <c r="AC690" s="102"/>
      <c r="AD690" s="102"/>
      <c r="AE690" s="102"/>
      <c r="AF690" s="102"/>
    </row>
    <row r="691" spans="1:32" ht="75" customHeight="1">
      <c r="A691" s="102"/>
      <c r="B691" s="102"/>
      <c r="C691" s="102"/>
      <c r="D691" s="70"/>
      <c r="E691" s="102"/>
      <c r="F691" s="102"/>
      <c r="G691" s="102"/>
      <c r="H691" s="102"/>
      <c r="I691" s="102"/>
      <c r="J691" s="102"/>
      <c r="K691" s="103"/>
      <c r="L691" s="103"/>
      <c r="M691" s="103"/>
      <c r="N691" s="103"/>
      <c r="O691" s="103"/>
      <c r="P691" s="103"/>
      <c r="Q691" s="102"/>
      <c r="R691" s="102"/>
      <c r="S691" s="102"/>
      <c r="T691" s="102"/>
      <c r="U691" s="102"/>
      <c r="V691" s="102"/>
      <c r="W691" s="102"/>
      <c r="X691" s="102"/>
      <c r="Y691" s="102"/>
      <c r="Z691" s="102"/>
      <c r="AA691" s="102"/>
      <c r="AB691" s="102"/>
      <c r="AC691" s="102"/>
      <c r="AD691" s="102"/>
      <c r="AE691" s="102"/>
      <c r="AF691" s="102"/>
    </row>
    <row r="692" spans="1:32" ht="75" customHeight="1">
      <c r="A692" s="102"/>
      <c r="B692" s="102"/>
      <c r="C692" s="102"/>
      <c r="D692" s="70"/>
      <c r="E692" s="102"/>
      <c r="F692" s="102"/>
      <c r="G692" s="102"/>
      <c r="H692" s="102"/>
      <c r="I692" s="102"/>
      <c r="J692" s="102"/>
      <c r="K692" s="103"/>
      <c r="L692" s="103"/>
      <c r="M692" s="103"/>
      <c r="N692" s="103"/>
      <c r="O692" s="103"/>
      <c r="P692" s="103"/>
      <c r="Q692" s="102"/>
      <c r="R692" s="102"/>
      <c r="S692" s="102"/>
      <c r="T692" s="102"/>
      <c r="U692" s="102"/>
      <c r="V692" s="102"/>
      <c r="W692" s="102"/>
      <c r="X692" s="102"/>
      <c r="Y692" s="102"/>
      <c r="Z692" s="102"/>
      <c r="AA692" s="102"/>
      <c r="AB692" s="102"/>
      <c r="AC692" s="102"/>
      <c r="AD692" s="102"/>
      <c r="AE692" s="102"/>
      <c r="AF692" s="102"/>
    </row>
    <row r="693" spans="1:32" ht="75" customHeight="1">
      <c r="A693" s="102"/>
      <c r="B693" s="102"/>
      <c r="C693" s="102"/>
      <c r="D693" s="70"/>
      <c r="E693" s="102"/>
      <c r="F693" s="102"/>
      <c r="G693" s="102"/>
      <c r="H693" s="102"/>
      <c r="I693" s="102"/>
      <c r="J693" s="102"/>
      <c r="K693" s="103"/>
      <c r="L693" s="103"/>
      <c r="M693" s="103"/>
      <c r="N693" s="103"/>
      <c r="O693" s="103"/>
      <c r="P693" s="103"/>
      <c r="Q693" s="102"/>
      <c r="R693" s="102"/>
      <c r="S693" s="102"/>
      <c r="T693" s="102"/>
      <c r="U693" s="102"/>
      <c r="V693" s="102"/>
      <c r="W693" s="102"/>
      <c r="X693" s="102"/>
      <c r="Y693" s="102"/>
      <c r="Z693" s="102"/>
      <c r="AA693" s="102"/>
      <c r="AB693" s="102"/>
      <c r="AC693" s="102"/>
      <c r="AD693" s="102"/>
      <c r="AE693" s="102"/>
      <c r="AF693" s="102"/>
    </row>
    <row r="694" spans="1:32" ht="75" customHeight="1">
      <c r="A694" s="102"/>
      <c r="B694" s="102"/>
      <c r="C694" s="102"/>
      <c r="D694" s="70"/>
      <c r="E694" s="102"/>
      <c r="F694" s="102"/>
      <c r="G694" s="102"/>
      <c r="H694" s="102"/>
      <c r="I694" s="102"/>
      <c r="J694" s="102"/>
      <c r="K694" s="103"/>
      <c r="L694" s="103"/>
      <c r="M694" s="103"/>
      <c r="N694" s="103"/>
      <c r="O694" s="103"/>
      <c r="P694" s="103"/>
      <c r="Q694" s="102"/>
      <c r="R694" s="102"/>
      <c r="S694" s="102"/>
      <c r="T694" s="102"/>
      <c r="U694" s="102"/>
      <c r="V694" s="102"/>
      <c r="W694" s="102"/>
      <c r="X694" s="102"/>
      <c r="Y694" s="102"/>
      <c r="Z694" s="102"/>
      <c r="AA694" s="102"/>
      <c r="AB694" s="102"/>
      <c r="AC694" s="102"/>
      <c r="AD694" s="102"/>
      <c r="AE694" s="102"/>
      <c r="AF694" s="102"/>
    </row>
    <row r="695" spans="1:32" ht="75" customHeight="1">
      <c r="A695" s="102"/>
      <c r="B695" s="102"/>
      <c r="C695" s="102"/>
      <c r="D695" s="70"/>
      <c r="E695" s="102"/>
      <c r="F695" s="102"/>
      <c r="G695" s="102"/>
      <c r="H695" s="102"/>
      <c r="I695" s="102"/>
      <c r="J695" s="102"/>
      <c r="K695" s="103"/>
      <c r="L695" s="103"/>
      <c r="M695" s="103"/>
      <c r="N695" s="103"/>
      <c r="O695" s="103"/>
      <c r="P695" s="103"/>
      <c r="Q695" s="102"/>
      <c r="R695" s="102"/>
      <c r="S695" s="102"/>
      <c r="T695" s="102"/>
      <c r="U695" s="102"/>
      <c r="V695" s="102"/>
      <c r="W695" s="102"/>
      <c r="X695" s="102"/>
      <c r="Y695" s="102"/>
      <c r="Z695" s="102"/>
      <c r="AA695" s="102"/>
      <c r="AB695" s="102"/>
      <c r="AC695" s="102"/>
      <c r="AD695" s="102"/>
      <c r="AE695" s="102"/>
      <c r="AF695" s="102"/>
    </row>
    <row r="696" spans="1:32" ht="75" customHeight="1">
      <c r="A696" s="102"/>
      <c r="B696" s="102"/>
      <c r="C696" s="102"/>
      <c r="D696" s="70"/>
      <c r="E696" s="102"/>
      <c r="F696" s="102"/>
      <c r="G696" s="102"/>
      <c r="H696" s="102"/>
      <c r="I696" s="102"/>
      <c r="J696" s="102"/>
      <c r="K696" s="103"/>
      <c r="L696" s="103"/>
      <c r="M696" s="103"/>
      <c r="N696" s="103"/>
      <c r="O696" s="103"/>
      <c r="P696" s="103"/>
      <c r="Q696" s="102"/>
      <c r="R696" s="102"/>
      <c r="S696" s="102"/>
      <c r="T696" s="102"/>
      <c r="U696" s="102"/>
      <c r="V696" s="102"/>
      <c r="W696" s="102"/>
      <c r="X696" s="102"/>
      <c r="Y696" s="102"/>
      <c r="Z696" s="102"/>
      <c r="AA696" s="102"/>
      <c r="AB696" s="102"/>
      <c r="AC696" s="102"/>
      <c r="AD696" s="102"/>
      <c r="AE696" s="102"/>
      <c r="AF696" s="102"/>
    </row>
    <row r="697" spans="1:32" ht="75" customHeight="1">
      <c r="A697" s="102"/>
      <c r="B697" s="102"/>
      <c r="C697" s="102"/>
      <c r="D697" s="70"/>
      <c r="E697" s="102"/>
      <c r="F697" s="102"/>
      <c r="G697" s="102"/>
      <c r="H697" s="102"/>
      <c r="I697" s="102"/>
      <c r="J697" s="102"/>
      <c r="K697" s="103"/>
      <c r="L697" s="103"/>
      <c r="M697" s="103"/>
      <c r="N697" s="103"/>
      <c r="O697" s="103"/>
      <c r="P697" s="103"/>
      <c r="Q697" s="102"/>
      <c r="R697" s="102"/>
      <c r="S697" s="102"/>
      <c r="T697" s="102"/>
      <c r="U697" s="102"/>
      <c r="V697" s="102"/>
      <c r="W697" s="102"/>
      <c r="X697" s="102"/>
      <c r="Y697" s="102"/>
      <c r="Z697" s="102"/>
      <c r="AA697" s="102"/>
      <c r="AB697" s="102"/>
      <c r="AC697" s="102"/>
      <c r="AD697" s="102"/>
      <c r="AE697" s="102"/>
      <c r="AF697" s="102"/>
    </row>
    <row r="698" spans="1:32" ht="75" customHeight="1">
      <c r="A698" s="102"/>
      <c r="B698" s="102"/>
      <c r="C698" s="102"/>
      <c r="D698" s="70"/>
      <c r="E698" s="102"/>
      <c r="F698" s="102"/>
      <c r="G698" s="102"/>
      <c r="H698" s="102"/>
      <c r="I698" s="102"/>
      <c r="J698" s="102"/>
      <c r="K698" s="103"/>
      <c r="L698" s="103"/>
      <c r="M698" s="103"/>
      <c r="N698" s="103"/>
      <c r="O698" s="103"/>
      <c r="P698" s="103"/>
      <c r="Q698" s="102"/>
      <c r="R698" s="102"/>
      <c r="S698" s="102"/>
      <c r="T698" s="102"/>
      <c r="U698" s="102"/>
      <c r="V698" s="102"/>
      <c r="W698" s="102"/>
      <c r="X698" s="102"/>
      <c r="Y698" s="102"/>
      <c r="Z698" s="102"/>
      <c r="AA698" s="102"/>
      <c r="AB698" s="102"/>
      <c r="AC698" s="102"/>
      <c r="AD698" s="102"/>
      <c r="AE698" s="102"/>
      <c r="AF698" s="102"/>
    </row>
    <row r="699" spans="1:32" ht="75" customHeight="1">
      <c r="A699" s="102"/>
      <c r="B699" s="102"/>
      <c r="C699" s="102"/>
      <c r="D699" s="70"/>
      <c r="E699" s="102"/>
      <c r="F699" s="102"/>
      <c r="G699" s="102"/>
      <c r="H699" s="102"/>
      <c r="I699" s="102"/>
      <c r="J699" s="102"/>
      <c r="K699" s="103"/>
      <c r="L699" s="103"/>
      <c r="M699" s="103"/>
      <c r="N699" s="103"/>
      <c r="O699" s="103"/>
      <c r="P699" s="103"/>
      <c r="Q699" s="102"/>
      <c r="R699" s="102"/>
      <c r="S699" s="102"/>
      <c r="T699" s="102"/>
      <c r="U699" s="102"/>
      <c r="V699" s="102"/>
      <c r="W699" s="102"/>
      <c r="X699" s="102"/>
      <c r="Y699" s="102"/>
      <c r="Z699" s="102"/>
      <c r="AA699" s="102"/>
      <c r="AB699" s="102"/>
      <c r="AC699" s="102"/>
      <c r="AD699" s="102"/>
      <c r="AE699" s="102"/>
      <c r="AF699" s="102"/>
    </row>
    <row r="700" spans="1:32" ht="75" customHeight="1">
      <c r="A700" s="102"/>
      <c r="B700" s="102"/>
      <c r="C700" s="102"/>
      <c r="D700" s="70"/>
      <c r="E700" s="102"/>
      <c r="F700" s="102"/>
      <c r="G700" s="102"/>
      <c r="H700" s="102"/>
      <c r="I700" s="102"/>
      <c r="J700" s="102"/>
      <c r="K700" s="103"/>
      <c r="L700" s="103"/>
      <c r="M700" s="103"/>
      <c r="N700" s="103"/>
      <c r="O700" s="103"/>
      <c r="P700" s="103"/>
      <c r="Q700" s="102"/>
      <c r="R700" s="102"/>
      <c r="S700" s="102"/>
      <c r="T700" s="102"/>
      <c r="U700" s="102"/>
      <c r="V700" s="102"/>
      <c r="W700" s="102"/>
      <c r="X700" s="102"/>
      <c r="Y700" s="102"/>
      <c r="Z700" s="102"/>
      <c r="AA700" s="102"/>
      <c r="AB700" s="102"/>
      <c r="AC700" s="102"/>
      <c r="AD700" s="102"/>
      <c r="AE700" s="102"/>
      <c r="AF700" s="102"/>
    </row>
  </sheetData>
  <autoFilter ref="A2:AF446" xr:uid="{1E7CA1DC-EF31-4600-B2CA-74809CBFE4F1}">
    <filterColumn colId="2">
      <filters>
        <filter val="SV20.1_IB2_1122.a"/>
        <filter val="SV20.1_IB3_1213.a"/>
        <filter val="SV20.1_V04_1409.a"/>
        <filter val="SV20.1_V04_1435.a"/>
      </filters>
    </filterColumn>
  </autoFilter>
  <mergeCells count="4">
    <mergeCell ref="Q1:U1"/>
    <mergeCell ref="E1:J1"/>
    <mergeCell ref="K1:P1"/>
    <mergeCell ref="V1:AC1"/>
  </mergeCells>
  <phoneticPr fontId="17" type="noConversion"/>
  <conditionalFormatting sqref="A101:E101 G101:I101 K101:M102 K104:M104 A102:D102 A69:B69 D69:G69 A160:E160 G160:I160 K160:M160 N54:S55 N98:S102 A161:M161 N152:S161 O171:S171 N171:N176 A68:G68 A70:G83 I98:M98 A85:H98 A103:S103 I105:M111 A105:H116 I152:M159 A150:H159 I171:M171 T97:U110 A15:U18 I112:U116 A54:M54 A84:S84 A99:M100 G104 I104 I134:N134 I135:U135 A134:H135 A148:S149 T148:U161 I150:S151 I162:P163 I95:U96 N111:U111 AD97:AE98 Q181:U188 AE181:AE189 A175:C176 I164:U166 AF181 X130:AA132 AB130:AE135 W133:AA134 I170:S170 A170:H174 A117:U122 A2:AE2 W135:W162 X135:AA135 A162:H166 H68:S79 I85:S94 A65:S67 I172:L176 Q172:S176 A55:B56 D55:M56 A58:AE62 N56:W56 A3:S14 A177:S179 A180:U180 H80:U83 I97:S97 T3:AE3 T65:AE66 T84:U94 A57:W57 X56:AE57 A104:E104 A48:S53 T170:U179 A167:U169 A136:U147 A129:N133 C129:C191 W129:W132 X129:AE129 O129:U134 W117:AE122 W170:W172 W181 X136:AE166 B46:S47 A35:A47 AD210:AE210 N104:S110 W164:W166 T4:U14 T67:U79 W17:AE17 W97:AD97 V184 V200 X97:X116 V93:AE96 Y98:AD98 K208 M208:P208 A225:D227 K209:P210 A209:D213 A193:D207 E197:J212 AE194:AF196 K197:P207 D192:U192 V191 C3:C122 V209:W209 X210:X211 AA210 W198:X198 AA198:AB198 A330:U330 X304:AB304 C231:C326 A229:B326 D229:U330 AD329 V292:AF302 AD303 AD305:AD313 X317:AF317 E214:U214 E331:U335 AD331:AE335 K212:P212 K211:L211 E213:L213 E216:U227 E215:L215 E337:U338 E336:L336 Q197:U213 Q215:U215 Q336:U336 X214:AB214 X338:AB338 AB211 X213 X215 X336 X217:AB217 AD216:AE217 AD337:AE338 V210 W4:AE12 W84:AE92 V98:W116 V182:W183 V185:W188 V199:W199 V201:W204 V218:W220 V222:W224 X181:Z188 X199:Z204 X222:X223 AB222:AB223 Y376:Z376 AC182:AC188 AE199:AE204 AC199:AC204 AE222:AE223 AD182:AD183 AD185:AD188 AD199 AD201:AD204 AC222:AD224 AF184 AF200 AF221 W67:AE77 V13:AE16 V18:AE18 B35:AE45 V78:AE81 V83:AE83 Y99:AE116 AA182:AA183 AA185:AA188 AA199 AA201:AA204 X218:AE221 Y222:AA224 A19:AE34 T46:AE55 W82:AE82 AE213 X216:AA216 X337:AA337 AE210:AE211 AE215:AE216 AE336:AE337 A427:D428 C429:D429 B430:D430 A429:A430 W168:AE168 W167:AB167 AD167:AE167 W169:AB169 AD169:AE170 V306:AC313 V318:AF318 V229:AF251 AE306:AF313 AB339 V253:AF267 X252:AB252 V269:AF271 X268:AB268 V273:AF273 X272:AB272 X314:AB314 V322:AF326 AE252 AE268 AE272 AE304 X316:AB316 AE316 AE321 AE314 V315:AF315 V276:AF290 X274:AB275 X319:AB321 AD274:AF275 AD319:AF320 X171:AE171 X192:AB193 X208:AE209 AF208:AF211 X172:AB180 X197:AB197 AD172:AE180 AD197:AE198 X227:AF227 X225:AB226 AB366 AD214:AE214 AD225:AF226 X205:AB207 X212:AB212 X330:AB335 AD205:AE207 AD212:AE212 AF213:AF217 A431:D700">
    <cfRule type="containsBlanks" dxfId="2452" priority="902">
      <formula>LEN(TRIM(A2))=0</formula>
    </cfRule>
  </conditionalFormatting>
  <conditionalFormatting sqref="M172:M176 O172:P176">
    <cfRule type="containsBlanks" dxfId="2451" priority="893">
      <formula>LEN(TRIM(M172))=0</formula>
    </cfRule>
  </conditionalFormatting>
  <conditionalFormatting sqref="F101">
    <cfRule type="containsBlanks" dxfId="2450" priority="892">
      <formula>LEN(TRIM(F101))=0</formula>
    </cfRule>
  </conditionalFormatting>
  <conditionalFormatting sqref="F104">
    <cfRule type="containsBlanks" dxfId="2449" priority="890">
      <formula>LEN(TRIM(F104))=0</formula>
    </cfRule>
  </conditionalFormatting>
  <conditionalFormatting sqref="J101">
    <cfRule type="containsBlanks" dxfId="2448" priority="889">
      <formula>LEN(TRIM(J101))=0</formula>
    </cfRule>
  </conditionalFormatting>
  <conditionalFormatting sqref="J104">
    <cfRule type="containsBlanks" dxfId="2447" priority="888">
      <formula>LEN(TRIM(J104))=0</formula>
    </cfRule>
  </conditionalFormatting>
  <conditionalFormatting sqref="E102:J102 H104">
    <cfRule type="containsBlanks" dxfId="2446" priority="887">
      <formula>LEN(TRIM(E102))=0</formula>
    </cfRule>
  </conditionalFormatting>
  <conditionalFormatting sqref="G181:G188 AA181:AD181 AA200:AB200 AA184:AB184 AD184 AD200 AB182:AB183 AB185:AB188 AB199 AB201:AB204 AD189">
    <cfRule type="containsBlanks" dxfId="2445" priority="886">
      <formula>LEN(TRIM(G181))=0</formula>
    </cfRule>
  </conditionalFormatting>
  <conditionalFormatting sqref="A181:F182 A183:D184 A185:C187 A188:D188 E183:F188 H181:P181 P182:P188 H182:N188 A192:C192 A208:B208 D208 C189:D189 A214 C214:D214 A215:D223 C228">
    <cfRule type="containsBlanks" dxfId="2444" priority="883">
      <formula>LEN(TRIM(A181))=0</formula>
    </cfRule>
  </conditionalFormatting>
  <conditionalFormatting sqref="C69">
    <cfRule type="containsBlanks" dxfId="2443" priority="881">
      <formula>LEN(TRIM(C69))=0</formula>
    </cfRule>
  </conditionalFormatting>
  <conditionalFormatting sqref="C55:C56">
    <cfRule type="containsBlanks" dxfId="2442" priority="880">
      <formula>LEN(TRIM(C55))=0</formula>
    </cfRule>
  </conditionalFormatting>
  <conditionalFormatting sqref="J160">
    <cfRule type="containsBlanks" dxfId="2441" priority="879">
      <formula>LEN(TRIM(J160))=0</formula>
    </cfRule>
  </conditionalFormatting>
  <conditionalFormatting sqref="F160">
    <cfRule type="containsBlanks" dxfId="2440" priority="877">
      <formula>LEN(TRIM(F160))=0</formula>
    </cfRule>
  </conditionalFormatting>
  <conditionalFormatting sqref="Q162:U162">
    <cfRule type="containsBlanks" dxfId="2439" priority="874">
      <formula>LEN(TRIM(Q162))=0</formula>
    </cfRule>
  </conditionalFormatting>
  <conditionalFormatting sqref="Q163:U163">
    <cfRule type="containsBlanks" dxfId="2438" priority="875">
      <formula>LEN(TRIM(Q163))=0</formula>
    </cfRule>
  </conditionalFormatting>
  <conditionalFormatting sqref="AF2">
    <cfRule type="containsBlanks" dxfId="2437" priority="872">
      <formula>LEN(TRIM(AF2))=0</formula>
    </cfRule>
  </conditionalFormatting>
  <conditionalFormatting sqref="AF170:AF171">
    <cfRule type="containsBlanks" dxfId="2436" priority="871">
      <formula>LEN(TRIM(AF170))=0</formula>
    </cfRule>
  </conditionalFormatting>
  <conditionalFormatting sqref="W184">
    <cfRule type="containsBlanks" dxfId="2435" priority="870">
      <formula>LEN(TRIM(W184))=0</formula>
    </cfRule>
  </conditionalFormatting>
  <conditionalFormatting sqref="D185">
    <cfRule type="containsBlanks" dxfId="2434" priority="869">
      <formula>LEN(TRIM(D185))=0</formula>
    </cfRule>
  </conditionalFormatting>
  <conditionalFormatting sqref="D186">
    <cfRule type="containsBlanks" dxfId="2433" priority="868">
      <formula>LEN(TRIM(D186))=0</formula>
    </cfRule>
  </conditionalFormatting>
  <conditionalFormatting sqref="D187">
    <cfRule type="containsBlanks" dxfId="2432" priority="867">
      <formula>LEN(TRIM(D187))=0</formula>
    </cfRule>
  </conditionalFormatting>
  <conditionalFormatting sqref="W163">
    <cfRule type="containsBlanks" dxfId="2431" priority="863">
      <formula>LEN(TRIM(W163))=0</formula>
    </cfRule>
  </conditionalFormatting>
  <conditionalFormatting sqref="X170:AC170">
    <cfRule type="containsBlanks" dxfId="2430" priority="862">
      <formula>LEN(TRIM(X170))=0</formula>
    </cfRule>
  </conditionalFormatting>
  <conditionalFormatting sqref="D175:H176">
    <cfRule type="containsBlanks" dxfId="2429" priority="861">
      <formula>LEN(TRIM(D175))=0</formula>
    </cfRule>
  </conditionalFormatting>
  <conditionalFormatting sqref="AF189">
    <cfRule type="containsBlanks" dxfId="2428" priority="855">
      <formula>LEN(TRIM(AF189))=0</formula>
    </cfRule>
  </conditionalFormatting>
  <conditionalFormatting sqref="AE190 Q190:U191 AD191:AE191 X191:Z191">
    <cfRule type="containsBlanks" dxfId="2427" priority="838">
      <formula>LEN(TRIM(Q190))=0</formula>
    </cfRule>
  </conditionalFormatting>
  <conditionalFormatting sqref="AA190:AD190 G190:G191 AA191:AC191">
    <cfRule type="containsBlanks" dxfId="2426" priority="837">
      <formula>LEN(TRIM(G190))=0</formula>
    </cfRule>
  </conditionalFormatting>
  <conditionalFormatting sqref="A190:F191 H190:P191">
    <cfRule type="containsBlanks" dxfId="2425" priority="836">
      <formula>LEN(TRIM(A190))=0</formula>
    </cfRule>
  </conditionalFormatting>
  <conditionalFormatting sqref="AF190:AF191">
    <cfRule type="containsBlanks" dxfId="2424" priority="835">
      <formula>LEN(TRIM(AF190))=0</formula>
    </cfRule>
  </conditionalFormatting>
  <conditionalFormatting sqref="W191">
    <cfRule type="containsBlanks" dxfId="2423" priority="834">
      <formula>LEN(TRIM(W191))=0</formula>
    </cfRule>
  </conditionalFormatting>
  <conditionalFormatting sqref="O182:O188">
    <cfRule type="containsBlanks" dxfId="2422" priority="832">
      <formula>LEN(TRIM(O182))=0</formula>
    </cfRule>
  </conditionalFormatting>
  <conditionalFormatting sqref="A63:AE64">
    <cfRule type="containsBlanks" dxfId="2421" priority="830">
      <formula>LEN(TRIM(A63))=0</formula>
    </cfRule>
  </conditionalFormatting>
  <conditionalFormatting sqref="E193:U193 AD192:AE193">
    <cfRule type="containsBlanks" dxfId="2420" priority="829">
      <formula>LEN(TRIM(E192))=0</formula>
    </cfRule>
  </conditionalFormatting>
  <conditionalFormatting sqref="E194:J196">
    <cfRule type="containsBlanks" dxfId="2419" priority="817">
      <formula>LEN(TRIM(E194))=0</formula>
    </cfRule>
  </conditionalFormatting>
  <conditionalFormatting sqref="K194:P196">
    <cfRule type="containsBlanks" dxfId="2418" priority="816">
      <formula>LEN(TRIM(K194))=0</formula>
    </cfRule>
  </conditionalFormatting>
  <conditionalFormatting sqref="Q194:U196">
    <cfRule type="containsBlanks" dxfId="2417" priority="815">
      <formula>LEN(TRIM(Q194))=0</formula>
    </cfRule>
  </conditionalFormatting>
  <conditionalFormatting sqref="W195">
    <cfRule type="containsBlanks" dxfId="2416" priority="813">
      <formula>LEN(TRIM(W195))=0</formula>
    </cfRule>
  </conditionalFormatting>
  <conditionalFormatting sqref="X194:AC195 AC211 AC213 AC215 AC336 AC412 AB210 AB216 AB337 X196:AB196">
    <cfRule type="containsBlanks" dxfId="2415" priority="812">
      <formula>LEN(TRIM(X194))=0</formula>
    </cfRule>
  </conditionalFormatting>
  <conditionalFormatting sqref="AD194:AD196 AD211 AD213 AD215 AD336">
    <cfRule type="containsBlanks" dxfId="2414" priority="811">
      <formula>LEN(TRIM(AD194))=0</formula>
    </cfRule>
  </conditionalFormatting>
  <conditionalFormatting sqref="V198">
    <cfRule type="containsBlanks" dxfId="2413" priority="806">
      <formula>LEN(TRIM(V198))=0</formula>
    </cfRule>
  </conditionalFormatting>
  <conditionalFormatting sqref="W200">
    <cfRule type="containsBlanks" dxfId="2412" priority="783">
      <formula>LEN(TRIM(W200))=0</formula>
    </cfRule>
  </conditionalFormatting>
  <conditionalFormatting sqref="A123:U128 W123:AE128">
    <cfRule type="containsBlanks" dxfId="2411" priority="782">
      <formula>LEN(TRIM(A123))=0</formula>
    </cfRule>
  </conditionalFormatting>
  <conditionalFormatting sqref="V167:V172 V117:V163 V195 V179 V181">
    <cfRule type="containsBlanks" dxfId="2410" priority="780">
      <formula>LEN(TRIM(V117))=0</formula>
    </cfRule>
  </conditionalFormatting>
  <conditionalFormatting sqref="V164">
    <cfRule type="containsBlanks" dxfId="2409" priority="696">
      <formula>LEN(TRIM(V164))=0</formula>
    </cfRule>
  </conditionalFormatting>
  <conditionalFormatting sqref="V165">
    <cfRule type="containsBlanks" dxfId="2408" priority="695">
      <formula>LEN(TRIM(V165))=0</formula>
    </cfRule>
  </conditionalFormatting>
  <conditionalFormatting sqref="V166">
    <cfRule type="containsBlanks" dxfId="2407" priority="694">
      <formula>LEN(TRIM(V166))=0</formula>
    </cfRule>
  </conditionalFormatting>
  <conditionalFormatting sqref="V205">
    <cfRule type="containsBlanks" dxfId="2406" priority="693">
      <formula>LEN(TRIM(V205))=0</formula>
    </cfRule>
  </conditionalFormatting>
  <conditionalFormatting sqref="W205">
    <cfRule type="containsBlanks" dxfId="2405" priority="692">
      <formula>LEN(TRIM(W205))=0</formula>
    </cfRule>
  </conditionalFormatting>
  <conditionalFormatting sqref="AC217">
    <cfRule type="containsBlanks" dxfId="2404" priority="664">
      <formula>LEN(TRIM(AC217))=0</formula>
    </cfRule>
  </conditionalFormatting>
  <conditionalFormatting sqref="V208">
    <cfRule type="containsBlanks" dxfId="2403" priority="678">
      <formula>LEN(TRIM(V208))=0</formula>
    </cfRule>
  </conditionalFormatting>
  <conditionalFormatting sqref="V227:W227">
    <cfRule type="containsBlanks" dxfId="2402" priority="652">
      <formula>LEN(TRIM(V227))=0</formula>
    </cfRule>
  </conditionalFormatting>
  <conditionalFormatting sqref="V194:W194">
    <cfRule type="containsBlanks" dxfId="2401" priority="679">
      <formula>LEN(TRIM(V194))=0</formula>
    </cfRule>
  </conditionalFormatting>
  <conditionalFormatting sqref="W213">
    <cfRule type="containsBlanks" dxfId="2400" priority="681">
      <formula>LEN(TRIM(W213))=0</formula>
    </cfRule>
  </conditionalFormatting>
  <conditionalFormatting sqref="V196:W196">
    <cfRule type="containsBlanks" dxfId="2399" priority="680">
      <formula>LEN(TRIM(V196))=0</formula>
    </cfRule>
  </conditionalFormatting>
  <conditionalFormatting sqref="W208">
    <cfRule type="containsBlanks" dxfId="2398" priority="677">
      <formula>LEN(TRIM(W208))=0</formula>
    </cfRule>
  </conditionalFormatting>
  <conditionalFormatting sqref="W189">
    <cfRule type="containsBlanks" dxfId="2397" priority="672">
      <formula>LEN(TRIM(W189))=0</formula>
    </cfRule>
  </conditionalFormatting>
  <conditionalFormatting sqref="X189:AC189">
    <cfRule type="containsBlanks" dxfId="2396" priority="675">
      <formula>LEN(TRIM(X189))=0</formula>
    </cfRule>
  </conditionalFormatting>
  <conditionalFormatting sqref="A189:B189">
    <cfRule type="containsBlanks" dxfId="2395" priority="674">
      <formula>LEN(TRIM(A189))=0</formula>
    </cfRule>
  </conditionalFormatting>
  <conditionalFormatting sqref="V189">
    <cfRule type="containsBlanks" dxfId="2394" priority="673">
      <formula>LEN(TRIM(V189))=0</formula>
    </cfRule>
  </conditionalFormatting>
  <conditionalFormatting sqref="E189:P189">
    <cfRule type="containsBlanks" dxfId="2393" priority="671">
      <formula>LEN(TRIM(E189))=0</formula>
    </cfRule>
  </conditionalFormatting>
  <conditionalFormatting sqref="Q189:U189">
    <cfRule type="containsBlanks" dxfId="2392" priority="670">
      <formula>LEN(TRIM(Q189))=0</formula>
    </cfRule>
  </conditionalFormatting>
  <conditionalFormatting sqref="C208">
    <cfRule type="containsBlanks" dxfId="2391" priority="669">
      <formula>LEN(TRIM(C208))=0</formula>
    </cfRule>
  </conditionalFormatting>
  <conditionalFormatting sqref="C208">
    <cfRule type="containsBlanks" dxfId="2390" priority="668">
      <formula>LEN(TRIM(C208))=0</formula>
    </cfRule>
  </conditionalFormatting>
  <conditionalFormatting sqref="V216:W217 W215">
    <cfRule type="containsBlanks" dxfId="2389" priority="665">
      <formula>LEN(TRIM(V215))=0</formula>
    </cfRule>
  </conditionalFormatting>
  <conditionalFormatting sqref="V221:W221">
    <cfRule type="containsBlanks" dxfId="2388" priority="663">
      <formula>LEN(TRIM(V221))=0</formula>
    </cfRule>
  </conditionalFormatting>
  <conditionalFormatting sqref="V4:V12 V17 V67:V77 V82 V84:V92 V97">
    <cfRule type="containsBlanks" dxfId="2387" priority="662">
      <formula>LEN(TRIM(V4))=0</formula>
    </cfRule>
  </conditionalFormatting>
  <conditionalFormatting sqref="X224 AB224 AE224">
    <cfRule type="containsBlanks" dxfId="2386" priority="661">
      <formula>LEN(TRIM(X224))=0</formula>
    </cfRule>
  </conditionalFormatting>
  <conditionalFormatting sqref="A224:D224">
    <cfRule type="containsBlanks" dxfId="2385" priority="660">
      <formula>LEN(TRIM(A224))=0</formula>
    </cfRule>
  </conditionalFormatting>
  <conditionalFormatting sqref="AD228:AE228">
    <cfRule type="containsBlanks" dxfId="2384" priority="648">
      <formula>LEN(TRIM(AD228))=0</formula>
    </cfRule>
  </conditionalFormatting>
  <conditionalFormatting sqref="A228:B228 D228">
    <cfRule type="containsBlanks" dxfId="2383" priority="647">
      <formula>LEN(TRIM(A228))=0</formula>
    </cfRule>
  </conditionalFormatting>
  <conditionalFormatting sqref="E228:U228 X228:Z228 AB228">
    <cfRule type="containsBlanks" dxfId="2382" priority="646">
      <formula>LEN(TRIM(E228))=0</formula>
    </cfRule>
  </conditionalFormatting>
  <conditionalFormatting sqref="W190">
    <cfRule type="containsBlanks" dxfId="2381" priority="510">
      <formula>LEN(TRIM(W190))=0</formula>
    </cfRule>
  </conditionalFormatting>
  <conditionalFormatting sqref="Y210:Z210">
    <cfRule type="containsBlanks" dxfId="2380" priority="508">
      <formula>LEN(TRIM(Y210))=0</formula>
    </cfRule>
  </conditionalFormatting>
  <conditionalFormatting sqref="Y198:Z198">
    <cfRule type="containsBlanks" dxfId="2379" priority="507">
      <formula>LEN(TRIM(Y198))=0</formula>
    </cfRule>
  </conditionalFormatting>
  <conditionalFormatting sqref="AD327:AE327">
    <cfRule type="containsBlanks" dxfId="2378" priority="462">
      <formula>LEN(TRIM(AD327))=0</formula>
    </cfRule>
  </conditionalFormatting>
  <conditionalFormatting sqref="C230">
    <cfRule type="containsBlanks" dxfId="2377" priority="469">
      <formula>LEN(TRIM(C230))=0</formula>
    </cfRule>
  </conditionalFormatting>
  <conditionalFormatting sqref="C229">
    <cfRule type="containsBlanks" dxfId="2376" priority="468">
      <formula>LEN(TRIM(C229))=0</formula>
    </cfRule>
  </conditionalFormatting>
  <conditionalFormatting sqref="C327">
    <cfRule type="containsBlanks" dxfId="2375" priority="466">
      <formula>LEN(TRIM(C327))=0</formula>
    </cfRule>
  </conditionalFormatting>
  <conditionalFormatting sqref="A327:B327">
    <cfRule type="containsBlanks" dxfId="2374" priority="465">
      <formula>LEN(TRIM(A327))=0</formula>
    </cfRule>
  </conditionalFormatting>
  <conditionalFormatting sqref="C328">
    <cfRule type="containsBlanks" dxfId="2373" priority="464">
      <formula>LEN(TRIM(C328))=0</formula>
    </cfRule>
  </conditionalFormatting>
  <conditionalFormatting sqref="A328:B328">
    <cfRule type="containsBlanks" dxfId="2372" priority="463">
      <formula>LEN(TRIM(A328))=0</formula>
    </cfRule>
  </conditionalFormatting>
  <conditionalFormatting sqref="A331:A332 C331:D332 A333:D339 B340:D340 A341:C342 A343:B343 A344:C344 A345 C345 D343 C364 A355:A364 A365:C365 B368:D368 A369:D371 B372:C373 A374:C374 A375:D399">
    <cfRule type="containsBlanks" dxfId="2371" priority="435">
      <formula>LEN(TRIM(A331))=0</formula>
    </cfRule>
  </conditionalFormatting>
  <conditionalFormatting sqref="X327:AB327">
    <cfRule type="containsBlanks" dxfId="2370" priority="461">
      <formula>LEN(TRIM(X327))=0</formula>
    </cfRule>
  </conditionalFormatting>
  <conditionalFormatting sqref="AD328:AE328 AE329:AE330 AD349:AD351 AD358:AD360">
    <cfRule type="containsBlanks" dxfId="2369" priority="460">
      <formula>LEN(TRIM(AD328))=0</formula>
    </cfRule>
  </conditionalFormatting>
  <conditionalFormatting sqref="X328:AB328">
    <cfRule type="containsBlanks" dxfId="2368" priority="459">
      <formula>LEN(TRIM(X328))=0</formula>
    </cfRule>
  </conditionalFormatting>
  <conditionalFormatting sqref="V328">
    <cfRule type="containsBlanks" dxfId="2367" priority="458">
      <formula>LEN(TRIM(V328))=0</formula>
    </cfRule>
  </conditionalFormatting>
  <conditionalFormatting sqref="V327">
    <cfRule type="containsBlanks" dxfId="2366" priority="457">
      <formula>LEN(TRIM(V327))=0</formula>
    </cfRule>
  </conditionalFormatting>
  <conditionalFormatting sqref="W327">
    <cfRule type="containsBlanks" dxfId="2365" priority="456">
      <formula>LEN(TRIM(W327))=0</formula>
    </cfRule>
  </conditionalFormatting>
  <conditionalFormatting sqref="W328">
    <cfRule type="containsBlanks" dxfId="2364" priority="455">
      <formula>LEN(TRIM(W328))=0</formula>
    </cfRule>
  </conditionalFormatting>
  <conditionalFormatting sqref="AC327:AC328">
    <cfRule type="containsBlanks" dxfId="2363" priority="454">
      <formula>LEN(TRIM(AC327))=0</formula>
    </cfRule>
  </conditionalFormatting>
  <conditionalFormatting sqref="A329">
    <cfRule type="containsBlanks" dxfId="2362" priority="452">
      <formula>LEN(TRIM(A329))=0</formula>
    </cfRule>
  </conditionalFormatting>
  <conditionalFormatting sqref="B329">
    <cfRule type="containsBlanks" dxfId="2361" priority="451">
      <formula>LEN(TRIM(B329))=0</formula>
    </cfRule>
  </conditionalFormatting>
  <conditionalFormatting sqref="V329:W329">
    <cfRule type="containsBlanks" dxfId="2360" priority="450">
      <formula>LEN(TRIM(V329))=0</formula>
    </cfRule>
  </conditionalFormatting>
  <conditionalFormatting sqref="X329">
    <cfRule type="containsBlanks" dxfId="2359" priority="448">
      <formula>LEN(TRIM(X329))=0</formula>
    </cfRule>
  </conditionalFormatting>
  <conditionalFormatting sqref="Y329:Z329">
    <cfRule type="containsBlanks" dxfId="2358" priority="447">
      <formula>LEN(TRIM(Y329))=0</formula>
    </cfRule>
  </conditionalFormatting>
  <conditionalFormatting sqref="AA329">
    <cfRule type="containsBlanks" dxfId="2357" priority="445">
      <formula>LEN(TRIM(AA329))=0</formula>
    </cfRule>
  </conditionalFormatting>
  <conditionalFormatting sqref="AB329">
    <cfRule type="containsBlanks" dxfId="2356" priority="444">
      <formula>LEN(TRIM(AB329))=0</formula>
    </cfRule>
  </conditionalFormatting>
  <conditionalFormatting sqref="AC329">
    <cfRule type="containsBlanks" dxfId="2355" priority="443">
      <formula>LEN(TRIM(AC329))=0</formula>
    </cfRule>
  </conditionalFormatting>
  <conditionalFormatting sqref="V291:AE291">
    <cfRule type="containsBlanks" dxfId="2354" priority="442">
      <formula>LEN(TRIM(V291))=0</formula>
    </cfRule>
  </conditionalFormatting>
  <conditionalFormatting sqref="AF327:AF328 AF291">
    <cfRule type="containsBlanks" dxfId="2353" priority="474">
      <formula>LEN(TRIM(AF291))=0</formula>
    </cfRule>
  </conditionalFormatting>
  <conditionalFormatting sqref="C329">
    <cfRule type="containsBlanks" dxfId="2352" priority="453">
      <formula>LEN(TRIM(C329))=0</formula>
    </cfRule>
  </conditionalFormatting>
  <conditionalFormatting sqref="V305:AC305 AE305:AF305">
    <cfRule type="containsBlanks" dxfId="2351" priority="438">
      <formula>LEN(TRIM(V305))=0</formula>
    </cfRule>
  </conditionalFormatting>
  <conditionalFormatting sqref="V303:AC303 AE303:AF303">
    <cfRule type="containsBlanks" dxfId="2350" priority="440">
      <formula>LEN(TRIM(V303))=0</formula>
    </cfRule>
  </conditionalFormatting>
  <conditionalFormatting sqref="V317:W317">
    <cfRule type="containsBlanks" dxfId="2349" priority="437">
      <formula>LEN(TRIM(V317))=0</formula>
    </cfRule>
  </conditionalFormatting>
  <conditionalFormatting sqref="E385:U399 AD340:AF340 AD375:AF375 X375:AB375 X376 E377:E384 X377:AB395 AD377:AF395 AD399 AE399:AF401 AD368:AF370 AF419:AF420 AF423 AF371:AF374 AE339 X398:AB399 X396:Z396 AB396:AB397 AD398:AF398 AD396:AE397 AF331:AF338 AF341:AF344">
    <cfRule type="containsBlanks" dxfId="2348" priority="436">
      <formula>LEN(TRIM(E331))=0</formula>
    </cfRule>
  </conditionalFormatting>
  <conditionalFormatting sqref="V339:W340 V368:W373 V419:W424 V342:W343 V375:W395 V398:W399 V333:W335">
    <cfRule type="containsBlanks" dxfId="2347" priority="434">
      <formula>LEN(TRIM(V333))=0</formula>
    </cfRule>
  </conditionalFormatting>
  <conditionalFormatting sqref="AC338 AC377:AC401 AC368:AC373 AC419:AC420 AC423 AC375 AC342:AC344 AC340 AC333:AC335">
    <cfRule type="containsBlanks" dxfId="2346" priority="433">
      <formula>LEN(TRIM(AC333))=0</formula>
    </cfRule>
  </conditionalFormatting>
  <conditionalFormatting sqref="E400:U412 AD400:AD401 AD402:AF412 X400:AB412 X417:AB443 AD417:AF418 E417:U424 AD421:AF422 AD419:AE420 AD424:AF424 AD423:AE423 AD425:AD426 E427:U700 AD427:AF443 X447:AB700 X444 AD447:AF700 AE444:AF446">
    <cfRule type="containsBlanks" dxfId="2345" priority="432">
      <formula>LEN(TRIM(E400))=0</formula>
    </cfRule>
  </conditionalFormatting>
  <conditionalFormatting sqref="A400:D412 A417:D424 A425:C426">
    <cfRule type="containsBlanks" dxfId="2344" priority="431">
      <formula>LEN(TRIM(A400))=0</formula>
    </cfRule>
  </conditionalFormatting>
  <conditionalFormatting sqref="V400:W412 V417:W418 V425:W426 V428:W700">
    <cfRule type="containsBlanks" dxfId="2343" priority="430">
      <formula>LEN(TRIM(V400))=0</formula>
    </cfRule>
  </conditionalFormatting>
  <conditionalFormatting sqref="AC402:AC411 AC417:AC418 AC421:AC422 AC424 AC427:AC443 AC447:AC700">
    <cfRule type="containsBlanks" dxfId="2342" priority="429">
      <formula>LEN(TRIM(AC402))=0</formula>
    </cfRule>
  </conditionalFormatting>
  <conditionalFormatting sqref="V336:V338">
    <cfRule type="containsBlanks" dxfId="2341" priority="428">
      <formula>LEN(TRIM(V336))=0</formula>
    </cfRule>
  </conditionalFormatting>
  <conditionalFormatting sqref="W336:W338">
    <cfRule type="containsBlanks" dxfId="2340" priority="427">
      <formula>LEN(TRIM(W336))=0</formula>
    </cfRule>
  </conditionalFormatting>
  <conditionalFormatting sqref="D341">
    <cfRule type="containsBlanks" dxfId="2339" priority="397">
      <formula>LEN(TRIM(D341))=0</formula>
    </cfRule>
  </conditionalFormatting>
  <conditionalFormatting sqref="N339">
    <cfRule type="containsBlanks" dxfId="2338" priority="415">
      <formula>LEN(TRIM(N339))=0</formula>
    </cfRule>
  </conditionalFormatting>
  <conditionalFormatting sqref="E339">
    <cfRule type="containsBlanks" dxfId="2337" priority="424">
      <formula>LEN(TRIM(E339))=0</formula>
    </cfRule>
  </conditionalFormatting>
  <conditionalFormatting sqref="F339">
    <cfRule type="containsBlanks" dxfId="2336" priority="423">
      <formula>LEN(TRIM(F339))=0</formula>
    </cfRule>
  </conditionalFormatting>
  <conditionalFormatting sqref="G339">
    <cfRule type="containsBlanks" dxfId="2335" priority="422">
      <formula>LEN(TRIM(G339))=0</formula>
    </cfRule>
  </conditionalFormatting>
  <conditionalFormatting sqref="H339">
    <cfRule type="containsBlanks" dxfId="2334" priority="421">
      <formula>LEN(TRIM(H339))=0</formula>
    </cfRule>
  </conditionalFormatting>
  <conditionalFormatting sqref="I339">
    <cfRule type="containsBlanks" dxfId="2333" priority="420">
      <formula>LEN(TRIM(I339))=0</formula>
    </cfRule>
  </conditionalFormatting>
  <conditionalFormatting sqref="J339">
    <cfRule type="containsBlanks" dxfId="2332" priority="419">
      <formula>LEN(TRIM(J339))=0</formula>
    </cfRule>
  </conditionalFormatting>
  <conditionalFormatting sqref="K339">
    <cfRule type="containsBlanks" dxfId="2331" priority="418">
      <formula>LEN(TRIM(K339))=0</formula>
    </cfRule>
  </conditionalFormatting>
  <conditionalFormatting sqref="L339">
    <cfRule type="containsBlanks" dxfId="2330" priority="417">
      <formula>LEN(TRIM(L339))=0</formula>
    </cfRule>
  </conditionalFormatting>
  <conditionalFormatting sqref="M339">
    <cfRule type="containsBlanks" dxfId="2329" priority="416">
      <formula>LEN(TRIM(M339))=0</formula>
    </cfRule>
  </conditionalFormatting>
  <conditionalFormatting sqref="O339">
    <cfRule type="containsBlanks" dxfId="2328" priority="414">
      <formula>LEN(TRIM(O339))=0</formula>
    </cfRule>
  </conditionalFormatting>
  <conditionalFormatting sqref="P339">
    <cfRule type="containsBlanks" dxfId="2327" priority="413">
      <formula>LEN(TRIM(P339))=0</formula>
    </cfRule>
  </conditionalFormatting>
  <conditionalFormatting sqref="Q339">
    <cfRule type="containsBlanks" dxfId="2326" priority="412">
      <formula>LEN(TRIM(Q339))=0</formula>
    </cfRule>
  </conditionalFormatting>
  <conditionalFormatting sqref="R339">
    <cfRule type="containsBlanks" dxfId="2325" priority="411">
      <formula>LEN(TRIM(R339))=0</formula>
    </cfRule>
  </conditionalFormatting>
  <conditionalFormatting sqref="S339">
    <cfRule type="containsBlanks" dxfId="2324" priority="410">
      <formula>LEN(TRIM(S339))=0</formula>
    </cfRule>
  </conditionalFormatting>
  <conditionalFormatting sqref="T339">
    <cfRule type="containsBlanks" dxfId="2323" priority="409">
      <formula>LEN(TRIM(T339))=0</formula>
    </cfRule>
  </conditionalFormatting>
  <conditionalFormatting sqref="U339">
    <cfRule type="containsBlanks" dxfId="2322" priority="408">
      <formula>LEN(TRIM(U339))=0</formula>
    </cfRule>
  </conditionalFormatting>
  <conditionalFormatting sqref="X339">
    <cfRule type="containsBlanks" dxfId="2321" priority="407">
      <formula>LEN(TRIM(X339))=0</formula>
    </cfRule>
  </conditionalFormatting>
  <conditionalFormatting sqref="Y339">
    <cfRule type="containsBlanks" dxfId="2320" priority="406">
      <formula>LEN(TRIM(Y339))=0</formula>
    </cfRule>
  </conditionalFormatting>
  <conditionalFormatting sqref="Z339">
    <cfRule type="containsBlanks" dxfId="2319" priority="405">
      <formula>LEN(TRIM(Z339))=0</formula>
    </cfRule>
  </conditionalFormatting>
  <conditionalFormatting sqref="AA339">
    <cfRule type="containsBlanks" dxfId="2318" priority="404">
      <formula>LEN(TRIM(AA339))=0</formula>
    </cfRule>
  </conditionalFormatting>
  <conditionalFormatting sqref="X342:AB342">
    <cfRule type="containsBlanks" dxfId="2317" priority="390">
      <formula>LEN(TRIM(X342))=0</formula>
    </cfRule>
  </conditionalFormatting>
  <conditionalFormatting sqref="A340">
    <cfRule type="containsBlanks" dxfId="2316" priority="402">
      <formula>LEN(TRIM(A340))=0</formula>
    </cfRule>
  </conditionalFormatting>
  <conditionalFormatting sqref="E340:P340">
    <cfRule type="containsBlanks" dxfId="2315" priority="401">
      <formula>LEN(TRIM(E340))=0</formula>
    </cfRule>
  </conditionalFormatting>
  <conditionalFormatting sqref="Q340:U340">
    <cfRule type="containsBlanks" dxfId="2314" priority="400">
      <formula>LEN(TRIM(Q340))=0</formula>
    </cfRule>
  </conditionalFormatting>
  <conditionalFormatting sqref="X340:AB340">
    <cfRule type="containsBlanks" dxfId="2313" priority="399">
      <formula>LEN(TRIM(X340))=0</formula>
    </cfRule>
  </conditionalFormatting>
  <conditionalFormatting sqref="E341:P341">
    <cfRule type="containsBlanks" dxfId="2312" priority="398">
      <formula>LEN(TRIM(E341))=0</formula>
    </cfRule>
  </conditionalFormatting>
  <conditionalFormatting sqref="Q341:U341">
    <cfRule type="containsBlanks" dxfId="2311" priority="396">
      <formula>LEN(TRIM(Q341))=0</formula>
    </cfRule>
  </conditionalFormatting>
  <conditionalFormatting sqref="X341:AB341">
    <cfRule type="containsBlanks" dxfId="2310" priority="395">
      <formula>LEN(TRIM(X341))=0</formula>
    </cfRule>
  </conditionalFormatting>
  <conditionalFormatting sqref="AE341">
    <cfRule type="containsBlanks" dxfId="2309" priority="394">
      <formula>LEN(TRIM(AE341))=0</formula>
    </cfRule>
  </conditionalFormatting>
  <conditionalFormatting sqref="E342:P343">
    <cfRule type="containsBlanks" dxfId="2308" priority="393">
      <formula>LEN(TRIM(E342))=0</formula>
    </cfRule>
  </conditionalFormatting>
  <conditionalFormatting sqref="D342">
    <cfRule type="containsBlanks" dxfId="2307" priority="392">
      <formula>LEN(TRIM(D342))=0</formula>
    </cfRule>
  </conditionalFormatting>
  <conditionalFormatting sqref="Q342:U343">
    <cfRule type="containsBlanks" dxfId="2306" priority="391">
      <formula>LEN(TRIM(Q342))=0</formula>
    </cfRule>
  </conditionalFormatting>
  <conditionalFormatting sqref="V213">
    <cfRule type="containsBlanks" dxfId="2305" priority="363">
      <formula>LEN(TRIM(V213))=0</formula>
    </cfRule>
  </conditionalFormatting>
  <conditionalFormatting sqref="AE342">
    <cfRule type="containsBlanks" dxfId="2304" priority="389">
      <formula>LEN(TRIM(AE342))=0</formula>
    </cfRule>
  </conditionalFormatting>
  <conditionalFormatting sqref="AB213">
    <cfRule type="containsBlanks" dxfId="2303" priority="380">
      <formula>LEN(TRIM(AB213))=0</formula>
    </cfRule>
  </conditionalFormatting>
  <conditionalFormatting sqref="X190">
    <cfRule type="containsBlanks" dxfId="2302" priority="355">
      <formula>LEN(TRIM(X190))=0</formula>
    </cfRule>
  </conditionalFormatting>
  <conditionalFormatting sqref="Y213">
    <cfRule type="containsBlanks" dxfId="2301" priority="377">
      <formula>LEN(TRIM(Y213))=0</formula>
    </cfRule>
  </conditionalFormatting>
  <conditionalFormatting sqref="Y215">
    <cfRule type="containsBlanks" dxfId="2300" priority="376">
      <formula>LEN(TRIM(Y215))=0</formula>
    </cfRule>
  </conditionalFormatting>
  <conditionalFormatting sqref="AB215">
    <cfRule type="containsBlanks" dxfId="2299" priority="379">
      <formula>LEN(TRIM(AB215))=0</formula>
    </cfRule>
  </conditionalFormatting>
  <conditionalFormatting sqref="Y211">
    <cfRule type="containsBlanks" dxfId="2298" priority="374">
      <formula>LEN(TRIM(Y211))=0</formula>
    </cfRule>
  </conditionalFormatting>
  <conditionalFormatting sqref="Z211">
    <cfRule type="containsBlanks" dxfId="2297" priority="373">
      <formula>LEN(TRIM(Z211))=0</formula>
    </cfRule>
  </conditionalFormatting>
  <conditionalFormatting sqref="AA215">
    <cfRule type="containsBlanks" dxfId="2296" priority="357">
      <formula>LEN(TRIM(AA215))=0</formula>
    </cfRule>
  </conditionalFormatting>
  <conditionalFormatting sqref="Z213">
    <cfRule type="containsBlanks" dxfId="2295" priority="369">
      <formula>LEN(TRIM(Z213))=0</formula>
    </cfRule>
  </conditionalFormatting>
  <conditionalFormatting sqref="Z215">
    <cfRule type="containsBlanks" dxfId="2294" priority="368">
      <formula>LEN(TRIM(Z215))=0</formula>
    </cfRule>
  </conditionalFormatting>
  <conditionalFormatting sqref="Z336">
    <cfRule type="containsBlanks" dxfId="2293" priority="367">
      <formula>LEN(TRIM(Z336))=0</formula>
    </cfRule>
  </conditionalFormatting>
  <conditionalFormatting sqref="Z190">
    <cfRule type="containsBlanks" dxfId="2292" priority="366">
      <formula>LEN(TRIM(Z190))=0</formula>
    </cfRule>
  </conditionalFormatting>
  <conditionalFormatting sqref="Y190">
    <cfRule type="containsBlanks" dxfId="2291" priority="365">
      <formula>LEN(TRIM(Y190))=0</formula>
    </cfRule>
  </conditionalFormatting>
  <conditionalFormatting sqref="V215">
    <cfRule type="containsBlanks" dxfId="2290" priority="364">
      <formula>LEN(TRIM(V215))=0</formula>
    </cfRule>
  </conditionalFormatting>
  <conditionalFormatting sqref="V211">
    <cfRule type="containsBlanks" dxfId="2289" priority="362">
      <formula>LEN(TRIM(V211))=0</formula>
    </cfRule>
  </conditionalFormatting>
  <conditionalFormatting sqref="V190">
    <cfRule type="containsBlanks" dxfId="2288" priority="361">
      <formula>LEN(TRIM(V190))=0</formula>
    </cfRule>
  </conditionalFormatting>
  <conditionalFormatting sqref="M336:P336 M215:P215 M213:P213 M211:P211">
    <cfRule type="containsBlanks" dxfId="2287" priority="360">
      <formula>LEN(TRIM(M211))=0</formula>
    </cfRule>
  </conditionalFormatting>
  <conditionalFormatting sqref="AA211">
    <cfRule type="containsBlanks" dxfId="2286" priority="359">
      <formula>LEN(TRIM(AA211))=0</formula>
    </cfRule>
  </conditionalFormatting>
  <conditionalFormatting sqref="AA213">
    <cfRule type="containsBlanks" dxfId="2285" priority="358">
      <formula>LEN(TRIM(AA213))=0</formula>
    </cfRule>
  </conditionalFormatting>
  <conditionalFormatting sqref="E348:O348">
    <cfRule type="containsBlanks" dxfId="2284" priority="295">
      <formula>LEN(TRIM(E348))=0</formula>
    </cfRule>
  </conditionalFormatting>
  <conditionalFormatting sqref="X346:AB346 AD346:AE346 X347">
    <cfRule type="containsBlanks" dxfId="2283" priority="324">
      <formula>LEN(TRIM(X346))=0</formula>
    </cfRule>
  </conditionalFormatting>
  <conditionalFormatting sqref="AF346">
    <cfRule type="containsBlanks" dxfId="2282" priority="323">
      <formula>LEN(TRIM(AF346))=0</formula>
    </cfRule>
  </conditionalFormatting>
  <conditionalFormatting sqref="E355:O355">
    <cfRule type="containsBlanks" dxfId="2281" priority="320">
      <formula>LEN(TRIM(E355))=0</formula>
    </cfRule>
  </conditionalFormatting>
  <conditionalFormatting sqref="W210">
    <cfRule type="containsBlanks" dxfId="2280" priority="350">
      <formula>LEN(TRIM(W210))=0</formula>
    </cfRule>
  </conditionalFormatting>
  <conditionalFormatting sqref="W211">
    <cfRule type="containsBlanks" dxfId="2279" priority="349">
      <formula>LEN(TRIM(W211))=0</formula>
    </cfRule>
  </conditionalFormatting>
  <conditionalFormatting sqref="Y336">
    <cfRule type="containsBlanks" dxfId="2278" priority="348">
      <formula>LEN(TRIM(Y336))=0</formula>
    </cfRule>
  </conditionalFormatting>
  <conditionalFormatting sqref="AA336">
    <cfRule type="containsBlanks" dxfId="2277" priority="347">
      <formula>LEN(TRIM(AA336))=0</formula>
    </cfRule>
  </conditionalFormatting>
  <conditionalFormatting sqref="AB336">
    <cfRule type="containsBlanks" dxfId="2276" priority="346">
      <formula>LEN(TRIM(AB336))=0</formula>
    </cfRule>
  </conditionalFormatting>
  <conditionalFormatting sqref="E344:O344">
    <cfRule type="containsBlanks" dxfId="2275" priority="345">
      <formula>LEN(TRIM(E344))=0</formula>
    </cfRule>
  </conditionalFormatting>
  <conditionalFormatting sqref="D344">
    <cfRule type="containsBlanks" dxfId="2274" priority="344">
      <formula>LEN(TRIM(D344))=0</formula>
    </cfRule>
  </conditionalFormatting>
  <conditionalFormatting sqref="P344:U344">
    <cfRule type="containsBlanks" dxfId="2273" priority="343">
      <formula>LEN(TRIM(P344))=0</formula>
    </cfRule>
  </conditionalFormatting>
  <conditionalFormatting sqref="AD344:AE344">
    <cfRule type="containsBlanks" dxfId="2272" priority="339">
      <formula>LEN(TRIM(AD344))=0</formula>
    </cfRule>
  </conditionalFormatting>
  <conditionalFormatting sqref="E345:P345">
    <cfRule type="containsBlanks" dxfId="2271" priority="338">
      <formula>LEN(TRIM(E345))=0</formula>
    </cfRule>
  </conditionalFormatting>
  <conditionalFormatting sqref="X344:Z344 AB344">
    <cfRule type="containsBlanks" dxfId="2270" priority="340">
      <formula>LEN(TRIM(X344))=0</formula>
    </cfRule>
  </conditionalFormatting>
  <conditionalFormatting sqref="D345">
    <cfRule type="containsBlanks" dxfId="2269" priority="337">
      <formula>LEN(TRIM(D345))=0</formula>
    </cfRule>
  </conditionalFormatting>
  <conditionalFormatting sqref="Q345:U345">
    <cfRule type="containsBlanks" dxfId="2268" priority="336">
      <formula>LEN(TRIM(Q345))=0</formula>
    </cfRule>
  </conditionalFormatting>
  <conditionalFormatting sqref="AD345:AE345">
    <cfRule type="containsBlanks" dxfId="2267" priority="332">
      <formula>LEN(TRIM(AD345))=0</formula>
    </cfRule>
  </conditionalFormatting>
  <conditionalFormatting sqref="AF345">
    <cfRule type="containsBlanks" dxfId="2266" priority="331">
      <formula>LEN(TRIM(AF345))=0</formula>
    </cfRule>
  </conditionalFormatting>
  <conditionalFormatting sqref="X345:AB345">
    <cfRule type="containsBlanks" dxfId="2265" priority="333">
      <formula>LEN(TRIM(X345))=0</formula>
    </cfRule>
  </conditionalFormatting>
  <conditionalFormatting sqref="AF355:AF356">
    <cfRule type="containsBlanks" dxfId="2264" priority="305">
      <formula>LEN(TRIM(AF355))=0</formula>
    </cfRule>
  </conditionalFormatting>
  <conditionalFormatting sqref="AC356">
    <cfRule type="containsBlanks" dxfId="2263" priority="304">
      <formula>LEN(TRIM(AC356))=0</formula>
    </cfRule>
  </conditionalFormatting>
  <conditionalFormatting sqref="C346:D346 A346:A354 C347:C354">
    <cfRule type="containsBlanks" dxfId="2262" priority="328">
      <formula>LEN(TRIM(A346))=0</formula>
    </cfRule>
  </conditionalFormatting>
  <conditionalFormatting sqref="E346:O346">
    <cfRule type="containsBlanks" dxfId="2261" priority="329">
      <formula>LEN(TRIM(E346))=0</formula>
    </cfRule>
  </conditionalFormatting>
  <conditionalFormatting sqref="P346:U346">
    <cfRule type="containsBlanks" dxfId="2260" priority="327">
      <formula>LEN(TRIM(P346))=0</formula>
    </cfRule>
  </conditionalFormatting>
  <conditionalFormatting sqref="V347">
    <cfRule type="containsBlanks" dxfId="2259" priority="326">
      <formula>LEN(TRIM(V347))=0</formula>
    </cfRule>
  </conditionalFormatting>
  <conditionalFormatting sqref="C355">
    <cfRule type="containsBlanks" dxfId="2258" priority="321">
      <formula>LEN(TRIM(C355))=0</formula>
    </cfRule>
  </conditionalFormatting>
  <conditionalFormatting sqref="P348:U348">
    <cfRule type="containsBlanks" dxfId="2257" priority="293">
      <formula>LEN(TRIM(P348))=0</formula>
    </cfRule>
  </conditionalFormatting>
  <conditionalFormatting sqref="D355">
    <cfRule type="containsBlanks" dxfId="2256" priority="319">
      <formula>LEN(TRIM(D355))=0</formula>
    </cfRule>
  </conditionalFormatting>
  <conditionalFormatting sqref="P353">
    <cfRule type="containsBlanks" dxfId="2255" priority="274">
      <formula>LEN(TRIM(P353))=0</formula>
    </cfRule>
  </conditionalFormatting>
  <conditionalFormatting sqref="C343">
    <cfRule type="containsBlanks" dxfId="2254" priority="317">
      <formula>LEN(TRIM(C343))=0</formula>
    </cfRule>
  </conditionalFormatting>
  <conditionalFormatting sqref="E364:O364">
    <cfRule type="containsBlanks" dxfId="2253" priority="316">
      <formula>LEN(TRIM(E364))=0</formula>
    </cfRule>
  </conditionalFormatting>
  <conditionalFormatting sqref="D364">
    <cfRule type="containsBlanks" dxfId="2252" priority="315">
      <formula>LEN(TRIM(D364))=0</formula>
    </cfRule>
  </conditionalFormatting>
  <conditionalFormatting sqref="P355:U355">
    <cfRule type="containsBlanks" dxfId="2251" priority="314">
      <formula>LEN(TRIM(P355))=0</formula>
    </cfRule>
  </conditionalFormatting>
  <conditionalFormatting sqref="P364:S364">
    <cfRule type="containsBlanks" dxfId="2250" priority="313">
      <formula>LEN(TRIM(P364))=0</formula>
    </cfRule>
  </conditionalFormatting>
  <conditionalFormatting sqref="E352:O352">
    <cfRule type="containsBlanks" dxfId="2249" priority="283">
      <formula>LEN(TRIM(E352))=0</formula>
    </cfRule>
  </conditionalFormatting>
  <conditionalFormatting sqref="D352">
    <cfRule type="containsBlanks" dxfId="2248" priority="282">
      <formula>LEN(TRIM(D352))=0</formula>
    </cfRule>
  </conditionalFormatting>
  <conditionalFormatting sqref="P352:U352">
    <cfRule type="containsBlanks" dxfId="2247" priority="281">
      <formula>LEN(TRIM(P352))=0</formula>
    </cfRule>
  </conditionalFormatting>
  <conditionalFormatting sqref="X355:AB356 AD355:AE356">
    <cfRule type="containsBlanks" dxfId="2246" priority="306">
      <formula>LEN(TRIM(X355))=0</formula>
    </cfRule>
  </conditionalFormatting>
  <conditionalFormatting sqref="X364:AB364 AD364:AE364">
    <cfRule type="containsBlanks" dxfId="2245" priority="303">
      <formula>LEN(TRIM(X364))=0</formula>
    </cfRule>
  </conditionalFormatting>
  <conditionalFormatting sqref="AF364">
    <cfRule type="containsBlanks" dxfId="2244" priority="302">
      <formula>LEN(TRIM(AF364))=0</formula>
    </cfRule>
  </conditionalFormatting>
  <conditionalFormatting sqref="X343:AB343">
    <cfRule type="containsBlanks" dxfId="2243" priority="300">
      <formula>LEN(TRIM(X343))=0</formula>
    </cfRule>
  </conditionalFormatting>
  <conditionalFormatting sqref="AD343:AE343">
    <cfRule type="containsBlanks" dxfId="2242" priority="299">
      <formula>LEN(TRIM(AD343))=0</formula>
    </cfRule>
  </conditionalFormatting>
  <conditionalFormatting sqref="E347:O347">
    <cfRule type="containsBlanks" dxfId="2241" priority="298">
      <formula>LEN(TRIM(E347))=0</formula>
    </cfRule>
  </conditionalFormatting>
  <conditionalFormatting sqref="D347">
    <cfRule type="containsBlanks" dxfId="2240" priority="297">
      <formula>LEN(TRIM(D347))=0</formula>
    </cfRule>
  </conditionalFormatting>
  <conditionalFormatting sqref="P347:U347">
    <cfRule type="containsBlanks" dxfId="2239" priority="296">
      <formula>LEN(TRIM(P347))=0</formula>
    </cfRule>
  </conditionalFormatting>
  <conditionalFormatting sqref="D348">
    <cfRule type="containsBlanks" dxfId="2238" priority="294">
      <formula>LEN(TRIM(D348))=0</formula>
    </cfRule>
  </conditionalFormatting>
  <conditionalFormatting sqref="E349:O349">
    <cfRule type="containsBlanks" dxfId="2237" priority="292">
      <formula>LEN(TRIM(E349))=0</formula>
    </cfRule>
  </conditionalFormatting>
  <conditionalFormatting sqref="D349">
    <cfRule type="containsBlanks" dxfId="2236" priority="291">
      <formula>LEN(TRIM(D349))=0</formula>
    </cfRule>
  </conditionalFormatting>
  <conditionalFormatting sqref="P349:U349">
    <cfRule type="containsBlanks" dxfId="2235" priority="290">
      <formula>LEN(TRIM(P349))=0</formula>
    </cfRule>
  </conditionalFormatting>
  <conditionalFormatting sqref="E350:O350">
    <cfRule type="containsBlanks" dxfId="2234" priority="289">
      <formula>LEN(TRIM(E350))=0</formula>
    </cfRule>
  </conditionalFormatting>
  <conditionalFormatting sqref="D350">
    <cfRule type="containsBlanks" dxfId="2233" priority="288">
      <formula>LEN(TRIM(D350))=0</formula>
    </cfRule>
  </conditionalFormatting>
  <conditionalFormatting sqref="P350:U350">
    <cfRule type="containsBlanks" dxfId="2232" priority="287">
      <formula>LEN(TRIM(P350))=0</formula>
    </cfRule>
  </conditionalFormatting>
  <conditionalFormatting sqref="E351:O351">
    <cfRule type="containsBlanks" dxfId="2231" priority="286">
      <formula>LEN(TRIM(E351))=0</formula>
    </cfRule>
  </conditionalFormatting>
  <conditionalFormatting sqref="D351">
    <cfRule type="containsBlanks" dxfId="2230" priority="285">
      <formula>LEN(TRIM(D351))=0</formula>
    </cfRule>
  </conditionalFormatting>
  <conditionalFormatting sqref="P351:U351">
    <cfRule type="containsBlanks" dxfId="2229" priority="284">
      <formula>LEN(TRIM(P351))=0</formula>
    </cfRule>
  </conditionalFormatting>
  <conditionalFormatting sqref="AF352">
    <cfRule type="containsBlanks" dxfId="2228" priority="245">
      <formula>LEN(TRIM(AF352))=0</formula>
    </cfRule>
  </conditionalFormatting>
  <conditionalFormatting sqref="W347">
    <cfRule type="containsBlanks" dxfId="2227" priority="279">
      <formula>LEN(TRIM(W347))=0</formula>
    </cfRule>
  </conditionalFormatting>
  <conditionalFormatting sqref="Y347:AB347">
    <cfRule type="containsBlanks" dxfId="2226" priority="278">
      <formula>LEN(TRIM(Y347))=0</formula>
    </cfRule>
  </conditionalFormatting>
  <conditionalFormatting sqref="AC347:AF347 AF348">
    <cfRule type="containsBlanks" dxfId="2225" priority="277">
      <formula>LEN(TRIM(AC347))=0</formula>
    </cfRule>
  </conditionalFormatting>
  <conditionalFormatting sqref="E353:O353">
    <cfRule type="containsBlanks" dxfId="2224" priority="276">
      <formula>LEN(TRIM(E353))=0</formula>
    </cfRule>
  </conditionalFormatting>
  <conditionalFormatting sqref="D353">
    <cfRule type="containsBlanks" dxfId="2223" priority="275">
      <formula>LEN(TRIM(D353))=0</formula>
    </cfRule>
  </conditionalFormatting>
  <conditionalFormatting sqref="E354:O354">
    <cfRule type="containsBlanks" dxfId="2222" priority="273">
      <formula>LEN(TRIM(E354))=0</formula>
    </cfRule>
  </conditionalFormatting>
  <conditionalFormatting sqref="D354">
    <cfRule type="containsBlanks" dxfId="2221" priority="272">
      <formula>LEN(TRIM(D354))=0</formula>
    </cfRule>
  </conditionalFormatting>
  <conditionalFormatting sqref="P354">
    <cfRule type="containsBlanks" dxfId="2220" priority="271">
      <formula>LEN(TRIM(P354))=0</formula>
    </cfRule>
  </conditionalFormatting>
  <conditionalFormatting sqref="Q353:U353">
    <cfRule type="containsBlanks" dxfId="2219" priority="270">
      <formula>LEN(TRIM(Q353))=0</formula>
    </cfRule>
  </conditionalFormatting>
  <conditionalFormatting sqref="Q354:U354">
    <cfRule type="containsBlanks" dxfId="2218" priority="269">
      <formula>LEN(TRIM(Q354))=0</formula>
    </cfRule>
  </conditionalFormatting>
  <conditionalFormatting sqref="V348">
    <cfRule type="containsBlanks" dxfId="2217" priority="268">
      <formula>LEN(TRIM(V348))=0</formula>
    </cfRule>
  </conditionalFormatting>
  <conditionalFormatting sqref="X348">
    <cfRule type="containsBlanks" dxfId="2216" priority="267">
      <formula>LEN(TRIM(X348))=0</formula>
    </cfRule>
  </conditionalFormatting>
  <conditionalFormatting sqref="W348">
    <cfRule type="containsBlanks" dxfId="2215" priority="266">
      <formula>LEN(TRIM(W348))=0</formula>
    </cfRule>
  </conditionalFormatting>
  <conditionalFormatting sqref="Y348:AB348">
    <cfRule type="containsBlanks" dxfId="2214" priority="265">
      <formula>LEN(TRIM(Y348))=0</formula>
    </cfRule>
  </conditionalFormatting>
  <conditionalFormatting sqref="AC348:AE348">
    <cfRule type="containsBlanks" dxfId="2213" priority="264">
      <formula>LEN(TRIM(AC348))=0</formula>
    </cfRule>
  </conditionalFormatting>
  <conditionalFormatting sqref="AE350">
    <cfRule type="containsBlanks" dxfId="2212" priority="254">
      <formula>LEN(TRIM(AE350))=0</formula>
    </cfRule>
  </conditionalFormatting>
  <conditionalFormatting sqref="X349">
    <cfRule type="containsBlanks" dxfId="2211" priority="262">
      <formula>LEN(TRIM(X349))=0</formula>
    </cfRule>
  </conditionalFormatting>
  <conditionalFormatting sqref="X351">
    <cfRule type="containsBlanks" dxfId="2210" priority="252">
      <formula>LEN(TRIM(X351))=0</formula>
    </cfRule>
  </conditionalFormatting>
  <conditionalFormatting sqref="Y349:AB349">
    <cfRule type="containsBlanks" dxfId="2209" priority="260">
      <formula>LEN(TRIM(Y349))=0</formula>
    </cfRule>
  </conditionalFormatting>
  <conditionalFormatting sqref="AE349">
    <cfRule type="containsBlanks" dxfId="2208" priority="259">
      <formula>LEN(TRIM(AE349))=0</formula>
    </cfRule>
  </conditionalFormatting>
  <conditionalFormatting sqref="AE351">
    <cfRule type="containsBlanks" dxfId="2207" priority="249">
      <formula>LEN(TRIM(AE351))=0</formula>
    </cfRule>
  </conditionalFormatting>
  <conditionalFormatting sqref="X350">
    <cfRule type="containsBlanks" dxfId="2206" priority="257">
      <formula>LEN(TRIM(X350))=0</formula>
    </cfRule>
  </conditionalFormatting>
  <conditionalFormatting sqref="E356:O356">
    <cfRule type="containsBlanks" dxfId="2205" priority="220">
      <formula>LEN(TRIM(E356))=0</formula>
    </cfRule>
  </conditionalFormatting>
  <conditionalFormatting sqref="Y350:AB350">
    <cfRule type="containsBlanks" dxfId="2204" priority="255">
      <formula>LEN(TRIM(Y350))=0</formula>
    </cfRule>
  </conditionalFormatting>
  <conditionalFormatting sqref="T360:U360">
    <cfRule type="containsBlanks" dxfId="2203" priority="227">
      <formula>LEN(TRIM(T360))=0</formula>
    </cfRule>
  </conditionalFormatting>
  <conditionalFormatting sqref="E357:O357">
    <cfRule type="containsBlanks" dxfId="2202" priority="217">
      <formula>LEN(TRIM(E357))=0</formula>
    </cfRule>
  </conditionalFormatting>
  <conditionalFormatting sqref="T362:U362">
    <cfRule type="containsBlanks" dxfId="2201" priority="225">
      <formula>LEN(TRIM(T362))=0</formula>
    </cfRule>
  </conditionalFormatting>
  <conditionalFormatting sqref="AF353">
    <cfRule type="containsBlanks" dxfId="2200" priority="242">
      <formula>LEN(TRIM(AF353))=0</formula>
    </cfRule>
  </conditionalFormatting>
  <conditionalFormatting sqref="Y351:AB351">
    <cfRule type="containsBlanks" dxfId="2199" priority="250">
      <formula>LEN(TRIM(Y351))=0</formula>
    </cfRule>
  </conditionalFormatting>
  <conditionalFormatting sqref="X352:AB352 AD352:AE352">
    <cfRule type="containsBlanks" dxfId="2198" priority="246">
      <formula>LEN(TRIM(X352))=0</formula>
    </cfRule>
  </conditionalFormatting>
  <conditionalFormatting sqref="P356:S356">
    <cfRule type="containsBlanks" dxfId="2197" priority="218">
      <formula>LEN(TRIM(P356))=0</formula>
    </cfRule>
  </conditionalFormatting>
  <conditionalFormatting sqref="D356">
    <cfRule type="containsBlanks" dxfId="2196" priority="219">
      <formula>LEN(TRIM(D356))=0</formula>
    </cfRule>
  </conditionalFormatting>
  <conditionalFormatting sqref="X357:AB357 AD357:AE357">
    <cfRule type="containsBlanks" dxfId="2195" priority="176">
      <formula>LEN(TRIM(X357))=0</formula>
    </cfRule>
  </conditionalFormatting>
  <conditionalFormatting sqref="X353:AB353 AD353:AE353">
    <cfRule type="containsBlanks" dxfId="2194" priority="243">
      <formula>LEN(TRIM(X353))=0</formula>
    </cfRule>
  </conditionalFormatting>
  <conditionalFormatting sqref="D357">
    <cfRule type="containsBlanks" dxfId="2193" priority="216">
      <formula>LEN(TRIM(D357))=0</formula>
    </cfRule>
  </conditionalFormatting>
  <conditionalFormatting sqref="P357:S357">
    <cfRule type="containsBlanks" dxfId="2192" priority="215">
      <formula>LEN(TRIM(P357))=0</formula>
    </cfRule>
  </conditionalFormatting>
  <conditionalFormatting sqref="X354:AB354 AD354:AE354">
    <cfRule type="containsBlanks" dxfId="2191" priority="240">
      <formula>LEN(TRIM(X354))=0</formula>
    </cfRule>
  </conditionalFormatting>
  <conditionalFormatting sqref="D358">
    <cfRule type="containsBlanks" dxfId="2190" priority="213">
      <formula>LEN(TRIM(D358))=0</formula>
    </cfRule>
  </conditionalFormatting>
  <conditionalFormatting sqref="AF354">
    <cfRule type="containsBlanks" dxfId="2189" priority="239">
      <formula>LEN(TRIM(AF354))=0</formula>
    </cfRule>
  </conditionalFormatting>
  <conditionalFormatting sqref="D359">
    <cfRule type="containsBlanks" dxfId="2188" priority="210">
      <formula>LEN(TRIM(D359))=0</formula>
    </cfRule>
  </conditionalFormatting>
  <conditionalFormatting sqref="E360:O360">
    <cfRule type="containsBlanks" dxfId="2187" priority="208">
      <formula>LEN(TRIM(E360))=0</formula>
    </cfRule>
  </conditionalFormatting>
  <conditionalFormatting sqref="D360">
    <cfRule type="containsBlanks" dxfId="2186" priority="207">
      <formula>LEN(TRIM(D360))=0</formula>
    </cfRule>
  </conditionalFormatting>
  <conditionalFormatting sqref="C356:C363">
    <cfRule type="containsBlanks" dxfId="2185" priority="233">
      <formula>LEN(TRIM(C356))=0</formula>
    </cfRule>
  </conditionalFormatting>
  <conditionalFormatting sqref="T364:U364">
    <cfRule type="containsBlanks" dxfId="2184" priority="232">
      <formula>LEN(TRIM(T364))=0</formula>
    </cfRule>
  </conditionalFormatting>
  <conditionalFormatting sqref="P360:S360">
    <cfRule type="containsBlanks" dxfId="2183" priority="206">
      <formula>LEN(TRIM(P360))=0</formula>
    </cfRule>
  </conditionalFormatting>
  <conditionalFormatting sqref="E361:O361">
    <cfRule type="containsBlanks" dxfId="2182" priority="205">
      <formula>LEN(TRIM(E361))=0</formula>
    </cfRule>
  </conditionalFormatting>
  <conditionalFormatting sqref="T356:U356">
    <cfRule type="containsBlanks" dxfId="2181" priority="231">
      <formula>LEN(TRIM(T356))=0</formula>
    </cfRule>
  </conditionalFormatting>
  <conditionalFormatting sqref="T357:U357">
    <cfRule type="containsBlanks" dxfId="2180" priority="230">
      <formula>LEN(TRIM(T357))=0</formula>
    </cfRule>
  </conditionalFormatting>
  <conditionalFormatting sqref="T358:U358">
    <cfRule type="containsBlanks" dxfId="2179" priority="229">
      <formula>LEN(TRIM(T358))=0</formula>
    </cfRule>
  </conditionalFormatting>
  <conditionalFormatting sqref="T359:U359">
    <cfRule type="containsBlanks" dxfId="2178" priority="228">
      <formula>LEN(TRIM(T359))=0</formula>
    </cfRule>
  </conditionalFormatting>
  <conditionalFormatting sqref="T361:U361">
    <cfRule type="containsBlanks" dxfId="2177" priority="226">
      <formula>LEN(TRIM(T361))=0</formula>
    </cfRule>
  </conditionalFormatting>
  <conditionalFormatting sqref="T363:U363">
    <cfRule type="containsBlanks" dxfId="2176" priority="224">
      <formula>LEN(TRIM(T363))=0</formula>
    </cfRule>
  </conditionalFormatting>
  <conditionalFormatting sqref="V365">
    <cfRule type="containsBlanks" dxfId="2175" priority="160">
      <formula>LEN(TRIM(V365))=0</formula>
    </cfRule>
  </conditionalFormatting>
  <conditionalFormatting sqref="AB365 AD365:AE365">
    <cfRule type="containsBlanks" dxfId="2174" priority="156">
      <formula>LEN(TRIM(AB365))=0</formula>
    </cfRule>
  </conditionalFormatting>
  <conditionalFormatting sqref="V356:W356">
    <cfRule type="containsBlanks" dxfId="2173" priority="221">
      <formula>LEN(TRIM(V356))=0</formula>
    </cfRule>
  </conditionalFormatting>
  <conditionalFormatting sqref="E358:O358">
    <cfRule type="containsBlanks" dxfId="2172" priority="214">
      <formula>LEN(TRIM(E358))=0</formula>
    </cfRule>
  </conditionalFormatting>
  <conditionalFormatting sqref="P358:S358">
    <cfRule type="containsBlanks" dxfId="2171" priority="212">
      <formula>LEN(TRIM(P358))=0</formula>
    </cfRule>
  </conditionalFormatting>
  <conditionalFormatting sqref="E359:O359">
    <cfRule type="containsBlanks" dxfId="2170" priority="211">
      <formula>LEN(TRIM(E359))=0</formula>
    </cfRule>
  </conditionalFormatting>
  <conditionalFormatting sqref="P359:S359">
    <cfRule type="containsBlanks" dxfId="2169" priority="209">
      <formula>LEN(TRIM(P359))=0</formula>
    </cfRule>
  </conditionalFormatting>
  <conditionalFormatting sqref="D361">
    <cfRule type="containsBlanks" dxfId="2168" priority="204">
      <formula>LEN(TRIM(D361))=0</formula>
    </cfRule>
  </conditionalFormatting>
  <conditionalFormatting sqref="P361:S361">
    <cfRule type="containsBlanks" dxfId="2167" priority="203">
      <formula>LEN(TRIM(P361))=0</formula>
    </cfRule>
  </conditionalFormatting>
  <conditionalFormatting sqref="E362:O362">
    <cfRule type="containsBlanks" dxfId="2166" priority="202">
      <formula>LEN(TRIM(E362))=0</formula>
    </cfRule>
  </conditionalFormatting>
  <conditionalFormatting sqref="D362">
    <cfRule type="containsBlanks" dxfId="2165" priority="201">
      <formula>LEN(TRIM(D362))=0</formula>
    </cfRule>
  </conditionalFormatting>
  <conditionalFormatting sqref="P362:S362">
    <cfRule type="containsBlanks" dxfId="2164" priority="200">
      <formula>LEN(TRIM(P362))=0</formula>
    </cfRule>
  </conditionalFormatting>
  <conditionalFormatting sqref="E363:O363">
    <cfRule type="containsBlanks" dxfId="2163" priority="199">
      <formula>LEN(TRIM(E363))=0</formula>
    </cfRule>
  </conditionalFormatting>
  <conditionalFormatting sqref="D363">
    <cfRule type="containsBlanks" dxfId="2162" priority="198">
      <formula>LEN(TRIM(D363))=0</formula>
    </cfRule>
  </conditionalFormatting>
  <conditionalFormatting sqref="P363:S363">
    <cfRule type="containsBlanks" dxfId="2161" priority="197">
      <formula>LEN(TRIM(P363))=0</formula>
    </cfRule>
  </conditionalFormatting>
  <conditionalFormatting sqref="X363:AB363 AD363:AE363">
    <cfRule type="containsBlanks" dxfId="2160" priority="196">
      <formula>LEN(TRIM(X363))=0</formula>
    </cfRule>
  </conditionalFormatting>
  <conditionalFormatting sqref="AF363">
    <cfRule type="containsBlanks" dxfId="2159" priority="195">
      <formula>LEN(TRIM(AF363))=0</formula>
    </cfRule>
  </conditionalFormatting>
  <conditionalFormatting sqref="E365:O365">
    <cfRule type="containsBlanks" dxfId="2158" priority="164">
      <formula>LEN(TRIM(E365))=0</formula>
    </cfRule>
  </conditionalFormatting>
  <conditionalFormatting sqref="X362:AB362 AD362:AE362">
    <cfRule type="containsBlanks" dxfId="2157" priority="193">
      <formula>LEN(TRIM(X362))=0</formula>
    </cfRule>
  </conditionalFormatting>
  <conditionalFormatting sqref="AF362">
    <cfRule type="containsBlanks" dxfId="2156" priority="192">
      <formula>LEN(TRIM(AF362))=0</formula>
    </cfRule>
  </conditionalFormatting>
  <conditionalFormatting sqref="Q365:S365">
    <cfRule type="containsBlanks" dxfId="2155" priority="161">
      <formula>LEN(TRIM(Q365))=0</formula>
    </cfRule>
  </conditionalFormatting>
  <conditionalFormatting sqref="X361:AB361 AD361:AE361">
    <cfRule type="containsBlanks" dxfId="2154" priority="190">
      <formula>LEN(TRIM(X361))=0</formula>
    </cfRule>
  </conditionalFormatting>
  <conditionalFormatting sqref="AF361">
    <cfRule type="containsBlanks" dxfId="2153" priority="189">
      <formula>LEN(TRIM(AF361))=0</formula>
    </cfRule>
  </conditionalFormatting>
  <conditionalFormatting sqref="W365">
    <cfRule type="containsBlanks" dxfId="2152" priority="159">
      <formula>LEN(TRIM(W365))=0</formula>
    </cfRule>
  </conditionalFormatting>
  <conditionalFormatting sqref="X365:AA365">
    <cfRule type="containsBlanks" dxfId="2151" priority="158">
      <formula>LEN(TRIM(X365))=0</formula>
    </cfRule>
  </conditionalFormatting>
  <conditionalFormatting sqref="T365:U365">
    <cfRule type="containsBlanks" dxfId="2150" priority="157">
      <formula>LEN(TRIM(T365))=0</formula>
    </cfRule>
  </conditionalFormatting>
  <conditionalFormatting sqref="AF365">
    <cfRule type="containsBlanks" dxfId="2149" priority="155">
      <formula>LEN(TRIM(AF365))=0</formula>
    </cfRule>
  </conditionalFormatting>
  <conditionalFormatting sqref="AC365">
    <cfRule type="containsBlanks" dxfId="2148" priority="154">
      <formula>LEN(TRIM(AC365))=0</formula>
    </cfRule>
  </conditionalFormatting>
  <conditionalFormatting sqref="X358:AB358 AE358">
    <cfRule type="containsBlanks" dxfId="2147" priority="172">
      <formula>LEN(TRIM(X358))=0</formula>
    </cfRule>
  </conditionalFormatting>
  <conditionalFormatting sqref="A368">
    <cfRule type="containsBlanks" dxfId="2146" priority="144">
      <formula>LEN(TRIM(A368))=0</formula>
    </cfRule>
  </conditionalFormatting>
  <conditionalFormatting sqref="X360:AB360 AE360">
    <cfRule type="containsBlanks" dxfId="2145" priority="179">
      <formula>LEN(TRIM(X360))=0</formula>
    </cfRule>
  </conditionalFormatting>
  <conditionalFormatting sqref="V357:W357">
    <cfRule type="containsBlanks" dxfId="2144" priority="173">
      <formula>LEN(TRIM(V357))=0</formula>
    </cfRule>
  </conditionalFormatting>
  <conditionalFormatting sqref="AC357">
    <cfRule type="containsBlanks" dxfId="2143" priority="174">
      <formula>LEN(TRIM(AC357))=0</formula>
    </cfRule>
  </conditionalFormatting>
  <conditionalFormatting sqref="AF357">
    <cfRule type="containsBlanks" dxfId="2142" priority="175">
      <formula>LEN(TRIM(AF357))=0</formula>
    </cfRule>
  </conditionalFormatting>
  <conditionalFormatting sqref="E369:O369">
    <cfRule type="containsBlanks" dxfId="2141" priority="139">
      <formula>LEN(TRIM(E369))=0</formula>
    </cfRule>
  </conditionalFormatting>
  <conditionalFormatting sqref="G370">
    <cfRule type="containsBlanks" dxfId="2140" priority="133">
      <formula>LEN(TRIM(G370))=0</formula>
    </cfRule>
  </conditionalFormatting>
  <conditionalFormatting sqref="X359:AB359 AE359">
    <cfRule type="containsBlanks" dxfId="2139" priority="168">
      <formula>LEN(TRIM(X359))=0</formula>
    </cfRule>
  </conditionalFormatting>
  <conditionalFormatting sqref="P365">
    <cfRule type="containsBlanks" dxfId="2138" priority="162">
      <formula>LEN(TRIM(P365))=0</formula>
    </cfRule>
  </conditionalFormatting>
  <conditionalFormatting sqref="Q369:U369">
    <cfRule type="containsBlanks" dxfId="2137" priority="137">
      <formula>LEN(TRIM(Q369))=0</formula>
    </cfRule>
  </conditionalFormatting>
  <conditionalFormatting sqref="D365">
    <cfRule type="containsBlanks" dxfId="2136" priority="163">
      <formula>LEN(TRIM(D365))=0</formula>
    </cfRule>
  </conditionalFormatting>
  <conditionalFormatting sqref="E370">
    <cfRule type="containsBlanks" dxfId="2135" priority="135">
      <formula>LEN(TRIM(E370))=0</formula>
    </cfRule>
  </conditionalFormatting>
  <conditionalFormatting sqref="K370">
    <cfRule type="containsBlanks" dxfId="2134" priority="129">
      <formula>LEN(TRIM(K370))=0</formula>
    </cfRule>
  </conditionalFormatting>
  <conditionalFormatting sqref="AD341">
    <cfRule type="containsBlanks" dxfId="2133" priority="151">
      <formula>LEN(TRIM(AD341))=0</formula>
    </cfRule>
  </conditionalFormatting>
  <conditionalFormatting sqref="AD342">
    <cfRule type="containsBlanks" dxfId="2132" priority="150">
      <formula>LEN(TRIM(AD342))=0</formula>
    </cfRule>
  </conditionalFormatting>
  <conditionalFormatting sqref="E366:U367 AD366:AE367 X366:Z367 AB367">
    <cfRule type="containsBlanks" dxfId="2131" priority="149">
      <formula>LEN(TRIM(E366))=0</formula>
    </cfRule>
  </conditionalFormatting>
  <conditionalFormatting sqref="AF366:AF367">
    <cfRule type="containsBlanks" dxfId="2130" priority="148">
      <formula>LEN(TRIM(AF366))=0</formula>
    </cfRule>
  </conditionalFormatting>
  <conditionalFormatting sqref="A366:D367">
    <cfRule type="containsBlanks" dxfId="2129" priority="147">
      <formula>LEN(TRIM(A366))=0</formula>
    </cfRule>
  </conditionalFormatting>
  <conditionalFormatting sqref="X368:AB368">
    <cfRule type="containsBlanks" dxfId="2128" priority="140">
      <formula>LEN(TRIM(X368))=0</formula>
    </cfRule>
  </conditionalFormatting>
  <conditionalFormatting sqref="Q368:U368">
    <cfRule type="containsBlanks" dxfId="2127" priority="141">
      <formula>LEN(TRIM(Q368))=0</formula>
    </cfRule>
  </conditionalFormatting>
  <conditionalFormatting sqref="E368:J368">
    <cfRule type="containsBlanks" dxfId="2126" priority="143">
      <formula>LEN(TRIM(E368))=0</formula>
    </cfRule>
  </conditionalFormatting>
  <conditionalFormatting sqref="K368:P368">
    <cfRule type="containsBlanks" dxfId="2125" priority="142">
      <formula>LEN(TRIM(K368))=0</formula>
    </cfRule>
  </conditionalFormatting>
  <conditionalFormatting sqref="P369">
    <cfRule type="containsBlanks" dxfId="2124" priority="138">
      <formula>LEN(TRIM(P369))=0</formula>
    </cfRule>
  </conditionalFormatting>
  <conditionalFormatting sqref="X369:AB369">
    <cfRule type="containsBlanks" dxfId="2123" priority="136">
      <formula>LEN(TRIM(X369))=0</formula>
    </cfRule>
  </conditionalFormatting>
  <conditionalFormatting sqref="F370">
    <cfRule type="containsBlanks" dxfId="2122" priority="134">
      <formula>LEN(TRIM(F370))=0</formula>
    </cfRule>
  </conditionalFormatting>
  <conditionalFormatting sqref="H370">
    <cfRule type="containsBlanks" dxfId="2121" priority="132">
      <formula>LEN(TRIM(H370))=0</formula>
    </cfRule>
  </conditionalFormatting>
  <conditionalFormatting sqref="I370">
    <cfRule type="containsBlanks" dxfId="2120" priority="131">
      <formula>LEN(TRIM(I370))=0</formula>
    </cfRule>
  </conditionalFormatting>
  <conditionalFormatting sqref="J370">
    <cfRule type="containsBlanks" dxfId="2119" priority="130">
      <formula>LEN(TRIM(J370))=0</formula>
    </cfRule>
  </conditionalFormatting>
  <conditionalFormatting sqref="L370">
    <cfRule type="containsBlanks" dxfId="2118" priority="128">
      <formula>LEN(TRIM(L370))=0</formula>
    </cfRule>
  </conditionalFormatting>
  <conditionalFormatting sqref="M370">
    <cfRule type="containsBlanks" dxfId="2117" priority="127">
      <formula>LEN(TRIM(M370))=0</formula>
    </cfRule>
  </conditionalFormatting>
  <conditionalFormatting sqref="N370">
    <cfRule type="containsBlanks" dxfId="2116" priority="126">
      <formula>LEN(TRIM(N370))=0</formula>
    </cfRule>
  </conditionalFormatting>
  <conditionalFormatting sqref="O370">
    <cfRule type="containsBlanks" dxfId="2115" priority="125">
      <formula>LEN(TRIM(O370))=0</formula>
    </cfRule>
  </conditionalFormatting>
  <conditionalFormatting sqref="P370">
    <cfRule type="containsBlanks" dxfId="2114" priority="124">
      <formula>LEN(TRIM(P370))=0</formula>
    </cfRule>
  </conditionalFormatting>
  <conditionalFormatting sqref="Q370">
    <cfRule type="containsBlanks" dxfId="2113" priority="123">
      <formula>LEN(TRIM(Q370))=0</formula>
    </cfRule>
  </conditionalFormatting>
  <conditionalFormatting sqref="R370">
    <cfRule type="containsBlanks" dxfId="2112" priority="122">
      <formula>LEN(TRIM(R370))=0</formula>
    </cfRule>
  </conditionalFormatting>
  <conditionalFormatting sqref="S370">
    <cfRule type="containsBlanks" dxfId="2111" priority="121">
      <formula>LEN(TRIM(S370))=0</formula>
    </cfRule>
  </conditionalFormatting>
  <conditionalFormatting sqref="T370">
    <cfRule type="containsBlanks" dxfId="2110" priority="120">
      <formula>LEN(TRIM(T370))=0</formula>
    </cfRule>
  </conditionalFormatting>
  <conditionalFormatting sqref="U370">
    <cfRule type="containsBlanks" dxfId="2109" priority="119">
      <formula>LEN(TRIM(U370))=0</formula>
    </cfRule>
  </conditionalFormatting>
  <conditionalFormatting sqref="X370">
    <cfRule type="containsBlanks" dxfId="2108" priority="118">
      <formula>LEN(TRIM(X370))=0</formula>
    </cfRule>
  </conditionalFormatting>
  <conditionalFormatting sqref="Y370">
    <cfRule type="containsBlanks" dxfId="2107" priority="117">
      <formula>LEN(TRIM(Y370))=0</formula>
    </cfRule>
  </conditionalFormatting>
  <conditionalFormatting sqref="Z370">
    <cfRule type="containsBlanks" dxfId="2106" priority="116">
      <formula>LEN(TRIM(Z370))=0</formula>
    </cfRule>
  </conditionalFormatting>
  <conditionalFormatting sqref="AA370">
    <cfRule type="containsBlanks" dxfId="2105" priority="115">
      <formula>LEN(TRIM(AA370))=0</formula>
    </cfRule>
  </conditionalFormatting>
  <conditionalFormatting sqref="AB370">
    <cfRule type="containsBlanks" dxfId="2104" priority="114">
      <formula>LEN(TRIM(AB370))=0</formula>
    </cfRule>
  </conditionalFormatting>
  <conditionalFormatting sqref="E371:P371">
    <cfRule type="containsBlanks" dxfId="2103" priority="113">
      <formula>LEN(TRIM(E371))=0</formula>
    </cfRule>
  </conditionalFormatting>
  <conditionalFormatting sqref="Q371:U371">
    <cfRule type="containsBlanks" dxfId="2102" priority="112">
      <formula>LEN(TRIM(Q371))=0</formula>
    </cfRule>
  </conditionalFormatting>
  <conditionalFormatting sqref="X371:AB371">
    <cfRule type="containsBlanks" dxfId="2101" priority="111">
      <formula>LEN(TRIM(X371))=0</formula>
    </cfRule>
  </conditionalFormatting>
  <conditionalFormatting sqref="AD371:AE371">
    <cfRule type="containsBlanks" dxfId="2100" priority="110">
      <formula>LEN(TRIM(AD371))=0</formula>
    </cfRule>
  </conditionalFormatting>
  <conditionalFormatting sqref="A372">
    <cfRule type="containsBlanks" dxfId="2099" priority="109">
      <formula>LEN(TRIM(A372))=0</formula>
    </cfRule>
  </conditionalFormatting>
  <conditionalFormatting sqref="E372:O372">
    <cfRule type="containsBlanks" dxfId="2098" priority="108">
      <formula>LEN(TRIM(E372))=0</formula>
    </cfRule>
  </conditionalFormatting>
  <conditionalFormatting sqref="D372">
    <cfRule type="containsBlanks" dxfId="2097" priority="107">
      <formula>LEN(TRIM(D372))=0</formula>
    </cfRule>
  </conditionalFormatting>
  <conditionalFormatting sqref="P372">
    <cfRule type="containsBlanks" dxfId="2096" priority="106">
      <formula>LEN(TRIM(P372))=0</formula>
    </cfRule>
  </conditionalFormatting>
  <conditionalFormatting sqref="Q372:U372">
    <cfRule type="containsBlanks" dxfId="2095" priority="105">
      <formula>LEN(TRIM(Q372))=0</formula>
    </cfRule>
  </conditionalFormatting>
  <conditionalFormatting sqref="X372:AA372">
    <cfRule type="containsBlanks" dxfId="2094" priority="104">
      <formula>LEN(TRIM(X372))=0</formula>
    </cfRule>
  </conditionalFormatting>
  <conditionalFormatting sqref="AD372:AE372">
    <cfRule type="containsBlanks" dxfId="2093" priority="103">
      <formula>LEN(TRIM(AD372))=0</formula>
    </cfRule>
  </conditionalFormatting>
  <conditionalFormatting sqref="A373">
    <cfRule type="containsBlanks" dxfId="2092" priority="102">
      <formula>LEN(TRIM(A373))=0</formula>
    </cfRule>
  </conditionalFormatting>
  <conditionalFormatting sqref="E373:P373">
    <cfRule type="containsBlanks" dxfId="2091" priority="101">
      <formula>LEN(TRIM(E373))=0</formula>
    </cfRule>
  </conditionalFormatting>
  <conditionalFormatting sqref="D373">
    <cfRule type="containsBlanks" dxfId="2090" priority="100">
      <formula>LEN(TRIM(D373))=0</formula>
    </cfRule>
  </conditionalFormatting>
  <conditionalFormatting sqref="Q373:U373">
    <cfRule type="containsBlanks" dxfId="2089" priority="99">
      <formula>LEN(TRIM(Q373))=0</formula>
    </cfRule>
  </conditionalFormatting>
  <conditionalFormatting sqref="X373:AB373">
    <cfRule type="containsBlanks" dxfId="2088" priority="98">
      <formula>LEN(TRIM(X373))=0</formula>
    </cfRule>
  </conditionalFormatting>
  <conditionalFormatting sqref="AD373:AE373">
    <cfRule type="containsBlanks" dxfId="2087" priority="97">
      <formula>LEN(TRIM(AD373))=0</formula>
    </cfRule>
  </conditionalFormatting>
  <conditionalFormatting sqref="E374:P374">
    <cfRule type="containsBlanks" dxfId="2086" priority="96">
      <formula>LEN(TRIM(E374))=0</formula>
    </cfRule>
  </conditionalFormatting>
  <conditionalFormatting sqref="D374">
    <cfRule type="containsBlanks" dxfId="2085" priority="95">
      <formula>LEN(TRIM(D374))=0</formula>
    </cfRule>
  </conditionalFormatting>
  <conditionalFormatting sqref="Q374:U374">
    <cfRule type="containsBlanks" dxfId="2084" priority="94">
      <formula>LEN(TRIM(Q374))=0</formula>
    </cfRule>
  </conditionalFormatting>
  <conditionalFormatting sqref="X374:AB374">
    <cfRule type="containsBlanks" dxfId="2083" priority="93">
      <formula>LEN(TRIM(X374))=0</formula>
    </cfRule>
  </conditionalFormatting>
  <conditionalFormatting sqref="AD374:AE374">
    <cfRule type="containsBlanks" dxfId="2082" priority="92">
      <formula>LEN(TRIM(AD374))=0</formula>
    </cfRule>
  </conditionalFormatting>
  <conditionalFormatting sqref="E375:J375">
    <cfRule type="containsBlanks" dxfId="2081" priority="91">
      <formula>LEN(TRIM(E375))=0</formula>
    </cfRule>
  </conditionalFormatting>
  <conditionalFormatting sqref="K375:P375">
    <cfRule type="containsBlanks" dxfId="2080" priority="90">
      <formula>LEN(TRIM(K375))=0</formula>
    </cfRule>
  </conditionalFormatting>
  <conditionalFormatting sqref="Q375:U375">
    <cfRule type="containsBlanks" dxfId="2079" priority="89">
      <formula>LEN(TRIM(Q375))=0</formula>
    </cfRule>
  </conditionalFormatting>
  <conditionalFormatting sqref="E376:J376 F377:J384">
    <cfRule type="containsBlanks" dxfId="2078" priority="88">
      <formula>LEN(TRIM(E376))=0</formula>
    </cfRule>
  </conditionalFormatting>
  <conditionalFormatting sqref="K376:P384">
    <cfRule type="containsBlanks" dxfId="2077" priority="87">
      <formula>LEN(TRIM(K376))=0</formula>
    </cfRule>
  </conditionalFormatting>
  <conditionalFormatting sqref="Q376:U384">
    <cfRule type="containsBlanks" dxfId="2076" priority="86">
      <formula>LEN(TRIM(Q376))=0</formula>
    </cfRule>
  </conditionalFormatting>
  <conditionalFormatting sqref="AD376:AF376 AA376:AB376">
    <cfRule type="containsBlanks" dxfId="2075" priority="85">
      <formula>LEN(TRIM(AA376))=0</formula>
    </cfRule>
  </conditionalFormatting>
  <conditionalFormatting sqref="AC376">
    <cfRule type="containsBlanks" dxfId="2074" priority="84">
      <formula>LEN(TRIM(AC376))=0</formula>
    </cfRule>
  </conditionalFormatting>
  <conditionalFormatting sqref="E415:U416 Y415:AA416 AA414 E414:V414 A413:D414 AE413:AF413 AF414:AF415 AD414:AE416">
    <cfRule type="containsBlanks" dxfId="2073" priority="83">
      <formula>LEN(TRIM(A413))=0</formula>
    </cfRule>
  </conditionalFormatting>
  <conditionalFormatting sqref="E413:J413">
    <cfRule type="containsBlanks" dxfId="2072" priority="82">
      <formula>LEN(TRIM(E413))=0</formula>
    </cfRule>
  </conditionalFormatting>
  <conditionalFormatting sqref="K413:P413">
    <cfRule type="containsBlanks" dxfId="2071" priority="81">
      <formula>LEN(TRIM(K413))=0</formula>
    </cfRule>
  </conditionalFormatting>
  <conditionalFormatting sqref="Q413:U413">
    <cfRule type="containsBlanks" dxfId="2070" priority="80">
      <formula>LEN(TRIM(Q413))=0</formula>
    </cfRule>
  </conditionalFormatting>
  <conditionalFormatting sqref="X413:AC413 X414:X416 AB414:AC416">
    <cfRule type="containsBlanks" dxfId="2069" priority="79">
      <formula>LEN(TRIM(X413))=0</formula>
    </cfRule>
  </conditionalFormatting>
  <conditionalFormatting sqref="AD413">
    <cfRule type="containsBlanks" dxfId="2068" priority="78">
      <formula>LEN(TRIM(AD413))=0</formula>
    </cfRule>
  </conditionalFormatting>
  <conditionalFormatting sqref="V413:W413">
    <cfRule type="containsBlanks" dxfId="2067" priority="77">
      <formula>LEN(TRIM(V413))=0</formula>
    </cfRule>
  </conditionalFormatting>
  <conditionalFormatting sqref="AC196 AC210 AC216 AC337">
    <cfRule type="containsBlanks" dxfId="2066" priority="65">
      <formula>LEN(TRIM(AC196))=0</formula>
    </cfRule>
  </conditionalFormatting>
  <conditionalFormatting sqref="Y414:Z414">
    <cfRule type="containsBlanks" dxfId="2065" priority="75">
      <formula>LEN(TRIM(Y414))=0</formula>
    </cfRule>
  </conditionalFormatting>
  <conditionalFormatting sqref="W414">
    <cfRule type="containsBlanks" dxfId="2064" priority="74">
      <formula>LEN(TRIM(W414))=0</formula>
    </cfRule>
  </conditionalFormatting>
  <conditionalFormatting sqref="A415:D415">
    <cfRule type="containsBlanks" dxfId="2063" priority="73">
      <formula>LEN(TRIM(A415))=0</formula>
    </cfRule>
  </conditionalFormatting>
  <conditionalFormatting sqref="V415:W415">
    <cfRule type="containsBlanks" dxfId="2062" priority="72">
      <formula>LEN(TRIM(V415))=0</formula>
    </cfRule>
  </conditionalFormatting>
  <conditionalFormatting sqref="AE425:AE426">
    <cfRule type="containsBlanks" dxfId="2061" priority="60">
      <formula>LEN(TRIM(AE425))=0</formula>
    </cfRule>
  </conditionalFormatting>
  <conditionalFormatting sqref="AF416">
    <cfRule type="containsBlanks" dxfId="2060" priority="70">
      <formula>LEN(TRIM(AF416))=0</formula>
    </cfRule>
  </conditionalFormatting>
  <conditionalFormatting sqref="A416:D416">
    <cfRule type="containsBlanks" dxfId="2059" priority="69">
      <formula>LEN(TRIM(A416))=0</formula>
    </cfRule>
  </conditionalFormatting>
  <conditionalFormatting sqref="V416">
    <cfRule type="containsBlanks" dxfId="2058" priority="68">
      <formula>LEN(TRIM(V416))=0</formula>
    </cfRule>
  </conditionalFormatting>
  <conditionalFormatting sqref="W416">
    <cfRule type="containsBlanks" dxfId="2057" priority="67">
      <formula>LEN(TRIM(W416))=0</formula>
    </cfRule>
  </conditionalFormatting>
  <conditionalFormatting sqref="AC341">
    <cfRule type="containsBlanks" dxfId="2056" priority="55">
      <formula>LEN(TRIM(AC341))=0</formula>
    </cfRule>
  </conditionalFormatting>
  <conditionalFormatting sqref="E425:U426">
    <cfRule type="containsBlanks" dxfId="2055" priority="64">
      <formula>LEN(TRIM(E425))=0</formula>
    </cfRule>
  </conditionalFormatting>
  <conditionalFormatting sqref="D425:D426">
    <cfRule type="containsBlanks" dxfId="2054" priority="63">
      <formula>LEN(TRIM(D425))=0</formula>
    </cfRule>
  </conditionalFormatting>
  <conditionalFormatting sqref="AC425">
    <cfRule type="containsBlanks" dxfId="2053" priority="62">
      <formula>LEN(TRIM(AC425))=0</formula>
    </cfRule>
  </conditionalFormatting>
  <conditionalFormatting sqref="AC426">
    <cfRule type="containsBlanks" dxfId="2052" priority="61">
      <formula>LEN(TRIM(AC426))=0</formula>
    </cfRule>
  </conditionalFormatting>
  <conditionalFormatting sqref="AF425">
    <cfRule type="containsBlanks" dxfId="2051" priority="59">
      <formula>LEN(TRIM(AF425))=0</formula>
    </cfRule>
  </conditionalFormatting>
  <conditionalFormatting sqref="AF426">
    <cfRule type="containsBlanks" dxfId="2050" priority="58">
      <formula>LEN(TRIM(AF426))=0</formula>
    </cfRule>
  </conditionalFormatting>
  <conditionalFormatting sqref="V341:W341 V374:W374 V427:W427">
    <cfRule type="containsBlanks" dxfId="2049" priority="57">
      <formula>LEN(TRIM(V341))=0</formula>
    </cfRule>
  </conditionalFormatting>
  <conditionalFormatting sqref="AC374">
    <cfRule type="containsBlanks" dxfId="2048" priority="56">
      <formula>LEN(TRIM(AC374))=0</formula>
    </cfRule>
  </conditionalFormatting>
  <conditionalFormatting sqref="B429">
    <cfRule type="containsBlanks" dxfId="2047" priority="54">
      <formula>LEN(TRIM(B429))=0</formula>
    </cfRule>
  </conditionalFormatting>
  <conditionalFormatting sqref="AC361:AC364 AC352:AC355">
    <cfRule type="containsBlanks" dxfId="2046" priority="38">
      <formula>LEN(TRIM(AC352))=0</formula>
    </cfRule>
  </conditionalFormatting>
  <conditionalFormatting sqref="AC167">
    <cfRule type="containsBlanks" dxfId="2045" priority="53">
      <formula>LEN(TRIM(AC167))=0</formula>
    </cfRule>
  </conditionalFormatting>
  <conditionalFormatting sqref="AC169">
    <cfRule type="containsBlanks" dxfId="2044" priority="52">
      <formula>LEN(TRIM(AC169))=0</formula>
    </cfRule>
  </conditionalFormatting>
  <conditionalFormatting sqref="AB372">
    <cfRule type="containsBlanks" dxfId="2043" priority="51">
      <formula>LEN(TRIM(AB372))=0</formula>
    </cfRule>
  </conditionalFormatting>
  <conditionalFormatting sqref="AC339 AC205 AC198">
    <cfRule type="containsBlanks" dxfId="2042" priority="50">
      <formula>LEN(TRIM(AC198))=0</formula>
    </cfRule>
  </conditionalFormatting>
  <conditionalFormatting sqref="AD339">
    <cfRule type="containsBlanks" dxfId="2041" priority="49">
      <formula>LEN(TRIM(AD339))=0</formula>
    </cfRule>
  </conditionalFormatting>
  <conditionalFormatting sqref="AF228 AF212 AF206 AF193">
    <cfRule type="containsBlanks" dxfId="2040" priority="11">
      <formula>LEN(TRIM(AF193))=0</formula>
    </cfRule>
  </conditionalFormatting>
  <conditionalFormatting sqref="AF339 AF205 AF198">
    <cfRule type="containsBlanks" dxfId="2039" priority="48">
      <formula>LEN(TRIM(AF198))=0</formula>
    </cfRule>
  </conditionalFormatting>
  <conditionalFormatting sqref="V358:W360 V349:W351 V330:W330 V321:W321 V316:W316 V314:W314 V304:W304 V272:W272 V268:W268 V252:W252">
    <cfRule type="containsBlanks" dxfId="2038" priority="47">
      <formula>LEN(TRIM(V252))=0</formula>
    </cfRule>
  </conditionalFormatting>
  <conditionalFormatting sqref="AC330 AC321 AC316 AC314 AC304 AC272 AC268 AC252">
    <cfRule type="containsBlanks" dxfId="2037" priority="46">
      <formula>LEN(TRIM(AC252))=0</formula>
    </cfRule>
  </conditionalFormatting>
  <conditionalFormatting sqref="AF330 AF321 AF316 AF314 AF304 AF272 AF268 AF252">
    <cfRule type="containsBlanks" dxfId="2036" priority="45">
      <formula>LEN(TRIM(AF252))=0</formula>
    </cfRule>
  </conditionalFormatting>
  <conditionalFormatting sqref="AC358:AC360 AC349:AC351">
    <cfRule type="containsBlanks" dxfId="2035" priority="44">
      <formula>LEN(TRIM(AC349))=0</formula>
    </cfRule>
  </conditionalFormatting>
  <conditionalFormatting sqref="AF358:AF360 AF349:AF351">
    <cfRule type="containsBlanks" dxfId="2034" priority="43">
      <formula>LEN(TRIM(AF349))=0</formula>
    </cfRule>
  </conditionalFormatting>
  <conditionalFormatting sqref="AD252 AD268 AD272 AD304 AD314 AD316 AD321 AD330">
    <cfRule type="containsBlanks" dxfId="2033" priority="42">
      <formula>LEN(TRIM(AD252))=0</formula>
    </cfRule>
  </conditionalFormatting>
  <conditionalFormatting sqref="V345:W346 V331:W332 V319:W320 V274:W275">
    <cfRule type="containsBlanks" dxfId="2032" priority="41">
      <formula>LEN(TRIM(V274))=0</formula>
    </cfRule>
  </conditionalFormatting>
  <conditionalFormatting sqref="AC345:AC346 AC331:AC332 AC319:AC320 AC274:AC275">
    <cfRule type="containsBlanks" dxfId="2031" priority="40">
      <formula>LEN(TRIM(AC274))=0</formula>
    </cfRule>
  </conditionalFormatting>
  <conditionalFormatting sqref="V361:W364 V352:W355">
    <cfRule type="containsBlanks" dxfId="2030" priority="39">
      <formula>LEN(TRIM(V352))=0</formula>
    </cfRule>
  </conditionalFormatting>
  <conditionalFormatting sqref="W207 W192 W173:W178">
    <cfRule type="containsBlanks" dxfId="2029" priority="37">
      <formula>LEN(TRIM(W173))=0</formula>
    </cfRule>
  </conditionalFormatting>
  <conditionalFormatting sqref="V207 V192 V173:V178">
    <cfRule type="containsBlanks" dxfId="2028" priority="36">
      <formula>LEN(TRIM(V173))=0</formula>
    </cfRule>
  </conditionalFormatting>
  <conditionalFormatting sqref="W397">
    <cfRule type="containsBlanks" dxfId="2027" priority="35">
      <formula>LEN(TRIM(W397))=0</formula>
    </cfRule>
  </conditionalFormatting>
  <conditionalFormatting sqref="V397">
    <cfRule type="containsBlanks" dxfId="2026" priority="34">
      <formula>LEN(TRIM(V397))=0</formula>
    </cfRule>
  </conditionalFormatting>
  <conditionalFormatting sqref="Y397:Z397">
    <cfRule type="containsBlanks" dxfId="2025" priority="33">
      <formula>LEN(TRIM(Y397))=0</formula>
    </cfRule>
  </conditionalFormatting>
  <conditionalFormatting sqref="X397">
    <cfRule type="containsBlanks" dxfId="2024" priority="32">
      <formula>LEN(TRIM(X397))=0</formula>
    </cfRule>
  </conditionalFormatting>
  <conditionalFormatting sqref="AA397">
    <cfRule type="containsBlanks" dxfId="2023" priority="31">
      <formula>LEN(TRIM(AA397))=0</formula>
    </cfRule>
  </conditionalFormatting>
  <conditionalFormatting sqref="AC207 AC192 AC172:AC178">
    <cfRule type="containsBlanks" dxfId="2022" priority="30">
      <formula>LEN(TRIM(AC172))=0</formula>
    </cfRule>
  </conditionalFormatting>
  <conditionalFormatting sqref="AF172:AF178 AF192 AF207">
    <cfRule type="containsBlanks" dxfId="2021" priority="29">
      <formula>LEN(TRIM(AF172))=0</formula>
    </cfRule>
  </conditionalFormatting>
  <conditionalFormatting sqref="W179">
    <cfRule type="containsBlanks" dxfId="2020" priority="28">
      <formula>LEN(TRIM(W179))=0</formula>
    </cfRule>
  </conditionalFormatting>
  <conditionalFormatting sqref="V396 V197 V180">
    <cfRule type="containsBlanks" dxfId="2019" priority="27">
      <formula>LEN(TRIM(V180))=0</formula>
    </cfRule>
  </conditionalFormatting>
  <conditionalFormatting sqref="W396 W197 W180">
    <cfRule type="containsBlanks" dxfId="2018" priority="26">
      <formula>LEN(TRIM(W180))=0</formula>
    </cfRule>
  </conditionalFormatting>
  <conditionalFormatting sqref="AA396">
    <cfRule type="containsBlanks" dxfId="2017" priority="25">
      <formula>LEN(TRIM(AA396))=0</formula>
    </cfRule>
  </conditionalFormatting>
  <conditionalFormatting sqref="AC197 AC179:AC180">
    <cfRule type="containsBlanks" dxfId="2016" priority="24">
      <formula>LEN(TRIM(AC179))=0</formula>
    </cfRule>
  </conditionalFormatting>
  <conditionalFormatting sqref="AF179:AF180 AF197">
    <cfRule type="containsBlanks" dxfId="2015" priority="23">
      <formula>LEN(TRIM(AF179))=0</formula>
    </cfRule>
  </conditionalFormatting>
  <conditionalFormatting sqref="V367:W367 V226:W226">
    <cfRule type="containsBlanks" dxfId="2014" priority="22">
      <formula>LEN(TRIM(V226))=0</formula>
    </cfRule>
  </conditionalFormatting>
  <conditionalFormatting sqref="AA367">
    <cfRule type="containsBlanks" dxfId="2013" priority="21">
      <formula>LEN(TRIM(AA367))=0</formula>
    </cfRule>
  </conditionalFormatting>
  <conditionalFormatting sqref="AC367 AC226">
    <cfRule type="containsBlanks" dxfId="2012" priority="20">
      <formula>LEN(TRIM(AC226))=0</formula>
    </cfRule>
  </conditionalFormatting>
  <conditionalFormatting sqref="AF397">
    <cfRule type="containsBlanks" dxfId="2011" priority="19">
      <formula>LEN(TRIM(AF397))=0</formula>
    </cfRule>
  </conditionalFormatting>
  <conditionalFormatting sqref="AF396">
    <cfRule type="containsBlanks" dxfId="2010" priority="18">
      <formula>LEN(TRIM(AF396))=0</formula>
    </cfRule>
  </conditionalFormatting>
  <conditionalFormatting sqref="V366:W366 V225:W225 V214:W214">
    <cfRule type="containsBlanks" dxfId="2009" priority="17">
      <formula>LEN(TRIM(V214))=0</formula>
    </cfRule>
  </conditionalFormatting>
  <conditionalFormatting sqref="AA366">
    <cfRule type="containsBlanks" dxfId="2008" priority="16">
      <formula>LEN(TRIM(AA366))=0</formula>
    </cfRule>
  </conditionalFormatting>
  <conditionalFormatting sqref="AC366 AC225 AC214">
    <cfRule type="containsBlanks" dxfId="2007" priority="15">
      <formula>LEN(TRIM(AC214))=0</formula>
    </cfRule>
  </conditionalFormatting>
  <conditionalFormatting sqref="V344:W344 V228:W228 V212:W212 V206:W206 V193:W193">
    <cfRule type="containsBlanks" dxfId="2006" priority="14">
      <formula>LEN(TRIM(V193))=0</formula>
    </cfRule>
  </conditionalFormatting>
  <conditionalFormatting sqref="AA344 AA228">
    <cfRule type="containsBlanks" dxfId="2005" priority="13">
      <formula>LEN(TRIM(AA228))=0</formula>
    </cfRule>
  </conditionalFormatting>
  <conditionalFormatting sqref="AC228 AC212 AC206 AC193">
    <cfRule type="containsBlanks" dxfId="2004" priority="12">
      <formula>LEN(TRIM(AC193))=0</formula>
    </cfRule>
  </conditionalFormatting>
  <conditionalFormatting sqref="Y444:AB444">
    <cfRule type="containsBlanks" dxfId="2003" priority="9">
      <formula>LEN(TRIM(Y444))=0</formula>
    </cfRule>
  </conditionalFormatting>
  <conditionalFormatting sqref="AC444">
    <cfRule type="containsBlanks" dxfId="2002" priority="8">
      <formula>LEN(TRIM(AC444))=0</formula>
    </cfRule>
  </conditionalFormatting>
  <conditionalFormatting sqref="AD444">
    <cfRule type="containsBlanks" dxfId="2001" priority="7">
      <formula>LEN(TRIM(AD444))=0</formula>
    </cfRule>
  </conditionalFormatting>
  <conditionalFormatting sqref="AC445">
    <cfRule type="containsBlanks" dxfId="2000" priority="6">
      <formula>LEN(TRIM(AC445))=0</formula>
    </cfRule>
  </conditionalFormatting>
  <conditionalFormatting sqref="X445:AB445">
    <cfRule type="containsBlanks" dxfId="1999" priority="5">
      <formula>LEN(TRIM(X445))=0</formula>
    </cfRule>
  </conditionalFormatting>
  <conditionalFormatting sqref="AD445">
    <cfRule type="containsBlanks" dxfId="1998" priority="4">
      <formula>LEN(TRIM(AD445))=0</formula>
    </cfRule>
  </conditionalFormatting>
  <conditionalFormatting sqref="AC446">
    <cfRule type="containsBlanks" dxfId="1997" priority="3">
      <formula>LEN(TRIM(AC446))=0</formula>
    </cfRule>
  </conditionalFormatting>
  <conditionalFormatting sqref="X446:AB446">
    <cfRule type="containsBlanks" dxfId="1996" priority="2">
      <formula>LEN(TRIM(X446))=0</formula>
    </cfRule>
  </conditionalFormatting>
  <conditionalFormatting sqref="AD446">
    <cfRule type="containsBlanks" dxfId="1995" priority="1">
      <formula>LEN(TRIM(AD446))=0</formula>
    </cfRule>
  </conditionalFormatting>
  <dataValidations count="2">
    <dataValidation type="list" allowBlank="1" showInputMessage="1" showErrorMessage="1" sqref="W168:W169 W163:W166 W191 V164:V166 C3:C207 V97 V398:W412 V4:V12 V17 V67:V77 V82 V84:V92 V190 C209:C229 W184 V193:W193 V195:W195 V358:W395 V205:W206 V225:W228 V198:W198 W200 V211:W217 V221:W221 C331:C700 V319:W321 V349:W355 V252:W252 V268:W268 V272:W272 V304:W304 V314:W314 V316:W316 V415:W700 V274:W275 V330:W346" xr:uid="{00000000-0002-0000-0100-000001000000}">
      <formula1>INDIRECT(SUBSTITUTE($A3," ","_"))</formula1>
    </dataValidation>
    <dataValidation type="list" allowBlank="1" showInputMessage="1" showErrorMessage="1" sqref="A3:A228 A331:A700" xr:uid="{00000000-0002-0000-0100-000000000000}">
      <formula1>Products</formula1>
    </dataValidation>
  </dataValidations>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F208"/>
  <sheetViews>
    <sheetView topLeftCell="A91" zoomScaleNormal="100" workbookViewId="0">
      <selection activeCell="A100" sqref="A100:XFD104"/>
    </sheetView>
  </sheetViews>
  <sheetFormatPr defaultColWidth="9.15625" defaultRowHeight="14.4"/>
  <cols>
    <col min="1" max="1" width="8.5234375" style="17" bestFit="1" customWidth="1"/>
    <col min="2" max="2" width="180.15625" style="17" bestFit="1" customWidth="1"/>
    <col min="3" max="16384" width="9.15625" style="17"/>
  </cols>
  <sheetData>
    <row r="1" spans="1:12">
      <c r="A1" s="16" t="s">
        <v>313</v>
      </c>
      <c r="B1" s="16" t="s">
        <v>314</v>
      </c>
    </row>
    <row r="2" spans="1:12">
      <c r="A2" s="69" t="s">
        <v>270</v>
      </c>
      <c r="B2" s="17" t="s">
        <v>296</v>
      </c>
      <c r="C2" s="18"/>
      <c r="D2" s="19"/>
      <c r="E2" s="19"/>
      <c r="F2" s="19"/>
      <c r="G2" s="20"/>
      <c r="H2" s="20"/>
      <c r="I2" s="20"/>
      <c r="J2" s="20"/>
      <c r="K2" s="20"/>
      <c r="L2" s="20"/>
    </row>
    <row r="3" spans="1:12" ht="43.2">
      <c r="A3" s="69" t="s">
        <v>271</v>
      </c>
      <c r="B3" s="21" t="s">
        <v>297</v>
      </c>
      <c r="C3" s="5"/>
      <c r="D3" s="5"/>
      <c r="E3" s="5"/>
      <c r="F3" s="5"/>
      <c r="G3" s="5"/>
      <c r="H3" s="5"/>
      <c r="I3" s="5"/>
      <c r="J3" s="22"/>
      <c r="K3" s="20"/>
      <c r="L3" s="20"/>
    </row>
    <row r="4" spans="1:12">
      <c r="A4" s="69" t="s">
        <v>272</v>
      </c>
      <c r="B4" s="17" t="s">
        <v>850</v>
      </c>
      <c r="C4" s="23"/>
      <c r="D4" s="19"/>
      <c r="E4" s="19"/>
      <c r="F4" s="19"/>
      <c r="G4" s="20"/>
      <c r="H4" s="20"/>
      <c r="I4" s="20"/>
      <c r="J4" s="20"/>
      <c r="K4" s="20"/>
      <c r="L4" s="20"/>
    </row>
    <row r="5" spans="1:12">
      <c r="A5" s="69" t="s">
        <v>273</v>
      </c>
      <c r="B5" s="17" t="s">
        <v>298</v>
      </c>
      <c r="C5" s="18"/>
      <c r="D5" s="24"/>
      <c r="E5" s="24"/>
      <c r="F5" s="24"/>
      <c r="G5" s="24"/>
      <c r="H5" s="24"/>
      <c r="I5" s="24"/>
      <c r="J5" s="24"/>
      <c r="K5" s="24"/>
      <c r="L5" s="20"/>
    </row>
    <row r="6" spans="1:12" ht="28.8">
      <c r="A6" s="69" t="s">
        <v>274</v>
      </c>
      <c r="B6" s="21" t="s">
        <v>700</v>
      </c>
      <c r="C6" s="18"/>
      <c r="D6" s="24"/>
      <c r="E6" s="24"/>
      <c r="F6" s="24"/>
      <c r="G6" s="24"/>
      <c r="H6" s="24"/>
      <c r="I6" s="24"/>
      <c r="J6" s="24"/>
      <c r="K6" s="24"/>
      <c r="L6" s="20"/>
    </row>
    <row r="7" spans="1:12" ht="28.8">
      <c r="A7" s="69" t="s">
        <v>275</v>
      </c>
      <c r="B7" s="21" t="s">
        <v>701</v>
      </c>
      <c r="C7" s="18"/>
      <c r="D7" s="25"/>
      <c r="E7" s="25"/>
      <c r="F7" s="25"/>
      <c r="G7" s="26"/>
      <c r="H7" s="26"/>
      <c r="I7" s="26"/>
      <c r="J7" s="26"/>
      <c r="K7" s="26"/>
      <c r="L7" s="26"/>
    </row>
    <row r="8" spans="1:12" ht="57.6">
      <c r="A8" s="69" t="s">
        <v>276</v>
      </c>
      <c r="B8" s="21" t="s">
        <v>708</v>
      </c>
      <c r="C8" s="19"/>
      <c r="D8" s="19"/>
      <c r="E8" s="19"/>
      <c r="F8" s="19"/>
      <c r="G8" s="19"/>
      <c r="H8" s="19"/>
      <c r="I8" s="19"/>
      <c r="J8" s="19"/>
      <c r="K8" s="19"/>
      <c r="L8" s="19"/>
    </row>
    <row r="9" spans="1:12" ht="43.2">
      <c r="A9" s="69" t="s">
        <v>277</v>
      </c>
      <c r="B9" s="21" t="s">
        <v>712</v>
      </c>
      <c r="C9" s="19"/>
      <c r="D9" s="19"/>
      <c r="E9" s="19"/>
      <c r="F9" s="19"/>
      <c r="G9" s="19"/>
      <c r="H9" s="19"/>
      <c r="I9" s="19"/>
      <c r="J9" s="19"/>
      <c r="K9" s="19"/>
      <c r="L9" s="19"/>
    </row>
    <row r="10" spans="1:12">
      <c r="A10" s="69" t="s">
        <v>278</v>
      </c>
      <c r="B10" s="21" t="s">
        <v>765</v>
      </c>
      <c r="C10" s="18"/>
      <c r="D10" s="24"/>
      <c r="E10" s="24"/>
      <c r="F10" s="24"/>
      <c r="G10" s="24"/>
      <c r="H10" s="24"/>
      <c r="I10" s="24"/>
      <c r="J10" s="24"/>
      <c r="K10" s="24"/>
      <c r="L10" s="20"/>
    </row>
    <row r="11" spans="1:12">
      <c r="A11" s="69" t="s">
        <v>279</v>
      </c>
      <c r="B11" s="17" t="s">
        <v>299</v>
      </c>
      <c r="C11" s="18"/>
      <c r="D11" s="24"/>
      <c r="E11" s="24"/>
      <c r="F11" s="24"/>
      <c r="G11" s="24"/>
      <c r="H11" s="24"/>
      <c r="I11" s="24"/>
      <c r="J11" s="24"/>
      <c r="K11" s="24"/>
      <c r="L11" s="20"/>
    </row>
    <row r="12" spans="1:12">
      <c r="A12" s="69" t="s">
        <v>280</v>
      </c>
      <c r="B12" s="17" t="s">
        <v>300</v>
      </c>
      <c r="C12" s="27"/>
      <c r="D12" s="19"/>
      <c r="E12" s="19"/>
      <c r="F12" s="19"/>
      <c r="G12" s="20"/>
      <c r="H12" s="20"/>
      <c r="I12" s="20"/>
      <c r="J12" s="20"/>
      <c r="K12" s="20"/>
      <c r="L12" s="20"/>
    </row>
    <row r="13" spans="1:12">
      <c r="A13" s="69" t="s">
        <v>281</v>
      </c>
      <c r="B13" s="21" t="s">
        <v>1041</v>
      </c>
      <c r="C13" s="18"/>
      <c r="D13" s="19"/>
      <c r="E13" s="19"/>
      <c r="F13" s="19"/>
      <c r="G13" s="20"/>
      <c r="H13" s="20"/>
      <c r="I13" s="20"/>
      <c r="J13" s="20"/>
      <c r="K13" s="20"/>
      <c r="L13" s="20"/>
    </row>
    <row r="14" spans="1:12">
      <c r="A14" s="69" t="s">
        <v>282</v>
      </c>
      <c r="B14" s="17" t="s">
        <v>982</v>
      </c>
      <c r="C14" s="18"/>
      <c r="D14" s="19"/>
      <c r="E14" s="19"/>
      <c r="F14" s="19"/>
      <c r="G14" s="20"/>
      <c r="H14" s="20"/>
      <c r="I14" s="20"/>
      <c r="J14" s="20"/>
      <c r="K14" s="20"/>
      <c r="L14" s="20"/>
    </row>
    <row r="15" spans="1:12">
      <c r="A15" s="69" t="s">
        <v>283</v>
      </c>
      <c r="B15" s="21" t="s">
        <v>989</v>
      </c>
      <c r="C15" s="19"/>
      <c r="D15" s="19"/>
      <c r="E15" s="19"/>
      <c r="F15" s="19"/>
      <c r="G15" s="19"/>
      <c r="H15" s="19"/>
      <c r="I15" s="19"/>
      <c r="J15" s="24"/>
      <c r="K15" s="20"/>
      <c r="L15" s="20"/>
    </row>
    <row r="16" spans="1:12">
      <c r="A16" s="69" t="s">
        <v>284</v>
      </c>
      <c r="B16" s="17" t="s">
        <v>301</v>
      </c>
      <c r="C16" s="36"/>
      <c r="D16" s="36"/>
      <c r="E16" s="36"/>
      <c r="F16" s="36"/>
      <c r="G16" s="36"/>
      <c r="H16" s="28"/>
      <c r="I16" s="20"/>
      <c r="J16" s="20"/>
      <c r="K16" s="20"/>
      <c r="L16" s="20"/>
    </row>
    <row r="17" spans="1:12">
      <c r="A17" s="69" t="s">
        <v>285</v>
      </c>
      <c r="B17" s="17" t="s">
        <v>301</v>
      </c>
      <c r="C17" s="36"/>
      <c r="D17" s="36"/>
      <c r="E17" s="36"/>
      <c r="F17" s="36"/>
      <c r="G17" s="36"/>
      <c r="H17" s="28"/>
      <c r="I17" s="20"/>
      <c r="J17" s="20"/>
      <c r="K17" s="20"/>
      <c r="L17" s="20"/>
    </row>
    <row r="18" spans="1:12" ht="28.8">
      <c r="A18" s="69" t="s">
        <v>286</v>
      </c>
      <c r="B18" s="21" t="s">
        <v>1060</v>
      </c>
      <c r="C18" s="19"/>
      <c r="D18" s="19"/>
      <c r="E18" s="19"/>
      <c r="F18" s="19"/>
      <c r="G18" s="19"/>
      <c r="H18" s="19"/>
      <c r="I18" s="19"/>
      <c r="J18" s="19"/>
      <c r="K18" s="19"/>
      <c r="L18" s="20"/>
    </row>
    <row r="19" spans="1:12">
      <c r="A19" s="69" t="s">
        <v>287</v>
      </c>
      <c r="B19" s="21" t="s">
        <v>990</v>
      </c>
      <c r="C19" s="1"/>
      <c r="D19" s="1"/>
      <c r="E19" s="1"/>
      <c r="F19" s="1"/>
      <c r="G19" s="1"/>
      <c r="H19" s="1"/>
      <c r="I19" s="1"/>
      <c r="J19" s="1"/>
      <c r="K19" s="1"/>
      <c r="L19" s="20"/>
    </row>
    <row r="20" spans="1:12" ht="28.8">
      <c r="A20" s="69" t="s">
        <v>288</v>
      </c>
      <c r="B20" s="21" t="s">
        <v>965</v>
      </c>
      <c r="C20" s="19"/>
      <c r="D20" s="19"/>
      <c r="E20" s="19"/>
      <c r="F20" s="19"/>
      <c r="G20" s="19"/>
      <c r="H20" s="19"/>
      <c r="I20" s="19"/>
      <c r="J20" s="19"/>
      <c r="K20" s="19"/>
      <c r="L20" s="29"/>
    </row>
    <row r="21" spans="1:12" ht="43.2">
      <c r="A21" s="69" t="s">
        <v>289</v>
      </c>
      <c r="B21" s="21" t="s">
        <v>994</v>
      </c>
      <c r="C21" s="19"/>
      <c r="D21" s="19"/>
      <c r="E21" s="19"/>
      <c r="F21" s="19"/>
      <c r="G21" s="19"/>
      <c r="H21" s="19"/>
      <c r="I21" s="19"/>
      <c r="J21" s="19"/>
      <c r="K21" s="19"/>
      <c r="L21" s="29"/>
    </row>
    <row r="22" spans="1:12" ht="43.2">
      <c r="A22" s="69" t="s">
        <v>290</v>
      </c>
      <c r="B22" s="21" t="s">
        <v>964</v>
      </c>
      <c r="C22" s="35"/>
      <c r="D22" s="35"/>
      <c r="E22" s="35"/>
      <c r="F22" s="35"/>
      <c r="G22" s="35"/>
      <c r="H22" s="35"/>
      <c r="I22" s="35"/>
      <c r="J22" s="30"/>
      <c r="K22" s="29"/>
      <c r="L22" s="29"/>
    </row>
    <row r="23" spans="1:12">
      <c r="A23" s="69" t="s">
        <v>291</v>
      </c>
      <c r="B23" s="17" t="s">
        <v>527</v>
      </c>
      <c r="C23" s="31"/>
      <c r="D23" s="32"/>
      <c r="E23" s="32"/>
      <c r="F23" s="32"/>
      <c r="G23" s="29"/>
      <c r="H23" s="29"/>
      <c r="I23" s="29"/>
      <c r="J23" s="29"/>
      <c r="K23" s="29"/>
      <c r="L23" s="29"/>
    </row>
    <row r="24" spans="1:12">
      <c r="A24" s="69" t="s">
        <v>292</v>
      </c>
      <c r="B24" s="17" t="s">
        <v>302</v>
      </c>
      <c r="C24" s="33"/>
      <c r="D24" s="32"/>
      <c r="E24" s="32"/>
      <c r="F24" s="32"/>
      <c r="G24" s="29"/>
      <c r="H24" s="29"/>
      <c r="I24" s="29"/>
      <c r="J24" s="29"/>
      <c r="K24" s="29"/>
      <c r="L24" s="29"/>
    </row>
    <row r="25" spans="1:12">
      <c r="A25" s="69" t="s">
        <v>293</v>
      </c>
      <c r="B25" s="17" t="s">
        <v>303</v>
      </c>
      <c r="C25" s="23"/>
      <c r="D25" s="32"/>
      <c r="E25" s="32"/>
      <c r="F25" s="32"/>
      <c r="G25" s="29"/>
      <c r="H25" s="29"/>
      <c r="I25" s="29"/>
      <c r="J25" s="29"/>
      <c r="K25" s="29"/>
      <c r="L25" s="29"/>
    </row>
    <row r="26" spans="1:12">
      <c r="A26" s="69" t="s">
        <v>294</v>
      </c>
      <c r="B26" s="17" t="s">
        <v>304</v>
      </c>
      <c r="C26" s="32"/>
      <c r="D26" s="32"/>
      <c r="E26" s="32"/>
      <c r="F26" s="32"/>
      <c r="G26" s="32"/>
      <c r="H26" s="32"/>
      <c r="I26" s="32"/>
      <c r="J26" s="34"/>
      <c r="K26" s="29"/>
      <c r="L26" s="29"/>
    </row>
    <row r="27" spans="1:12">
      <c r="A27" s="69" t="s">
        <v>295</v>
      </c>
      <c r="B27" s="17" t="s">
        <v>305</v>
      </c>
      <c r="C27" s="23"/>
      <c r="D27" s="32"/>
      <c r="E27" s="32"/>
      <c r="F27" s="32"/>
      <c r="G27" s="29"/>
      <c r="H27" s="29"/>
      <c r="I27" s="29"/>
      <c r="J27" s="29"/>
      <c r="K27" s="29"/>
      <c r="L27" s="29"/>
    </row>
    <row r="28" spans="1:12" ht="43.2">
      <c r="A28" s="69" t="s">
        <v>512</v>
      </c>
      <c r="B28" s="21" t="s">
        <v>991</v>
      </c>
    </row>
    <row r="29" spans="1:12">
      <c r="A29" s="17" t="s">
        <v>572</v>
      </c>
      <c r="B29" s="17" t="s">
        <v>573</v>
      </c>
    </row>
    <row r="30" spans="1:12" ht="28.8">
      <c r="A30" s="17" t="s">
        <v>639</v>
      </c>
      <c r="B30" s="21" t="s">
        <v>1077</v>
      </c>
    </row>
    <row r="31" spans="1:12" ht="28.8">
      <c r="A31" s="17" t="s">
        <v>737</v>
      </c>
      <c r="B31" s="21" t="s">
        <v>738</v>
      </c>
    </row>
    <row r="32" spans="1:12">
      <c r="A32" s="17" t="s">
        <v>749</v>
      </c>
      <c r="B32" s="105" t="s">
        <v>758</v>
      </c>
    </row>
    <row r="33" spans="1:2" ht="28.8">
      <c r="A33" s="17" t="s">
        <v>806</v>
      </c>
      <c r="B33" s="21" t="s">
        <v>821</v>
      </c>
    </row>
    <row r="34" spans="1:2" ht="28.8">
      <c r="A34" s="17" t="s">
        <v>807</v>
      </c>
      <c r="B34" s="21" t="s">
        <v>822</v>
      </c>
    </row>
    <row r="35" spans="1:2" ht="28.8">
      <c r="A35" s="17" t="s">
        <v>808</v>
      </c>
      <c r="B35" s="21" t="s">
        <v>823</v>
      </c>
    </row>
    <row r="36" spans="1:2" ht="28.8">
      <c r="A36" s="17" t="s">
        <v>809</v>
      </c>
      <c r="B36" s="21" t="s">
        <v>855</v>
      </c>
    </row>
    <row r="37" spans="1:2" ht="28.8">
      <c r="A37" s="17" t="s">
        <v>810</v>
      </c>
      <c r="B37" s="21" t="s">
        <v>831</v>
      </c>
    </row>
    <row r="38" spans="1:2" ht="28.8">
      <c r="A38" s="17" t="s">
        <v>828</v>
      </c>
      <c r="B38" s="21" t="s">
        <v>832</v>
      </c>
    </row>
    <row r="39" spans="1:2" ht="28.8">
      <c r="A39" s="17" t="s">
        <v>829</v>
      </c>
      <c r="B39" s="21" t="s">
        <v>833</v>
      </c>
    </row>
    <row r="40" spans="1:2" ht="28.8">
      <c r="A40" s="17" t="s">
        <v>830</v>
      </c>
      <c r="B40" s="21" t="s">
        <v>834</v>
      </c>
    </row>
    <row r="41" spans="1:2">
      <c r="A41" s="17" t="s">
        <v>858</v>
      </c>
      <c r="B41" s="17" t="s">
        <v>859</v>
      </c>
    </row>
    <row r="42" spans="1:2" ht="43.2">
      <c r="A42" s="17" t="s">
        <v>875</v>
      </c>
      <c r="B42" s="21" t="s">
        <v>996</v>
      </c>
    </row>
    <row r="43" spans="1:2" ht="28.8">
      <c r="A43" s="17" t="s">
        <v>892</v>
      </c>
      <c r="B43" s="21" t="s">
        <v>900</v>
      </c>
    </row>
    <row r="44" spans="1:2">
      <c r="A44" s="17" t="s">
        <v>895</v>
      </c>
      <c r="B44" s="17" t="s">
        <v>896</v>
      </c>
    </row>
    <row r="45" spans="1:2" ht="43.2">
      <c r="A45" s="17" t="s">
        <v>899</v>
      </c>
      <c r="B45" s="21" t="s">
        <v>992</v>
      </c>
    </row>
    <row r="46" spans="1:2" ht="28.8">
      <c r="A46" s="17" t="s">
        <v>914</v>
      </c>
      <c r="B46" s="21" t="s">
        <v>915</v>
      </c>
    </row>
    <row r="47" spans="1:2">
      <c r="A47" s="17" t="s">
        <v>951</v>
      </c>
      <c r="B47" s="17" t="s">
        <v>952</v>
      </c>
    </row>
    <row r="48" spans="1:2">
      <c r="A48" s="17" t="s">
        <v>973</v>
      </c>
      <c r="B48" s="17" t="s">
        <v>974</v>
      </c>
    </row>
    <row r="49" spans="1:2">
      <c r="A49" s="17" t="s">
        <v>976</v>
      </c>
      <c r="B49" s="17" t="s">
        <v>977</v>
      </c>
    </row>
    <row r="50" spans="1:2" ht="43.2">
      <c r="A50" s="17" t="s">
        <v>983</v>
      </c>
      <c r="B50" s="21" t="str">
        <f>_xlfn.CONCAT(B14,B45)</f>
        <v>SV_23.1_EB_1507.a. EB software was delivered via FMI67918B to exactly 5 sites
FMI67933: This is a safety FMI for only 5 countries: Brazil, Colombia, Mexico, Japan and Saudi Arabia and applies only to fixed table configurations. The consignee list for this safety FMI is limited to only these countries.This FMI delivers the software including the Coil DB fix for the 16ch HNA coil warming issue to 1.5T Optima MR360 16 channel with fixed table configuration and 1.5T SIGNA Explorer with fixed table configuration.</v>
      </c>
    </row>
    <row r="51" spans="1:2" ht="28.8">
      <c r="A51" s="17" t="s">
        <v>984</v>
      </c>
      <c r="B51" s="21" t="s">
        <v>985</v>
      </c>
    </row>
    <row r="52" spans="1:2" ht="57.6">
      <c r="A52" s="17" t="s">
        <v>986</v>
      </c>
      <c r="B52" s="21" t="str">
        <f>_xlfn.CONCAT(B51,B45)</f>
        <v>FMI 60947F: If site is at SV25.0_R05 it must have been installed with SP01. If not,  SV25.0_R06 should be loaded as part of FMI. If software version is earlier than
SV25.0_R05 upgrade to SV25.0_R06 as part of FMI execution
FMI67933: This is a safety FMI for only 5 countries: Brazil, Colombia, Mexico, Japan and Saudi Arabia and applies only to fixed table configurations. The consignee list for this safety FMI is limited to only these countries.This FMI delivers the software including the Coil DB fix for the 16ch HNA coil warming issue to 1.5T Optima MR360 16 channel with fixed table configuration and 1.5T SIGNA Explorer with fixed table configuration.</v>
      </c>
    </row>
    <row r="53" spans="1:2" ht="43.2">
      <c r="A53" s="17" t="s">
        <v>987</v>
      </c>
      <c r="B53" s="21" t="str">
        <f>_xlfn.CONCAT(B19,B28)</f>
        <v>Safety FMI 60884B and 60884BC introduced the Head SAR fix for 3.0T sites only. SP-01 has been released for all international 3T sites. FMI 60884BC is for China only, FMI 60884B is for all other countries.
DV24.0_R02 was an cut into Forward Production and was an FMI that shipped through FMI60879 to only 8 customers … refer consignee list DOC1832155 in myworkshop (not accessible outside of GE). All Service Contract sites without BrainWave  hardware should be upgrading to DV25.1_R03_1802.a SP1 via FMI 60925 &amp; 60935. Determine if customer refused upgrade FMI.  If not, site can be upgraded.</v>
      </c>
    </row>
    <row r="54" spans="1:2" ht="28.8">
      <c r="A54" s="17" t="s">
        <v>988</v>
      </c>
      <c r="B54" s="21" t="str">
        <f>_xlfn.CONCAT(B15,B18)</f>
        <v xml:space="preserve"> The MR750w and MR450w GEM systems received DV25 software via FMI 60867. It is possible for MR750, MR450 or non-GEM systems to also be at DV25.
Safety FMI 60884A introduced the Head SAR fix for 3.0T sites only.</v>
      </c>
    </row>
    <row r="55" spans="1:2" ht="43.2">
      <c r="A55" s="17" t="s">
        <v>993</v>
      </c>
      <c r="B55" s="21" t="str">
        <f>_xlfn.CONCAT(B13,B21)</f>
        <v>FMI 60860: Non Contract MR450, MR450w, MR450wGEM and MR750 sites should have upgraded to DV24.0_R01 through FMI60860.  
FMI 60895: This is needed for all MR450w sites that shipped as forward production with release DV25.0_R02 software. All Service Contract sites without BrainWave  hardware should be upgrading to DV25.1_R03_1802.a SP1 via FMI 60925 &amp; 60935. Determine if customer refused upgrade FMI.  If not, site can be upgraded.</v>
      </c>
    </row>
    <row r="56" spans="1:2" ht="43.2">
      <c r="A56" s="17" t="s">
        <v>995</v>
      </c>
      <c r="B56" s="21" t="str">
        <f>_xlfn.CONCAT(B41,B42)</f>
        <v>PX26.2_R01_1824.a Service Pack 01 ships only with coil and SW collector. There is no FMI for this service pack. See DOC2175343
FMI 67931: This is an on-request FMI. The purpose is only to provide the SIGNA Voyager 1.5T software PX26.2_R02 to the site requested to resolve StudyUID Truncation issue which only occurs when the StudyUID is greater than 62 bits.</v>
      </c>
    </row>
    <row r="57" spans="1:2" ht="72">
      <c r="A57" s="17" t="s">
        <v>1033</v>
      </c>
      <c r="B57" s="21" t="s">
        <v>1081</v>
      </c>
    </row>
    <row r="58" spans="1:2" ht="57.6">
      <c r="A58" s="17" t="s">
        <v>1042</v>
      </c>
      <c r="B58" s="21" t="s">
        <v>1044</v>
      </c>
    </row>
    <row r="59" spans="1:2" ht="72">
      <c r="A59" s="17" t="s">
        <v>1043</v>
      </c>
      <c r="B59" s="21" t="str">
        <f>_xlfn.CONCAT(B13,B57)</f>
        <v>FMI 60860: Non Contract MR450, MR450w, MR450wGEM and MR750 sites should have upgraded to DV24.0_R01 through FMI60860.
FMI 60959A: applies to all sites running DV26.0_R04 and earlier
FMI 60959B: applies to all 1.5T sites running DV25.1 or earlier.
FMI 60959C: applies to all 3.0T sites running DV25.1 or earlier, this C kit includes DST Body Receive Pre-amp Cable Replacement for MR750/MR750W.
FMI 60959 is only eligible for sites running on Dell T5810. FMI 60959 is not available to sites that are not under GE service contract.</v>
      </c>
    </row>
    <row r="60" spans="1:2" ht="72">
      <c r="A60" s="17" t="s">
        <v>1049</v>
      </c>
      <c r="B60" s="21" t="str">
        <f>_xlfn.CONCAT(B23,B57)</f>
        <v>FMI 60901 is a Safety FMI that addressed the body coil heating/arcing issue for MR750w sites only.
FMI 60959A: applies to all sites running DV26.0_R04 and earlier
FMI 60959B: applies to all 1.5T sites running DV25.1 or earlier.
FMI 60959C: applies to all 3.0T sites running DV25.1 or earlier, this C kit includes DST Body Receive Pre-amp Cable Replacement for MR750/MR750W.
FMI 60959 is only eligible for sites running on Dell T5810. FMI 60959 is not available to sites that are not under GE service contract.</v>
      </c>
    </row>
    <row r="61" spans="1:2" ht="86.4">
      <c r="A61" s="17" t="s">
        <v>1061</v>
      </c>
      <c r="B61" s="21" t="str">
        <f>_xlfn.CONCAT(B18,B57)</f>
        <v xml:space="preserve">
Safety FMI 60884A introduced the Head SAR fix for 3.0T sites only.
FMI 60959A: applies to all sites running DV26.0_R04 and earlier
FMI 60959B: applies to all 1.5T sites running DV25.1 or earlier.
FMI 60959C: applies to all 3.0T sites running DV25.1 or earlier, this C kit includes DST Body Receive Pre-amp Cable Replacement for MR750/MR750W.
FMI 60959 is only eligible for sites running on Dell T5810. FMI 60959 is not available to sites that are not under GE service contract.</v>
      </c>
    </row>
    <row r="62" spans="1:2" s="104" customFormat="1" ht="86.4">
      <c r="A62" s="104" t="s">
        <v>1078</v>
      </c>
      <c r="B62" s="105" t="str">
        <f>_xlfn.CONCAT(B30,B57)</f>
        <v>FMI60939: This business FMI deploys the DV26.0 R03 release of software to the sites defined in Customer Consignee List DOC2164623
DV26.0_R01 SP-01 content is NOT in SP02
FMI 60959A: applies to all sites running DV26.0_R04 and earlier
FMI 60959B: applies to all 1.5T sites running DV25.1 or earlier.
FMI 60959C: applies to all 3.0T sites running DV25.1 or earlier, this C kit includes DST Body Receive Pre-amp Cable Replacement for MR750/MR750W.
FMI 60959 is only eligible for sites running on Dell T5810. FMI 60959 is not available to sites that are not under GE service contract.</v>
      </c>
    </row>
    <row r="63" spans="1:2" s="104" customFormat="1" ht="86.4">
      <c r="A63" s="104" t="s">
        <v>1080</v>
      </c>
      <c r="B63" s="105" t="str">
        <f>_xlfn.CONCAT(B43,B57)</f>
        <v>DV26.0_R04 software was released through Artis DOD program on all DV products, Architect and Artist systems. The release on Architect and Artist is only for DoD needs and for shipment to China Region. Forward Production Architect and Artist systems will ship with DV27 or later software.
FMI 60959A: applies to all sites running DV26.0_R04 and earlier
FMI 60959B: applies to all 1.5T sites running DV25.1 or earlier.
FMI 60959C: applies to all 3.0T sites running DV25.1 or earlier, this C kit includes DST Body Receive Pre-amp Cable Replacement for MR750/MR750W.
FMI 60959 is only eligible for sites running on Dell T5810. FMI 60959 is not available to sites that are not under GE service contract.</v>
      </c>
    </row>
    <row r="64" spans="1:2" s="104" customFormat="1" ht="144">
      <c r="A64" s="104" t="s">
        <v>1232</v>
      </c>
      <c r="B64" s="105" t="s">
        <v>1235</v>
      </c>
    </row>
    <row r="65" spans="1:2" s="104" customFormat="1" ht="172.8">
      <c r="A65" s="104" t="s">
        <v>1233</v>
      </c>
      <c r="B65" s="105" t="str">
        <f>B45 &amp; B64</f>
        <v xml:space="preserve">
FMI67933: This is a safety FMI for only 5 countries: Brazil, Colombia, Mexico, Japan and Saudi Arabia and applies only to fixed table configurations. The consignee list for this safety FMI is limited to only these countries.This FMI delivers the software including the Coil DB fix for the 16ch HNA coil warming issue to 1.5T Optima MR360 16 channel with fixed table configuration and 1.5T SIGNA Explorer with fixed table configuration.
FMI 67934: This FMI provides software SV25.0 R09 and SV25.2 R03. The software includes the fix of 16ch HNA coil warming issue, plus additional quality fixes.
The 16ch HNA coil warming issue was also addressed in FMI 67933 where reporting was concluded in 5 countries. FMI 67933 was distributed only to those 5 countries.
This FMI 67934 will be distributed to all countries including those 5 countries covered in FMI 67933, and includes same Coil DB fix for the 16ch HNA coil warming issue.
This FMI 67934 is mandatory to existing IBs with 16ch HNA coil, including 1.5T Optima MR360 with 16 channel fix table, 1.5T SIGNA Explorer with fix table and 1.5T SIGNA MR360 with fix
table. However, if the system is running on any of the following three software versions, this FMI 67934 is NOT required for it since the related HNA coil warming issue has been fixed in
these software versions.
- SV25.0 R09
- SV25.1 R06
- SV25.2 R02</v>
      </c>
    </row>
    <row r="66" spans="1:2" s="104" customFormat="1" ht="172.8">
      <c r="A66" s="104" t="s">
        <v>1234</v>
      </c>
      <c r="B66" s="105" t="str">
        <f>B50&amp;B64</f>
        <v>SV_23.1_EB_1507.a. EB software was delivered via FMI67918B to exactly 5 sites
FMI67933: This is a safety FMI for only 5 countries: Brazil, Colombia, Mexico, Japan and Saudi Arabia and applies only to fixed table configurations. The consignee list for this safety FMI is limited to only these countries.This FMI delivers the software including the Coil DB fix for the 16ch HNA coil warming issue to 1.5T Optima MR360 16 channel with fixed table configuration and 1.5T SIGNA Explorer with fixed table configuration.
FMI 67934: This FMI provides software SV25.0 R09 and SV25.2 R03. The software includes the fix of 16ch HNA coil warming issue, plus additional quality fixes.
The 16ch HNA coil warming issue was also addressed in FMI 67933 where reporting was concluded in 5 countries. FMI 67933 was distributed only to those 5 countries.
This FMI 67934 will be distributed to all countries including those 5 countries covered in FMI 67933, and includes same Coil DB fix for the 16ch HNA coil warming issue.
This FMI 67934 is mandatory to existing IBs with 16ch HNA coil, including 1.5T Optima MR360 with 16 channel fix table, 1.5T SIGNA Explorer with fix table and 1.5T SIGNA MR360 with fix
table. However, if the system is running on any of the following three software versions, this FMI 67934 is NOT required for it since the related HNA coil warming issue has been fixed in
these software versions.
- SV25.0 R09
- SV25.1 R06
- SV25.2 R02</v>
      </c>
    </row>
    <row r="67" spans="1:2" s="104" customFormat="1" ht="187.2">
      <c r="A67" s="104" t="s">
        <v>1236</v>
      </c>
      <c r="B67" s="105" t="str">
        <f>B52&amp;B64</f>
        <v>FMI 60947F: If site is at SV25.0_R05 it must have been installed with SP01. If not,  SV25.0_R06 should be loaded as part of FMI. If software version is earlier than
SV25.0_R05 upgrade to SV25.0_R06 as part of FMI execution
FMI67933: This is a safety FMI for only 5 countries: Brazil, Colombia, Mexico, Japan and Saudi Arabia and applies only to fixed table configurations. The consignee list for this safety FMI is limited to only these countries.This FMI delivers the software including the Coil DB fix for the 16ch HNA coil warming issue to 1.5T Optima MR360 16 channel with fixed table configuration and 1.5T SIGNA Explorer with fixed table configuration.
FMI 67934: This FMI provides software SV25.0 R09 and SV25.2 R03. The software includes the fix of 16ch HNA coil warming issue, plus additional quality fixes.
The 16ch HNA coil warming issue was also addressed in FMI 67933 where reporting was concluded in 5 countries. FMI 67933 was distributed only to those 5 countries.
This FMI 67934 will be distributed to all countries including those 5 countries covered in FMI 67933, and includes same Coil DB fix for the 16ch HNA coil warming issue.
This FMI 67934 is mandatory to existing IBs with 16ch HNA coil, including 1.5T Optima MR360 with 16 channel fix table, 1.5T SIGNA Explorer with fix table and 1.5T SIGNA MR360 with fix
table. However, if the system is running on any of the following three software versions, this FMI 67934 is NOT required for it since the related HNA coil warming issue has been fixed in
these software versions.
- SV25.0 R09
- SV25.1 R06
- SV25.2 R02</v>
      </c>
    </row>
    <row r="68" spans="1:2" s="104" customFormat="1" ht="144">
      <c r="A68" s="104" t="s">
        <v>1237</v>
      </c>
      <c r="B68" s="105" t="str">
        <f>B12&amp;B64</f>
        <v xml:space="preserve">  SV20.1_IB3 sites must be at a minimum of SP-01.  SP-03 is not required as this is an optional FMI.
FMI 67934: This FMI provides software SV25.0 R09 and SV25.2 R03. The software includes the fix of 16ch HNA coil warming issue, plus additional quality fixes.
The 16ch HNA coil warming issue was also addressed in FMI 67933 where reporting was concluded in 5 countries. FMI 67933 was distributed only to those 5 countries.
This FMI 67934 will be distributed to all countries including those 5 countries covered in FMI 67933, and includes same Coil DB fix for the 16ch HNA coil warming issue.
This FMI 67934 is mandatory to existing IBs with 16ch HNA coil, including 1.5T Optima MR360 with 16 channel fix table, 1.5T SIGNA Explorer with fix table and 1.5T SIGNA MR360 with fix
table. However, if the system is running on any of the following three software versions, this FMI 67934 is NOT required for it since the related HNA coil warming issue has been fixed in
these software versions.
- SV25.0 R09
- SV25.1 R06
- SV25.2 R02</v>
      </c>
    </row>
    <row r="69" spans="1:2" s="104" customFormat="1" ht="72">
      <c r="A69" s="104" t="s">
        <v>1242</v>
      </c>
      <c r="B69" s="105" t="s">
        <v>1373</v>
      </c>
    </row>
    <row r="70" spans="1:2" s="104" customFormat="1" ht="244.8">
      <c r="A70" s="104" t="s">
        <v>1243</v>
      </c>
      <c r="B70" s="105" t="str">
        <f>B67&amp;B69</f>
        <v>FMI 60947F: If site is at SV25.0_R05 it must have been installed with SP01. If not,  SV25.0_R06 should be loaded as part of FMI. If software version is earlier than
SV25.0_R05 upgrade to SV25.0_R06 as part of FMI execution
FMI67933: This is a safety FMI for only 5 countries: Brazil, Colombia, Mexico, Japan and Saudi Arabia and applies only to fixed table configurations. The consignee list for this safety FMI is limited to only these countries.This FMI delivers the software including the Coil DB fix for the 16ch HNA coil warming issue to 1.5T Optima MR360 16 channel with fixed table configuration and 1.5T SIGNA Explorer with fixed table configuration.
FMI 67934: This FMI provides software SV25.0 R09 and SV25.2 R03. The software includes the fix of 16ch HNA coil warming issue, plus additional quality fixes.
The 16ch HNA coil warming issue was also addressed in FMI 67933 where reporting was concluded in 5 countries. FMI 67933 was distributed only to those 5 countries.
This FMI 67934 will be distributed to all countries including those 5 countries covered in FMI 67933, and includes same Coil DB fix for the 16ch HNA coil warming issue.
This FMI 67934 is mandatory to existing IBs with 16ch HNA coil, including 1.5T Optima MR360 with 16 channel fix table, 1.5T SIGNA Explorer with fix table and 1.5T SIGNA MR360 with fix
table. However, if the system is running on any of the following three software versions, this FMI 67934 is NOT required for it since the related HNA coil warming issue has been fixed in
these software versions.
- SV25.0 R09
- SV25.1 R06
- SV25.2 R02
FMI 67936: The Business On-Request FMI 67936 provides software SV25.0 R09 and SV25.2
R03 to existing IBs, including 1.5T Brivo MR355 &amp; Optima MR360, 1.5T SIGNA
Creator &amp; SIGNA Explorer, 1.5T SIGNA MR355 &amp; SIGNA MR360.
IBs out of Mandatory FMI 67934 scope are eligible to request On-Request FMI 67936.</v>
      </c>
    </row>
    <row r="71" spans="1:2" s="104" customFormat="1" ht="201.6">
      <c r="A71" s="104" t="s">
        <v>1372</v>
      </c>
      <c r="B71" s="105" t="str">
        <f>B64&amp;B69</f>
        <v xml:space="preserve">
FMI 67934: This FMI provides software SV25.0 R09 and SV25.2 R03. The software includes the fix of 16ch HNA coil warming issue, plus additional quality fixes.
The 16ch HNA coil warming issue was also addressed in FMI 67933 where reporting was concluded in 5 countries. FMI 67933 was distributed only to those 5 countries.
This FMI 67934 will be distributed to all countries including those 5 countries covered in FMI 67933, and includes same Coil DB fix for the 16ch HNA coil warming issue.
This FMI 67934 is mandatory to existing IBs with 16ch HNA coil, including 1.5T Optima MR360 with 16 channel fix table, 1.5T SIGNA Explorer with fix table and 1.5T SIGNA MR360 with fix
table. However, if the system is running on any of the following three software versions, this FMI 67934 is NOT required for it since the related HNA coil warming issue has been fixed in
these software versions.
- SV25.0 R09
- SV25.1 R06
- SV25.2 R02
FMI 67936: The Business On-Request FMI 67936 provides software SV25.0 R09 and SV25.2
R03 to existing IBs, including 1.5T Brivo MR355 &amp; Optima MR360, 1.5T SIGNA
Creator &amp; SIGNA Explorer, 1.5T SIGNA MR355 &amp; SIGNA MR360.
IBs out of Mandatory FMI 67934 scope are eligible to request On-Request FMI 67936.</v>
      </c>
    </row>
    <row r="72" spans="1:2" s="104" customFormat="1" ht="86.4">
      <c r="A72" s="104" t="s">
        <v>1504</v>
      </c>
      <c r="B72" s="105" t="s">
        <v>1505</v>
      </c>
    </row>
    <row r="73" spans="1:2" s="104" customFormat="1" ht="43.2">
      <c r="A73" s="104" t="s">
        <v>1602</v>
      </c>
      <c r="B73" s="105" t="s">
        <v>1611</v>
      </c>
    </row>
    <row r="74" spans="1:2">
      <c r="A74" s="104" t="s">
        <v>1688</v>
      </c>
      <c r="B74" s="105" t="s">
        <v>1762</v>
      </c>
    </row>
    <row r="75" spans="1:2" s="104" customFormat="1">
      <c r="A75" s="104" t="s">
        <v>1709</v>
      </c>
      <c r="B75" s="105" t="s">
        <v>1765</v>
      </c>
    </row>
    <row r="76" spans="1:2" s="104" customFormat="1">
      <c r="A76" s="104" t="s">
        <v>1710</v>
      </c>
      <c r="B76" s="105" t="s">
        <v>1763</v>
      </c>
    </row>
    <row r="77" spans="1:2" s="104" customFormat="1">
      <c r="A77" s="104" t="s">
        <v>1711</v>
      </c>
      <c r="B77" s="105" t="s">
        <v>1764</v>
      </c>
    </row>
    <row r="78" spans="1:2" s="104" customFormat="1" ht="72">
      <c r="A78" s="104" t="s">
        <v>1769</v>
      </c>
      <c r="B78" s="105" t="s">
        <v>1770</v>
      </c>
    </row>
    <row r="79" spans="1:2" s="104" customFormat="1" ht="144">
      <c r="A79" s="104" t="s">
        <v>1788</v>
      </c>
      <c r="B79" s="105" t="s">
        <v>2663</v>
      </c>
    </row>
    <row r="80" spans="1:2" s="104" customFormat="1" ht="72">
      <c r="A80" s="104" t="s">
        <v>1797</v>
      </c>
      <c r="B80" s="105" t="s">
        <v>1802</v>
      </c>
    </row>
    <row r="81" spans="1:2" ht="57.6">
      <c r="A81" s="104" t="s">
        <v>1806</v>
      </c>
      <c r="B81" s="105" t="s">
        <v>1805</v>
      </c>
    </row>
    <row r="82" spans="1:2" ht="144">
      <c r="A82" s="104" t="s">
        <v>1816</v>
      </c>
      <c r="B82" s="126" t="s">
        <v>2656</v>
      </c>
    </row>
    <row r="83" spans="1:2" ht="43.2">
      <c r="A83" s="104" t="s">
        <v>1833</v>
      </c>
      <c r="B83" s="105" t="s">
        <v>2540</v>
      </c>
    </row>
    <row r="84" spans="1:2" ht="28.8">
      <c r="A84" s="104" t="s">
        <v>1841</v>
      </c>
      <c r="B84" s="105" t="s">
        <v>1842</v>
      </c>
    </row>
    <row r="85" spans="1:2" ht="86.4">
      <c r="A85" s="104" t="s">
        <v>1850</v>
      </c>
      <c r="B85" s="105" t="s">
        <v>2768</v>
      </c>
    </row>
    <row r="86" spans="1:2" s="104" customFormat="1" ht="259.2">
      <c r="A86" s="104" t="s">
        <v>1860</v>
      </c>
      <c r="B86" s="105" t="s">
        <v>2461</v>
      </c>
    </row>
    <row r="87" spans="1:2" s="104" customFormat="1" ht="72">
      <c r="A87" s="104" t="s">
        <v>1864</v>
      </c>
      <c r="B87" s="105" t="s">
        <v>2459</v>
      </c>
    </row>
    <row r="88" spans="1:2" s="104" customFormat="1" ht="86.4">
      <c r="A88" s="104" t="s">
        <v>1865</v>
      </c>
      <c r="B88" s="105" t="s">
        <v>2590</v>
      </c>
    </row>
    <row r="89" spans="1:2" ht="57.6">
      <c r="A89" s="17" t="s">
        <v>2392</v>
      </c>
      <c r="B89" s="21" t="s">
        <v>2393</v>
      </c>
    </row>
    <row r="90" spans="1:2" ht="201.6">
      <c r="A90" s="17" t="s">
        <v>2397</v>
      </c>
      <c r="B90" s="21" t="s">
        <v>2664</v>
      </c>
    </row>
    <row r="91" spans="1:2" ht="72">
      <c r="A91" s="17" t="s">
        <v>2398</v>
      </c>
      <c r="B91" s="21" t="s">
        <v>2670</v>
      </c>
    </row>
    <row r="92" spans="1:2" ht="100.8">
      <c r="A92" s="104" t="s">
        <v>2451</v>
      </c>
      <c r="B92" s="105" t="s">
        <v>2460</v>
      </c>
    </row>
    <row r="93" spans="1:2">
      <c r="A93" s="104" t="s">
        <v>2523</v>
      </c>
      <c r="B93" s="21" t="s">
        <v>2592</v>
      </c>
    </row>
    <row r="94" spans="1:2">
      <c r="A94" s="17" t="s">
        <v>2553</v>
      </c>
      <c r="B94" s="200" t="s">
        <v>2887</v>
      </c>
    </row>
    <row r="95" spans="1:2">
      <c r="A95" s="17" t="s">
        <v>2583</v>
      </c>
      <c r="B95" s="202" t="s">
        <v>2591</v>
      </c>
    </row>
    <row r="96" spans="1:2" ht="15">
      <c r="A96" s="17" t="s">
        <v>2631</v>
      </c>
      <c r="B96" s="207" t="s">
        <v>2632</v>
      </c>
    </row>
    <row r="97" spans="1:2" ht="72">
      <c r="A97" s="17" t="s">
        <v>2633</v>
      </c>
      <c r="B97" s="21" t="s">
        <v>2840</v>
      </c>
    </row>
    <row r="98" spans="1:2" ht="72">
      <c r="A98" s="17" t="s">
        <v>2681</v>
      </c>
      <c r="B98" s="21" t="s">
        <v>2837</v>
      </c>
    </row>
    <row r="99" spans="1:2" s="74" customFormat="1" ht="28.8">
      <c r="A99" s="74" t="s">
        <v>2759</v>
      </c>
      <c r="B99" s="73" t="s">
        <v>2763</v>
      </c>
    </row>
    <row r="100" spans="1:2" s="74" customFormat="1">
      <c r="A100" s="74" t="s">
        <v>2835</v>
      </c>
      <c r="B100" s="73" t="s">
        <v>2902</v>
      </c>
    </row>
    <row r="101" spans="1:2" s="74" customFormat="1" ht="57.6">
      <c r="A101" s="74" t="s">
        <v>2836</v>
      </c>
      <c r="B101" s="237" t="s">
        <v>2904</v>
      </c>
    </row>
    <row r="102" spans="1:2" s="238" customFormat="1">
      <c r="A102" s="238" t="s">
        <v>2838</v>
      </c>
      <c r="B102" s="237" t="s">
        <v>2890</v>
      </c>
    </row>
    <row r="103" spans="1:2" s="74" customFormat="1">
      <c r="A103" s="74" t="s">
        <v>2839</v>
      </c>
      <c r="B103" s="237" t="s">
        <v>2891</v>
      </c>
    </row>
    <row r="104" spans="1:2" s="74" customFormat="1" ht="43.2">
      <c r="A104" s="74" t="s">
        <v>2903</v>
      </c>
      <c r="B104" s="73" t="s">
        <v>2906</v>
      </c>
    </row>
    <row r="208" spans="32:32" ht="86.4">
      <c r="AF208" s="21" t="s">
        <v>229</v>
      </c>
    </row>
  </sheetData>
  <phoneticPr fontId="17"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295382-19D7-4878-8B9A-7FAA657B789F}">
  <dimension ref="A2:G24"/>
  <sheetViews>
    <sheetView tabSelected="1" zoomScaleNormal="100" workbookViewId="0">
      <selection activeCell="C5" sqref="C5:D5"/>
    </sheetView>
  </sheetViews>
  <sheetFormatPr defaultColWidth="18.26171875" defaultRowHeight="14.4"/>
  <cols>
    <col min="1" max="1" width="11.5234375" customWidth="1"/>
    <col min="2" max="2" width="67.47265625" customWidth="1"/>
    <col min="3" max="3" width="26.5234375" customWidth="1"/>
    <col min="4" max="4" width="27.47265625" customWidth="1"/>
    <col min="5" max="5" width="123.5234375" customWidth="1"/>
    <col min="6" max="6" width="55.7890625" customWidth="1"/>
    <col min="9" max="9" width="28.5234375" bestFit="1" customWidth="1"/>
    <col min="10" max="10" width="2" bestFit="1" customWidth="1"/>
  </cols>
  <sheetData>
    <row r="2" spans="1:7" ht="20.7" thickBot="1">
      <c r="A2" s="132" t="s">
        <v>2304</v>
      </c>
    </row>
    <row r="3" spans="1:7" ht="15.6">
      <c r="A3" s="133" t="s">
        <v>2305</v>
      </c>
      <c r="B3" s="134" t="s">
        <v>2306</v>
      </c>
      <c r="C3" s="263" t="s">
        <v>2307</v>
      </c>
      <c r="D3" s="264"/>
    </row>
    <row r="4" spans="1:7">
      <c r="A4" s="135" t="s">
        <v>2308</v>
      </c>
      <c r="B4" s="136" t="s">
        <v>2399</v>
      </c>
      <c r="C4" s="265" t="s">
        <v>2626</v>
      </c>
      <c r="D4" s="266"/>
      <c r="E4" s="61" t="s">
        <v>2401</v>
      </c>
    </row>
    <row r="5" spans="1:7">
      <c r="A5" s="135" t="s">
        <v>2309</v>
      </c>
      <c r="B5" s="136" t="s">
        <v>2403</v>
      </c>
      <c r="C5" s="265" t="s">
        <v>2822</v>
      </c>
      <c r="D5" s="266"/>
      <c r="E5" s="61" t="s">
        <v>2402</v>
      </c>
    </row>
    <row r="6" spans="1:7">
      <c r="A6" s="135" t="s">
        <v>2312</v>
      </c>
      <c r="B6" s="181" t="s">
        <v>2405</v>
      </c>
      <c r="C6" s="274" t="s">
        <v>1908</v>
      </c>
      <c r="D6" s="275"/>
      <c r="E6" s="61" t="s">
        <v>2407</v>
      </c>
    </row>
    <row r="7" spans="1:7">
      <c r="A7" s="137" t="s">
        <v>2400</v>
      </c>
      <c r="B7" s="138" t="s">
        <v>2310</v>
      </c>
      <c r="C7" s="267" t="s">
        <v>2747</v>
      </c>
      <c r="D7" s="268"/>
      <c r="E7" s="61" t="s">
        <v>2311</v>
      </c>
    </row>
    <row r="8" spans="1:7">
      <c r="A8" s="135" t="s">
        <v>2404</v>
      </c>
      <c r="B8" s="139" t="s">
        <v>2313</v>
      </c>
      <c r="C8" s="269"/>
      <c r="D8" s="270"/>
      <c r="E8" s="61" t="s">
        <v>2314</v>
      </c>
    </row>
    <row r="9" spans="1:7">
      <c r="A9" s="140"/>
      <c r="B9" s="141"/>
      <c r="C9" s="142"/>
      <c r="D9" s="143"/>
      <c r="E9" s="61"/>
    </row>
    <row r="10" spans="1:7" ht="6" customHeight="1" thickBot="1">
      <c r="A10" s="271" t="s">
        <v>2905</v>
      </c>
      <c r="B10" s="272"/>
      <c r="C10" s="272"/>
      <c r="D10" s="273"/>
      <c r="E10" s="144"/>
      <c r="F10" s="145"/>
    </row>
    <row r="11" spans="1:7" ht="51" customHeight="1">
      <c r="A11" s="146" t="s">
        <v>2315</v>
      </c>
      <c r="B11" s="147" t="s">
        <v>2464</v>
      </c>
      <c r="C11" s="276" t="str" cm="1">
        <f t="array" ref="C11">IFERROR(INDEX('MR SW Matrix'!$A$3:$AH$983,MATCH(1,INDEX(($C$4='MR SW Matrix'!$A$3:$A$983)*($C$5='MR SW Matrix'!$B$3:$B$983)*($C$7='MR SW Matrix'!$D$3:$D$985)*IFERROR(FIND($C$6,'MR SW Matrix'!$I$3:$I$983),0),0,1),0),6),INDEX('MR SW Matrix'!$A$3:$AH$983,MATCH(1,INDEX(($C$4='MR SW Matrix'!$A$3:$A$983)*($C$5='MR SW Matrix'!$B$3:$B$983)*($C$7='MR SW Matrix'!$D$3:$D$985)*IFERROR(FIND("None",'MR SW Matrix'!$I$3:$I$983),0),0,1),0),6))</f>
        <v>CX40.2_R01_2310.b</v>
      </c>
      <c r="D11" s="277"/>
      <c r="E11" s="261"/>
      <c r="F11" s="262"/>
      <c r="G11" s="148"/>
    </row>
    <row r="12" spans="1:7" ht="86.5" customHeight="1">
      <c r="A12" s="135" t="s">
        <v>2316</v>
      </c>
      <c r="B12" s="191" t="s">
        <v>2778</v>
      </c>
      <c r="C12" s="281" t="str" cm="1">
        <f t="array" ref="C12">IFERROR(INDEX('MR SW Matrix'!$A$3:$AJ$983,MATCH(1,INDEX(($C$4='MR SW Matrix'!$A$3:$A$983)*($C$5='MR SW Matrix'!$B$3:$B$983)*($C$7='MR SW Matrix'!$D$3:$D$985)*IFERROR(FIND($C$6,'MR SW Matrix'!$I$3:$I$983),0),0,1),0),15),INDEX('MR SW Matrix'!$A$3:$AJ$983,MATCH(1,INDEX(($C$4='MR SW Matrix'!$A$3:$A$983)*($C$5='MR SW Matrix'!$B$3:$B$983)*($C$7='MR SW Matrix'!$D$3:$D$985)*IFERROR(FIND("None",'MR SW Matrix'!$I$3:$I$983),0),0,1),0),15))</f>
        <v>None</v>
      </c>
      <c r="D12" s="282"/>
      <c r="E12" s="283" t="str" cm="1">
        <f t="array" ref="E12">IFERROR(VLOOKUP(INDEX('MR SW Matrix'!$A$3:$BC$1048576,MATCH(1, INDEX(($C$4='MR SW Matrix'!$A$3:$A$1543)*($C$5='MR SW Matrix'!$B$3:$B$1543)*($C$7='MR SW Matrix'!$D$3:$D$1543),0,1),0),53),Notes!$A$1:$B$227,2,FALSE),"N/A")</f>
        <v>This SW release applies to more than 1 product as noted above. Per Mulan NX NPI applicable products are: Prime, Victor, Aviator Air, Star Air
FMI 67944A provides software CX40.2_R01 and CX40.2_R01 Service Pack 02 to 1.5T SIGNA Prime/Victor sites installed with CX40.0/CX40.1. (Doc2907402)
FMI 67944B provides software ST28.2_R01 and ST28.2_R01 Service Pack 02 to 1.5T SIGNA Prime/Victor sites installed with ST28.0/ST28.1 in China mainland.(Doc2907402)</v>
      </c>
      <c r="F12" s="284"/>
    </row>
    <row r="13" spans="1:7" ht="120" customHeight="1" thickBot="1">
      <c r="A13" s="149" t="s">
        <v>2317</v>
      </c>
      <c r="B13" s="150" t="s">
        <v>2318</v>
      </c>
      <c r="C13" s="287" t="str" cm="1">
        <f t="array" ref="C13">IFERROR(INDEX('MR SW Matrix'!$A$3:$AJ$983,MATCH(1,INDEX(($C$4='MR SW Matrix'!$A$3:$A$983)*($C$5='MR SW Matrix'!$B$3:$B$983)*($C$7='MR SW Matrix'!$D$3:$D$985)*IFERROR(FIND($C$6,'MR SW Matrix'!$I$3:$I$983),0),0,1),0),15),INDEX('MR SW Matrix'!$A$3:$AJ$983,MATCH(1,INDEX(($C$4='MR SW Matrix'!$A$3:$A$983)*($C$5='MR SW Matrix'!$B$3:$B$983)*($C$7='MR SW Matrix'!$D$3:$D$985)*IFERROR(FIND("None",'MR SW Matrix'!$I$3:$I$983),0),0,1),0),15))</f>
        <v>None</v>
      </c>
      <c r="D13" s="288"/>
      <c r="E13" s="285"/>
      <c r="F13" s="286"/>
    </row>
    <row r="14" spans="1:7">
      <c r="A14" s="151"/>
      <c r="B14" s="152"/>
    </row>
    <row r="16" spans="1:7">
      <c r="A16" s="151"/>
      <c r="B16" s="152"/>
    </row>
    <row r="17" spans="1:5">
      <c r="A17" s="153"/>
      <c r="B17" s="289" t="s">
        <v>2319</v>
      </c>
      <c r="C17" s="290"/>
      <c r="D17" s="291"/>
      <c r="E17" s="154" t="s">
        <v>2320</v>
      </c>
    </row>
    <row r="18" spans="1:5" ht="57" customHeight="1">
      <c r="A18" s="16" t="s">
        <v>2321</v>
      </c>
      <c r="B18" s="292" t="s">
        <v>2322</v>
      </c>
      <c r="C18" s="293"/>
      <c r="D18" s="294"/>
      <c r="E18" s="104" t="s">
        <v>2323</v>
      </c>
    </row>
    <row r="19" spans="1:5" ht="28.8">
      <c r="A19" s="155" t="s">
        <v>2324</v>
      </c>
      <c r="B19" s="278" t="s">
        <v>2463</v>
      </c>
      <c r="C19" s="279"/>
      <c r="D19" s="280"/>
      <c r="E19" s="105" t="s">
        <v>2325</v>
      </c>
    </row>
    <row r="20" spans="1:5" ht="43.2">
      <c r="A20" s="155" t="s">
        <v>2326</v>
      </c>
      <c r="B20" s="278" t="s">
        <v>2327</v>
      </c>
      <c r="C20" s="279"/>
      <c r="D20" s="280"/>
      <c r="E20" s="105" t="s">
        <v>2328</v>
      </c>
    </row>
    <row r="21" spans="1:5">
      <c r="A21" s="16" t="s">
        <v>2329</v>
      </c>
      <c r="B21" s="278" t="s">
        <v>2330</v>
      </c>
      <c r="C21" s="279"/>
      <c r="D21" s="280"/>
      <c r="E21" s="104" t="s">
        <v>2331</v>
      </c>
    </row>
    <row r="24" spans="1:5">
      <c r="A24" s="61" t="s">
        <v>2332</v>
      </c>
      <c r="B24" s="61" t="s">
        <v>2333</v>
      </c>
    </row>
  </sheetData>
  <mergeCells count="17">
    <mergeCell ref="B20:D20"/>
    <mergeCell ref="B21:D21"/>
    <mergeCell ref="C12:D12"/>
    <mergeCell ref="E12:F13"/>
    <mergeCell ref="C13:D13"/>
    <mergeCell ref="B17:D17"/>
    <mergeCell ref="B18:D18"/>
    <mergeCell ref="B19:D19"/>
    <mergeCell ref="E11:F11"/>
    <mergeCell ref="C3:D3"/>
    <mergeCell ref="C4:D4"/>
    <mergeCell ref="C7:D7"/>
    <mergeCell ref="C8:D8"/>
    <mergeCell ref="A10:D10"/>
    <mergeCell ref="C5:D5"/>
    <mergeCell ref="C6:D6"/>
    <mergeCell ref="C11:D11"/>
  </mergeCells>
  <phoneticPr fontId="17" type="noConversion"/>
  <dataValidations count="4">
    <dataValidation type="list" allowBlank="1" showInputMessage="1" showErrorMessage="1" sqref="C10:D10" xr:uid="{7D254FC7-F257-4656-BAEC-727FD8B2A72A}">
      <formula1>INDIRECT(SUBSTITUTE($C$4," ","_"))</formula1>
    </dataValidation>
    <dataValidation type="list" allowBlank="1" showInputMessage="1" showErrorMessage="1" sqref="C5:D5" xr:uid="{6B466A26-6089-4503-9B8B-B1F5857A5DFB}">
      <formula1>INDIRECT(_xlfn.TEXTJOIN("",TRUE,SUBSTITUTE(SUBSTITUTE($C$4," ","_"),"/","_"),"_GI"))</formula1>
    </dataValidation>
    <dataValidation type="list" allowBlank="1" showInputMessage="1" showErrorMessage="1" sqref="C7:D7" xr:uid="{91595BFE-14E2-4825-A967-9007269DDF95}">
      <formula1>INDIRECT(SUBSTITUTE(SUBSTITUTE($C$5,"/","_")," ","_"))</formula1>
    </dataValidation>
    <dataValidation type="list" allowBlank="1" showInputMessage="1" showErrorMessage="1" sqref="C6:D6" xr:uid="{3FACC854-6865-47D3-90D3-24373F88E15F}">
      <formula1>Unique_Subregion</formula1>
    </dataValidation>
  </dataValidations>
  <pageMargins left="0.7" right="0.7" top="0.75" bottom="0.75" header="0.3" footer="0.3"/>
  <pageSetup orientation="portrait" r:id="rId1"/>
  <drawing r:id="rId2"/>
  <legacyDrawing r:id="rId3"/>
  <oleObjects>
    <mc:AlternateContent xmlns:mc="http://schemas.openxmlformats.org/markup-compatibility/2006">
      <mc:Choice Requires="x14">
        <oleObject progId="Document" dvAspect="DVASPECT_ICON" shapeId="12292" r:id="rId4">
          <objectPr defaultSize="0" autoPict="0" r:id="rId5">
            <anchor moveWithCells="1">
              <from>
                <xdr:col>4</xdr:col>
                <xdr:colOff>4629150</xdr:colOff>
                <xdr:row>0</xdr:row>
                <xdr:rowOff>49530</xdr:rowOff>
              </from>
              <to>
                <xdr:col>4</xdr:col>
                <xdr:colOff>5486400</xdr:colOff>
                <xdr:row>3</xdr:row>
                <xdr:rowOff>57150</xdr:rowOff>
              </to>
            </anchor>
          </objectPr>
        </oleObject>
      </mc:Choice>
      <mc:Fallback>
        <oleObject progId="Document" dvAspect="DVASPECT_ICON" shapeId="12292" r:id="rId4"/>
      </mc:Fallback>
    </mc:AlternateContent>
  </oleObjects>
  <extLst>
    <ext xmlns:x14="http://schemas.microsoft.com/office/spreadsheetml/2009/9/main" uri="{CCE6A557-97BC-4b89-ADB6-D9C93CAAB3DF}">
      <x14:dataValidations xmlns:xm="http://schemas.microsoft.com/office/excel/2006/main" count="1">
        <x14:dataValidation type="list" allowBlank="1" showInputMessage="1" showErrorMessage="1" xr:uid="{4D7B6F0A-17AA-4E29-84AB-9F33CD4E5693}">
          <x14:formula1>
            <xm:f>RegionList!$F$3:$F$56</xm:f>
          </x14:formula1>
          <xm:sqref>C4:D4</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66E3F-720F-4CB5-9A64-1423EC3F8E8A}">
  <sheetPr filterMode="1"/>
  <dimension ref="A1:BC937"/>
  <sheetViews>
    <sheetView zoomScale="55" zoomScaleNormal="55" workbookViewId="0">
      <pane xSplit="5" ySplit="2" topLeftCell="G46" activePane="bottomRight" state="frozen"/>
      <selection activeCell="B1" sqref="B1"/>
      <selection pane="topRight" activeCell="F1" sqref="F1"/>
      <selection pane="bottomLeft" activeCell="B3" sqref="B3"/>
      <selection pane="bottomRight" activeCell="H823" sqref="H823"/>
    </sheetView>
  </sheetViews>
  <sheetFormatPr defaultColWidth="46.15625" defaultRowHeight="75" customHeight="1" outlineLevelCol="1"/>
  <cols>
    <col min="1" max="1" width="22" style="10" customWidth="1"/>
    <col min="2" max="3" width="20.734375" style="10" customWidth="1"/>
    <col min="4" max="4" width="23.734375" style="10" customWidth="1"/>
    <col min="5" max="5" width="21.26171875" style="10" bestFit="1" customWidth="1"/>
    <col min="6" max="6" width="23.47265625" style="167" customWidth="1" outlineLevel="1"/>
    <col min="7" max="7" width="22.734375" style="10" customWidth="1" outlineLevel="1"/>
    <col min="8" max="9" width="26.734375" style="10" customWidth="1" outlineLevel="1"/>
    <col min="10" max="11" width="16.734375" style="10" customWidth="1" outlineLevel="1"/>
    <col min="12" max="12" width="18.7890625" style="10" customWidth="1" outlineLevel="1"/>
    <col min="13" max="13" width="18.7890625" style="168" customWidth="1"/>
    <col min="14" max="14" width="18.7890625" style="125" customWidth="1"/>
    <col min="15" max="15" width="18.7890625" style="222" customWidth="1"/>
    <col min="16" max="16" width="20.734375" style="125" customWidth="1" outlineLevel="1"/>
    <col min="17" max="21" width="25.734375" style="10" customWidth="1" outlineLevel="1"/>
    <col min="22" max="22" width="25.734375" style="168" customWidth="1"/>
    <col min="23" max="23" width="23.47265625" style="167" customWidth="1" outlineLevel="1"/>
    <col min="24" max="24" width="22.734375" style="10" customWidth="1" outlineLevel="1"/>
    <col min="25" max="26" width="26.734375" style="10" customWidth="1" outlineLevel="1"/>
    <col min="27" max="28" width="16.734375" style="10" customWidth="1" outlineLevel="1"/>
    <col min="29" max="29" width="18.7890625" style="10" customWidth="1" outlineLevel="1"/>
    <col min="30" max="30" width="18.7890625" style="168" customWidth="1"/>
    <col min="31" max="31" width="20.734375" style="167" customWidth="1" outlineLevel="1"/>
    <col min="32" max="36" width="25.734375" style="10" customWidth="1" outlineLevel="1"/>
    <col min="37" max="37" width="25.734375" style="168" customWidth="1"/>
    <col min="38" max="38" width="23.47265625" style="167" customWidth="1" outlineLevel="1"/>
    <col min="39" max="39" width="22.734375" style="10" customWidth="1" outlineLevel="1"/>
    <col min="40" max="41" width="26.734375" style="10" customWidth="1" outlineLevel="1"/>
    <col min="42" max="43" width="16.734375" style="10" customWidth="1" outlineLevel="1"/>
    <col min="44" max="44" width="18.7890625" style="10" customWidth="1" outlineLevel="1"/>
    <col min="45" max="45" width="18.7890625" style="168" customWidth="1"/>
    <col min="46" max="46" width="25.734375" style="167" customWidth="1" outlineLevel="1"/>
    <col min="47" max="51" width="25.734375" style="10" customWidth="1" outlineLevel="1"/>
    <col min="52" max="52" width="25.734375" style="168" customWidth="1"/>
    <col min="53" max="54" width="20.734375" style="10" customWidth="1"/>
    <col min="55" max="55" width="30.734375" style="10" bestFit="1" customWidth="1"/>
    <col min="56" max="16384" width="46.15625" style="10"/>
  </cols>
  <sheetData>
    <row r="1" spans="1:55" ht="17.7">
      <c r="F1" s="303" t="s">
        <v>1901</v>
      </c>
      <c r="G1" s="304"/>
      <c r="H1" s="304"/>
      <c r="I1" s="304"/>
      <c r="J1" s="304"/>
      <c r="K1" s="304"/>
      <c r="L1" s="304"/>
      <c r="M1" s="305"/>
      <c r="N1" s="214"/>
      <c r="O1" s="214"/>
      <c r="P1" s="295" t="s">
        <v>404</v>
      </c>
      <c r="Q1" s="296"/>
      <c r="R1" s="296"/>
      <c r="S1" s="296"/>
      <c r="T1" s="296"/>
      <c r="U1" s="296"/>
      <c r="V1" s="297"/>
      <c r="W1" s="306" t="s">
        <v>1902</v>
      </c>
      <c r="X1" s="307"/>
      <c r="Y1" s="307"/>
      <c r="Z1" s="307"/>
      <c r="AA1" s="307"/>
      <c r="AB1" s="307"/>
      <c r="AC1" s="307"/>
      <c r="AD1" s="308"/>
      <c r="AE1" s="298" t="s">
        <v>243</v>
      </c>
      <c r="AF1" s="299"/>
      <c r="AG1" s="299"/>
      <c r="AH1" s="299"/>
      <c r="AI1" s="299"/>
      <c r="AJ1" s="299"/>
      <c r="AK1" s="300"/>
      <c r="AL1" s="309" t="s">
        <v>1903</v>
      </c>
      <c r="AM1" s="310"/>
      <c r="AN1" s="310"/>
      <c r="AO1" s="310"/>
      <c r="AP1" s="310"/>
      <c r="AQ1" s="310"/>
      <c r="AR1" s="310"/>
      <c r="AS1" s="311"/>
      <c r="AT1" s="301" t="s">
        <v>417</v>
      </c>
      <c r="AU1" s="302"/>
      <c r="AV1" s="302"/>
      <c r="AW1" s="302"/>
      <c r="AX1" s="302"/>
      <c r="AY1" s="302"/>
      <c r="AZ1" s="178"/>
    </row>
    <row r="2" spans="1:55" ht="75" customHeight="1">
      <c r="A2" s="12" t="s">
        <v>2571</v>
      </c>
      <c r="B2" s="12" t="s">
        <v>2389</v>
      </c>
      <c r="C2" s="12" t="s">
        <v>250</v>
      </c>
      <c r="D2" s="12" t="s">
        <v>42</v>
      </c>
      <c r="E2" s="160" t="s">
        <v>466</v>
      </c>
      <c r="F2" s="163" t="s">
        <v>602</v>
      </c>
      <c r="G2" s="159" t="s">
        <v>603</v>
      </c>
      <c r="H2" s="159" t="s">
        <v>604</v>
      </c>
      <c r="I2" s="159" t="s">
        <v>1907</v>
      </c>
      <c r="J2" s="159" t="s">
        <v>637</v>
      </c>
      <c r="K2" s="159" t="s">
        <v>636</v>
      </c>
      <c r="L2" s="159" t="s">
        <v>608</v>
      </c>
      <c r="M2" s="164" t="s">
        <v>635</v>
      </c>
      <c r="N2" s="156" t="s">
        <v>2773</v>
      </c>
      <c r="O2" s="156" t="s">
        <v>2774</v>
      </c>
      <c r="P2" s="216" t="s">
        <v>404</v>
      </c>
      <c r="Q2" s="156" t="s">
        <v>43</v>
      </c>
      <c r="R2" s="156" t="s">
        <v>599</v>
      </c>
      <c r="S2" s="156" t="s">
        <v>1907</v>
      </c>
      <c r="T2" s="156" t="s">
        <v>596</v>
      </c>
      <c r="U2" s="156" t="s">
        <v>598</v>
      </c>
      <c r="V2" s="169" t="s">
        <v>633</v>
      </c>
      <c r="W2" s="170" t="s">
        <v>602</v>
      </c>
      <c r="X2" s="157" t="s">
        <v>603</v>
      </c>
      <c r="Y2" s="157" t="s">
        <v>604</v>
      </c>
      <c r="Z2" s="157" t="s">
        <v>1907</v>
      </c>
      <c r="AA2" s="157" t="s">
        <v>637</v>
      </c>
      <c r="AB2" s="157" t="s">
        <v>636</v>
      </c>
      <c r="AC2" s="157" t="s">
        <v>608</v>
      </c>
      <c r="AD2" s="171" t="s">
        <v>635</v>
      </c>
      <c r="AE2" s="172" t="s">
        <v>605</v>
      </c>
      <c r="AF2" s="127" t="s">
        <v>244</v>
      </c>
      <c r="AG2" s="127" t="s">
        <v>600</v>
      </c>
      <c r="AH2" s="127" t="s">
        <v>1907</v>
      </c>
      <c r="AI2" s="127" t="s">
        <v>610</v>
      </c>
      <c r="AJ2" s="127" t="s">
        <v>597</v>
      </c>
      <c r="AK2" s="173" t="s">
        <v>634</v>
      </c>
      <c r="AL2" s="175" t="s">
        <v>602</v>
      </c>
      <c r="AM2" s="158" t="s">
        <v>603</v>
      </c>
      <c r="AN2" s="158" t="s">
        <v>604</v>
      </c>
      <c r="AO2" s="158" t="s">
        <v>1907</v>
      </c>
      <c r="AP2" s="158" t="s">
        <v>637</v>
      </c>
      <c r="AQ2" s="158" t="s">
        <v>636</v>
      </c>
      <c r="AR2" s="158" t="s">
        <v>608</v>
      </c>
      <c r="AS2" s="176" t="s">
        <v>635</v>
      </c>
      <c r="AT2" s="179" t="s">
        <v>606</v>
      </c>
      <c r="AU2" s="128" t="s">
        <v>607</v>
      </c>
      <c r="AV2" s="128" t="s">
        <v>601</v>
      </c>
      <c r="AW2" s="128" t="s">
        <v>1907</v>
      </c>
      <c r="AX2" s="128" t="s">
        <v>638</v>
      </c>
      <c r="AY2" s="128" t="s">
        <v>611</v>
      </c>
      <c r="AZ2" s="180" t="s">
        <v>2335</v>
      </c>
      <c r="BA2" s="177" t="s">
        <v>44</v>
      </c>
      <c r="BB2" s="12" t="s">
        <v>45</v>
      </c>
      <c r="BC2" s="12" t="s">
        <v>2534</v>
      </c>
    </row>
    <row r="3" spans="1:55" ht="75" hidden="1" customHeight="1">
      <c r="A3" s="109" t="s">
        <v>660</v>
      </c>
      <c r="B3" s="117" t="s">
        <v>2013</v>
      </c>
      <c r="C3" s="109" t="s">
        <v>971</v>
      </c>
      <c r="D3" s="109" t="s">
        <v>1107</v>
      </c>
      <c r="E3" s="161">
        <v>15000</v>
      </c>
      <c r="F3" s="165" t="s">
        <v>1727</v>
      </c>
      <c r="G3" s="109" t="s">
        <v>1727</v>
      </c>
      <c r="H3" s="109" t="s">
        <v>1933</v>
      </c>
      <c r="I3" s="109" t="s">
        <v>2039</v>
      </c>
      <c r="J3" s="109" t="s">
        <v>1708</v>
      </c>
      <c r="K3" s="109" t="s">
        <v>1708</v>
      </c>
      <c r="L3" s="109" t="s">
        <v>1987</v>
      </c>
      <c r="M3" s="166" t="s">
        <v>1687</v>
      </c>
      <c r="N3" s="108" t="s">
        <v>48</v>
      </c>
      <c r="O3" s="109" t="s">
        <v>48</v>
      </c>
      <c r="P3" s="162" t="s">
        <v>48</v>
      </c>
      <c r="Q3" s="109" t="s">
        <v>48</v>
      </c>
      <c r="R3" s="109" t="s">
        <v>48</v>
      </c>
      <c r="S3" s="109" t="s">
        <v>48</v>
      </c>
      <c r="T3" s="109" t="s">
        <v>48</v>
      </c>
      <c r="U3" s="109" t="s">
        <v>48</v>
      </c>
      <c r="V3" s="166" t="s">
        <v>48</v>
      </c>
      <c r="W3" s="165" t="s">
        <v>1107</v>
      </c>
      <c r="X3" s="109" t="s">
        <v>1107</v>
      </c>
      <c r="Y3" s="109" t="s">
        <v>48</v>
      </c>
      <c r="Z3" s="109" t="s">
        <v>48</v>
      </c>
      <c r="AA3" s="109" t="s">
        <v>48</v>
      </c>
      <c r="AB3" s="109" t="s">
        <v>48</v>
      </c>
      <c r="AC3" s="109" t="s">
        <v>48</v>
      </c>
      <c r="AD3" s="166" t="s">
        <v>48</v>
      </c>
      <c r="AE3" s="174" t="s">
        <v>48</v>
      </c>
      <c r="AF3" s="117" t="s">
        <v>48</v>
      </c>
      <c r="AG3" s="117" t="s">
        <v>48</v>
      </c>
      <c r="AH3" s="109" t="s">
        <v>48</v>
      </c>
      <c r="AI3" s="117" t="s">
        <v>48</v>
      </c>
      <c r="AJ3" s="117" t="s">
        <v>48</v>
      </c>
      <c r="AK3" s="182" t="s">
        <v>48</v>
      </c>
      <c r="AL3" s="165" t="s">
        <v>2417</v>
      </c>
      <c r="AM3" s="109" t="s">
        <v>2417</v>
      </c>
      <c r="AN3" s="109" t="s">
        <v>2418</v>
      </c>
      <c r="AO3" s="109" t="s">
        <v>2419</v>
      </c>
      <c r="AP3" s="109" t="s">
        <v>2413</v>
      </c>
      <c r="AQ3" s="109" t="s">
        <v>2413</v>
      </c>
      <c r="AR3" s="109" t="s">
        <v>2420</v>
      </c>
      <c r="AS3" s="166" t="s">
        <v>2414</v>
      </c>
      <c r="AT3" s="165" t="s">
        <v>676</v>
      </c>
      <c r="AU3" s="109" t="s">
        <v>48</v>
      </c>
      <c r="AV3" s="109" t="s">
        <v>48</v>
      </c>
      <c r="AW3" s="109" t="s">
        <v>48</v>
      </c>
      <c r="AX3" s="109" t="s">
        <v>48</v>
      </c>
      <c r="AY3" s="109" t="s">
        <v>48</v>
      </c>
      <c r="AZ3" s="166" t="s">
        <v>48</v>
      </c>
      <c r="BA3" s="162" t="s">
        <v>1860</v>
      </c>
      <c r="BB3" s="109" t="s">
        <v>82</v>
      </c>
      <c r="BC3" s="109" t="s">
        <v>1109</v>
      </c>
    </row>
    <row r="4" spans="1:55" ht="75" hidden="1" customHeight="1">
      <c r="A4" s="109" t="s">
        <v>660</v>
      </c>
      <c r="B4" s="117" t="s">
        <v>2013</v>
      </c>
      <c r="C4" s="117" t="s">
        <v>971</v>
      </c>
      <c r="D4" s="109" t="s">
        <v>1379</v>
      </c>
      <c r="E4" s="161">
        <v>15000</v>
      </c>
      <c r="F4" s="165" t="s">
        <v>1727</v>
      </c>
      <c r="G4" s="109" t="s">
        <v>1727</v>
      </c>
      <c r="H4" s="109" t="s">
        <v>1933</v>
      </c>
      <c r="I4" s="109" t="s">
        <v>2039</v>
      </c>
      <c r="J4" s="109" t="s">
        <v>1708</v>
      </c>
      <c r="K4" s="109" t="s">
        <v>1708</v>
      </c>
      <c r="L4" s="109" t="s">
        <v>1987</v>
      </c>
      <c r="M4" s="166" t="s">
        <v>1687</v>
      </c>
      <c r="N4" s="108" t="s">
        <v>48</v>
      </c>
      <c r="O4" s="109" t="s">
        <v>48</v>
      </c>
      <c r="P4" s="162" t="s">
        <v>48</v>
      </c>
      <c r="Q4" s="109" t="s">
        <v>48</v>
      </c>
      <c r="R4" s="109" t="s">
        <v>48</v>
      </c>
      <c r="S4" s="109" t="s">
        <v>48</v>
      </c>
      <c r="T4" s="109" t="s">
        <v>48</v>
      </c>
      <c r="U4" s="109" t="s">
        <v>48</v>
      </c>
      <c r="V4" s="166" t="s">
        <v>48</v>
      </c>
      <c r="W4" s="165" t="s">
        <v>1379</v>
      </c>
      <c r="X4" s="109" t="s">
        <v>1379</v>
      </c>
      <c r="Y4" s="109" t="s">
        <v>48</v>
      </c>
      <c r="Z4" s="109" t="s">
        <v>48</v>
      </c>
      <c r="AA4" s="109" t="s">
        <v>48</v>
      </c>
      <c r="AB4" s="109" t="s">
        <v>48</v>
      </c>
      <c r="AC4" s="109" t="s">
        <v>48</v>
      </c>
      <c r="AD4" s="166" t="s">
        <v>48</v>
      </c>
      <c r="AE4" s="174" t="s">
        <v>48</v>
      </c>
      <c r="AF4" s="117" t="s">
        <v>48</v>
      </c>
      <c r="AG4" s="117" t="s">
        <v>48</v>
      </c>
      <c r="AH4" s="109" t="s">
        <v>48</v>
      </c>
      <c r="AI4" s="117" t="s">
        <v>48</v>
      </c>
      <c r="AJ4" s="117" t="s">
        <v>48</v>
      </c>
      <c r="AK4" s="182" t="s">
        <v>48</v>
      </c>
      <c r="AL4" s="165" t="s">
        <v>2417</v>
      </c>
      <c r="AM4" s="109" t="s">
        <v>2417</v>
      </c>
      <c r="AN4" s="109" t="s">
        <v>2418</v>
      </c>
      <c r="AO4" s="109" t="s">
        <v>2419</v>
      </c>
      <c r="AP4" s="109" t="s">
        <v>2413</v>
      </c>
      <c r="AQ4" s="109" t="s">
        <v>2413</v>
      </c>
      <c r="AR4" s="109" t="s">
        <v>2420</v>
      </c>
      <c r="AS4" s="166" t="s">
        <v>2414</v>
      </c>
      <c r="AT4" s="165" t="s">
        <v>676</v>
      </c>
      <c r="AU4" s="109" t="s">
        <v>48</v>
      </c>
      <c r="AV4" s="109" t="s">
        <v>48</v>
      </c>
      <c r="AW4" s="109" t="s">
        <v>48</v>
      </c>
      <c r="AX4" s="109" t="s">
        <v>48</v>
      </c>
      <c r="AY4" s="109" t="s">
        <v>48</v>
      </c>
      <c r="AZ4" s="166" t="s">
        <v>48</v>
      </c>
      <c r="BA4" s="162" t="s">
        <v>1860</v>
      </c>
      <c r="BB4" s="109" t="s">
        <v>82</v>
      </c>
      <c r="BC4" s="109" t="s">
        <v>1109</v>
      </c>
    </row>
    <row r="5" spans="1:55" ht="75" hidden="1" customHeight="1">
      <c r="A5" s="109" t="s">
        <v>660</v>
      </c>
      <c r="B5" s="117" t="s">
        <v>2013</v>
      </c>
      <c r="C5" s="117" t="s">
        <v>971</v>
      </c>
      <c r="D5" s="109" t="s">
        <v>1614</v>
      </c>
      <c r="E5" s="161">
        <v>15000</v>
      </c>
      <c r="F5" s="165" t="s">
        <v>1727</v>
      </c>
      <c r="G5" s="109" t="s">
        <v>1727</v>
      </c>
      <c r="H5" s="109" t="s">
        <v>1933</v>
      </c>
      <c r="I5" s="109" t="s">
        <v>2039</v>
      </c>
      <c r="J5" s="109" t="s">
        <v>1708</v>
      </c>
      <c r="K5" s="109" t="s">
        <v>1708</v>
      </c>
      <c r="L5" s="109" t="s">
        <v>1987</v>
      </c>
      <c r="M5" s="166" t="s">
        <v>1687</v>
      </c>
      <c r="N5" s="108" t="s">
        <v>48</v>
      </c>
      <c r="O5" s="109" t="s">
        <v>48</v>
      </c>
      <c r="P5" s="162" t="s">
        <v>48</v>
      </c>
      <c r="Q5" s="109" t="s">
        <v>48</v>
      </c>
      <c r="R5" s="109" t="s">
        <v>48</v>
      </c>
      <c r="S5" s="109" t="s">
        <v>48</v>
      </c>
      <c r="T5" s="109" t="s">
        <v>48</v>
      </c>
      <c r="U5" s="109" t="s">
        <v>48</v>
      </c>
      <c r="V5" s="166" t="s">
        <v>48</v>
      </c>
      <c r="W5" s="165" t="s">
        <v>1614</v>
      </c>
      <c r="X5" s="109" t="s">
        <v>1614</v>
      </c>
      <c r="Y5" s="109" t="s">
        <v>48</v>
      </c>
      <c r="Z5" s="109" t="s">
        <v>48</v>
      </c>
      <c r="AA5" s="109" t="s">
        <v>48</v>
      </c>
      <c r="AB5" s="109" t="s">
        <v>48</v>
      </c>
      <c r="AC5" s="109" t="s">
        <v>48</v>
      </c>
      <c r="AD5" s="166" t="s">
        <v>48</v>
      </c>
      <c r="AE5" s="174" t="s">
        <v>48</v>
      </c>
      <c r="AF5" s="117" t="s">
        <v>48</v>
      </c>
      <c r="AG5" s="117" t="s">
        <v>48</v>
      </c>
      <c r="AH5" s="109" t="s">
        <v>48</v>
      </c>
      <c r="AI5" s="117" t="s">
        <v>48</v>
      </c>
      <c r="AJ5" s="117" t="s">
        <v>48</v>
      </c>
      <c r="AK5" s="182" t="s">
        <v>48</v>
      </c>
      <c r="AL5" s="165" t="s">
        <v>2417</v>
      </c>
      <c r="AM5" s="109" t="s">
        <v>2417</v>
      </c>
      <c r="AN5" s="109" t="s">
        <v>2418</v>
      </c>
      <c r="AO5" s="109" t="s">
        <v>2419</v>
      </c>
      <c r="AP5" s="109" t="s">
        <v>2413</v>
      </c>
      <c r="AQ5" s="109" t="s">
        <v>2413</v>
      </c>
      <c r="AR5" s="109" t="s">
        <v>2420</v>
      </c>
      <c r="AS5" s="166" t="s">
        <v>2414</v>
      </c>
      <c r="AT5" s="165" t="s">
        <v>676</v>
      </c>
      <c r="AU5" s="109" t="s">
        <v>48</v>
      </c>
      <c r="AV5" s="109" t="s">
        <v>48</v>
      </c>
      <c r="AW5" s="109" t="s">
        <v>48</v>
      </c>
      <c r="AX5" s="109" t="s">
        <v>48</v>
      </c>
      <c r="AY5" s="109" t="s">
        <v>48</v>
      </c>
      <c r="AZ5" s="166" t="s">
        <v>48</v>
      </c>
      <c r="BA5" s="162" t="s">
        <v>1860</v>
      </c>
      <c r="BB5" s="109" t="s">
        <v>82</v>
      </c>
      <c r="BC5" s="109" t="s">
        <v>1109</v>
      </c>
    </row>
    <row r="6" spans="1:55" ht="75" hidden="1" customHeight="1">
      <c r="A6" s="109" t="s">
        <v>660</v>
      </c>
      <c r="B6" s="117" t="s">
        <v>2013</v>
      </c>
      <c r="C6" s="109" t="s">
        <v>971</v>
      </c>
      <c r="D6" s="109" t="s">
        <v>1727</v>
      </c>
      <c r="E6" s="161">
        <v>15000</v>
      </c>
      <c r="F6" s="165" t="s">
        <v>1727</v>
      </c>
      <c r="G6" s="109" t="s">
        <v>1727</v>
      </c>
      <c r="H6" s="109" t="s">
        <v>48</v>
      </c>
      <c r="I6" s="109" t="s">
        <v>48</v>
      </c>
      <c r="J6" s="109" t="s">
        <v>48</v>
      </c>
      <c r="K6" s="109" t="s">
        <v>48</v>
      </c>
      <c r="L6" s="109" t="s">
        <v>48</v>
      </c>
      <c r="M6" s="166" t="s">
        <v>1687</v>
      </c>
      <c r="N6" s="108" t="s">
        <v>48</v>
      </c>
      <c r="O6" s="109" t="s">
        <v>48</v>
      </c>
      <c r="P6" s="162" t="s">
        <v>48</v>
      </c>
      <c r="Q6" s="109" t="s">
        <v>48</v>
      </c>
      <c r="R6" s="109" t="s">
        <v>48</v>
      </c>
      <c r="S6" s="109" t="s">
        <v>48</v>
      </c>
      <c r="T6" s="109" t="s">
        <v>48</v>
      </c>
      <c r="U6" s="109" t="s">
        <v>48</v>
      </c>
      <c r="V6" s="166" t="s">
        <v>48</v>
      </c>
      <c r="W6" s="165" t="s">
        <v>1727</v>
      </c>
      <c r="X6" s="109" t="s">
        <v>1727</v>
      </c>
      <c r="Y6" s="109" t="s">
        <v>48</v>
      </c>
      <c r="Z6" s="109" t="s">
        <v>48</v>
      </c>
      <c r="AA6" s="109" t="s">
        <v>48</v>
      </c>
      <c r="AB6" s="109" t="s">
        <v>48</v>
      </c>
      <c r="AC6" s="109" t="s">
        <v>48</v>
      </c>
      <c r="AD6" s="166" t="s">
        <v>48</v>
      </c>
      <c r="AE6" s="165" t="s">
        <v>48</v>
      </c>
      <c r="AF6" s="109" t="s">
        <v>48</v>
      </c>
      <c r="AG6" s="109" t="s">
        <v>48</v>
      </c>
      <c r="AH6" s="109" t="s">
        <v>48</v>
      </c>
      <c r="AI6" s="109" t="s">
        <v>48</v>
      </c>
      <c r="AJ6" s="109" t="s">
        <v>48</v>
      </c>
      <c r="AK6" s="166" t="s">
        <v>48</v>
      </c>
      <c r="AL6" s="165" t="s">
        <v>2417</v>
      </c>
      <c r="AM6" s="109" t="s">
        <v>2417</v>
      </c>
      <c r="AN6" s="109" t="s">
        <v>2418</v>
      </c>
      <c r="AO6" s="109" t="s">
        <v>2419</v>
      </c>
      <c r="AP6" s="109" t="s">
        <v>2413</v>
      </c>
      <c r="AQ6" s="109" t="s">
        <v>2413</v>
      </c>
      <c r="AR6" s="109" t="s">
        <v>2420</v>
      </c>
      <c r="AS6" s="166" t="s">
        <v>2414</v>
      </c>
      <c r="AT6" s="165" t="s">
        <v>676</v>
      </c>
      <c r="AU6" s="109" t="s">
        <v>48</v>
      </c>
      <c r="AV6" s="109" t="s">
        <v>48</v>
      </c>
      <c r="AW6" s="109" t="s">
        <v>48</v>
      </c>
      <c r="AX6" s="109" t="s">
        <v>48</v>
      </c>
      <c r="AY6" s="109" t="s">
        <v>48</v>
      </c>
      <c r="AZ6" s="166" t="s">
        <v>48</v>
      </c>
      <c r="BA6" s="162" t="s">
        <v>2850</v>
      </c>
      <c r="BB6" s="109" t="s">
        <v>82</v>
      </c>
      <c r="BC6" s="109" t="s">
        <v>1109</v>
      </c>
    </row>
    <row r="7" spans="1:55" ht="75" hidden="1" customHeight="1">
      <c r="A7" s="109" t="s">
        <v>660</v>
      </c>
      <c r="B7" s="117" t="s">
        <v>2013</v>
      </c>
      <c r="C7" s="192" t="s">
        <v>971</v>
      </c>
      <c r="D7" s="109" t="s">
        <v>969</v>
      </c>
      <c r="E7" s="161">
        <v>15000</v>
      </c>
      <c r="F7" s="165" t="s">
        <v>1726</v>
      </c>
      <c r="G7" s="109" t="s">
        <v>1726</v>
      </c>
      <c r="H7" s="109" t="s">
        <v>1934</v>
      </c>
      <c r="I7" s="109" t="s">
        <v>1908</v>
      </c>
      <c r="J7" s="109" t="s">
        <v>1708</v>
      </c>
      <c r="K7" s="109" t="s">
        <v>1708</v>
      </c>
      <c r="L7" s="109" t="s">
        <v>1859</v>
      </c>
      <c r="M7" s="166" t="s">
        <v>1687</v>
      </c>
      <c r="N7" s="108" t="s">
        <v>48</v>
      </c>
      <c r="O7" s="109" t="s">
        <v>48</v>
      </c>
      <c r="P7" s="162" t="s">
        <v>48</v>
      </c>
      <c r="Q7" s="109" t="s">
        <v>48</v>
      </c>
      <c r="R7" s="109" t="s">
        <v>48</v>
      </c>
      <c r="S7" s="109" t="s">
        <v>48</v>
      </c>
      <c r="T7" s="109" t="s">
        <v>48</v>
      </c>
      <c r="U7" s="109" t="s">
        <v>48</v>
      </c>
      <c r="V7" s="166" t="s">
        <v>48</v>
      </c>
      <c r="W7" s="165" t="s">
        <v>969</v>
      </c>
      <c r="X7" s="109" t="s">
        <v>969</v>
      </c>
      <c r="Y7" s="109" t="s">
        <v>48</v>
      </c>
      <c r="Z7" s="109" t="s">
        <v>48</v>
      </c>
      <c r="AA7" s="109" t="s">
        <v>48</v>
      </c>
      <c r="AB7" s="109" t="s">
        <v>48</v>
      </c>
      <c r="AC7" s="109" t="s">
        <v>48</v>
      </c>
      <c r="AD7" s="166" t="s">
        <v>48</v>
      </c>
      <c r="AE7" s="174" t="s">
        <v>48</v>
      </c>
      <c r="AF7" s="117" t="s">
        <v>48</v>
      </c>
      <c r="AG7" s="117" t="s">
        <v>48</v>
      </c>
      <c r="AH7" s="109" t="s">
        <v>48</v>
      </c>
      <c r="AI7" s="117" t="s">
        <v>48</v>
      </c>
      <c r="AJ7" s="117" t="s">
        <v>48</v>
      </c>
      <c r="AK7" s="182" t="s">
        <v>48</v>
      </c>
      <c r="AL7" s="165" t="s">
        <v>2439</v>
      </c>
      <c r="AM7" s="109" t="s">
        <v>2439</v>
      </c>
      <c r="AN7" s="109" t="s">
        <v>2440</v>
      </c>
      <c r="AO7" s="109" t="s">
        <v>2412</v>
      </c>
      <c r="AP7" s="109" t="s">
        <v>2413</v>
      </c>
      <c r="AQ7" s="109" t="s">
        <v>2413</v>
      </c>
      <c r="AR7" s="109" t="s">
        <v>2441</v>
      </c>
      <c r="AS7" s="166" t="s">
        <v>2414</v>
      </c>
      <c r="AT7" s="165" t="s">
        <v>48</v>
      </c>
      <c r="AU7" s="109" t="s">
        <v>48</v>
      </c>
      <c r="AV7" s="109" t="s">
        <v>48</v>
      </c>
      <c r="AW7" s="109" t="s">
        <v>48</v>
      </c>
      <c r="AX7" s="109" t="s">
        <v>48</v>
      </c>
      <c r="AY7" s="109" t="s">
        <v>48</v>
      </c>
      <c r="AZ7" s="166" t="s">
        <v>48</v>
      </c>
      <c r="BA7" s="162" t="s">
        <v>1860</v>
      </c>
      <c r="BB7" s="109" t="s">
        <v>82</v>
      </c>
      <c r="BC7" s="109" t="s">
        <v>972</v>
      </c>
    </row>
    <row r="8" spans="1:55" ht="75" hidden="1" customHeight="1">
      <c r="A8" s="109" t="s">
        <v>660</v>
      </c>
      <c r="B8" s="117" t="s">
        <v>2013</v>
      </c>
      <c r="C8" s="109" t="s">
        <v>971</v>
      </c>
      <c r="D8" s="109" t="s">
        <v>1106</v>
      </c>
      <c r="E8" s="161">
        <v>15000</v>
      </c>
      <c r="F8" s="165" t="s">
        <v>1726</v>
      </c>
      <c r="G8" s="109" t="s">
        <v>1726</v>
      </c>
      <c r="H8" s="109" t="s">
        <v>1934</v>
      </c>
      <c r="I8" s="109" t="s">
        <v>1908</v>
      </c>
      <c r="J8" s="109" t="s">
        <v>1708</v>
      </c>
      <c r="K8" s="109" t="s">
        <v>1708</v>
      </c>
      <c r="L8" s="109" t="s">
        <v>1859</v>
      </c>
      <c r="M8" s="166" t="s">
        <v>1687</v>
      </c>
      <c r="N8" s="108" t="s">
        <v>48</v>
      </c>
      <c r="O8" s="109" t="s">
        <v>48</v>
      </c>
      <c r="P8" s="162" t="s">
        <v>48</v>
      </c>
      <c r="Q8" s="109" t="s">
        <v>48</v>
      </c>
      <c r="R8" s="109" t="s">
        <v>48</v>
      </c>
      <c r="S8" s="109" t="s">
        <v>48</v>
      </c>
      <c r="T8" s="109" t="s">
        <v>48</v>
      </c>
      <c r="U8" s="109" t="s">
        <v>48</v>
      </c>
      <c r="V8" s="166" t="s">
        <v>48</v>
      </c>
      <c r="W8" s="165" t="s">
        <v>1106</v>
      </c>
      <c r="X8" s="109" t="s">
        <v>1106</v>
      </c>
      <c r="Y8" s="109" t="s">
        <v>48</v>
      </c>
      <c r="Z8" s="109" t="s">
        <v>48</v>
      </c>
      <c r="AA8" s="109" t="s">
        <v>48</v>
      </c>
      <c r="AB8" s="109" t="s">
        <v>48</v>
      </c>
      <c r="AC8" s="109" t="s">
        <v>48</v>
      </c>
      <c r="AD8" s="166" t="s">
        <v>48</v>
      </c>
      <c r="AE8" s="174" t="s">
        <v>48</v>
      </c>
      <c r="AF8" s="117" t="s">
        <v>48</v>
      </c>
      <c r="AG8" s="117" t="s">
        <v>48</v>
      </c>
      <c r="AH8" s="109" t="s">
        <v>48</v>
      </c>
      <c r="AI8" s="117" t="s">
        <v>48</v>
      </c>
      <c r="AJ8" s="117" t="s">
        <v>48</v>
      </c>
      <c r="AK8" s="182" t="s">
        <v>48</v>
      </c>
      <c r="AL8" s="165" t="s">
        <v>2439</v>
      </c>
      <c r="AM8" s="109" t="s">
        <v>2439</v>
      </c>
      <c r="AN8" s="109" t="s">
        <v>2440</v>
      </c>
      <c r="AO8" s="109" t="s">
        <v>2412</v>
      </c>
      <c r="AP8" s="109" t="s">
        <v>2413</v>
      </c>
      <c r="AQ8" s="109" t="s">
        <v>2413</v>
      </c>
      <c r="AR8" s="109" t="s">
        <v>2441</v>
      </c>
      <c r="AS8" s="166" t="s">
        <v>2414</v>
      </c>
      <c r="AT8" s="165" t="s">
        <v>48</v>
      </c>
      <c r="AU8" s="109" t="s">
        <v>48</v>
      </c>
      <c r="AV8" s="109" t="s">
        <v>48</v>
      </c>
      <c r="AW8" s="109" t="s">
        <v>48</v>
      </c>
      <c r="AX8" s="109" t="s">
        <v>48</v>
      </c>
      <c r="AY8" s="109" t="s">
        <v>48</v>
      </c>
      <c r="AZ8" s="166" t="s">
        <v>48</v>
      </c>
      <c r="BA8" s="162" t="s">
        <v>1860</v>
      </c>
      <c r="BB8" s="109" t="s">
        <v>82</v>
      </c>
      <c r="BC8" s="109" t="s">
        <v>972</v>
      </c>
    </row>
    <row r="9" spans="1:55" ht="75" hidden="1" customHeight="1">
      <c r="A9" s="109" t="s">
        <v>660</v>
      </c>
      <c r="B9" s="117" t="s">
        <v>2013</v>
      </c>
      <c r="C9" s="117" t="s">
        <v>971</v>
      </c>
      <c r="D9" s="109" t="s">
        <v>1378</v>
      </c>
      <c r="E9" s="161">
        <v>15000</v>
      </c>
      <c r="F9" s="165" t="s">
        <v>1726</v>
      </c>
      <c r="G9" s="109" t="s">
        <v>1726</v>
      </c>
      <c r="H9" s="109" t="s">
        <v>1934</v>
      </c>
      <c r="I9" s="109" t="s">
        <v>1908</v>
      </c>
      <c r="J9" s="109" t="s">
        <v>1708</v>
      </c>
      <c r="K9" s="109" t="s">
        <v>1708</v>
      </c>
      <c r="L9" s="109" t="s">
        <v>1859</v>
      </c>
      <c r="M9" s="166" t="s">
        <v>1687</v>
      </c>
      <c r="N9" s="108" t="s">
        <v>48</v>
      </c>
      <c r="O9" s="109" t="s">
        <v>48</v>
      </c>
      <c r="P9" s="162" t="s">
        <v>48</v>
      </c>
      <c r="Q9" s="109" t="s">
        <v>48</v>
      </c>
      <c r="R9" s="109" t="s">
        <v>48</v>
      </c>
      <c r="S9" s="109" t="s">
        <v>48</v>
      </c>
      <c r="T9" s="109" t="s">
        <v>48</v>
      </c>
      <c r="U9" s="109" t="s">
        <v>48</v>
      </c>
      <c r="V9" s="166" t="s">
        <v>48</v>
      </c>
      <c r="W9" s="165" t="s">
        <v>1378</v>
      </c>
      <c r="X9" s="109" t="s">
        <v>1378</v>
      </c>
      <c r="Y9" s="109" t="s">
        <v>48</v>
      </c>
      <c r="Z9" s="109" t="s">
        <v>48</v>
      </c>
      <c r="AA9" s="109" t="s">
        <v>48</v>
      </c>
      <c r="AB9" s="109" t="s">
        <v>48</v>
      </c>
      <c r="AC9" s="109" t="s">
        <v>48</v>
      </c>
      <c r="AD9" s="166" t="s">
        <v>48</v>
      </c>
      <c r="AE9" s="174" t="s">
        <v>48</v>
      </c>
      <c r="AF9" s="117" t="s">
        <v>48</v>
      </c>
      <c r="AG9" s="117" t="s">
        <v>48</v>
      </c>
      <c r="AH9" s="109" t="s">
        <v>48</v>
      </c>
      <c r="AI9" s="117" t="s">
        <v>48</v>
      </c>
      <c r="AJ9" s="117" t="s">
        <v>48</v>
      </c>
      <c r="AK9" s="182" t="s">
        <v>48</v>
      </c>
      <c r="AL9" s="165" t="s">
        <v>2439</v>
      </c>
      <c r="AM9" s="109" t="s">
        <v>2439</v>
      </c>
      <c r="AN9" s="109" t="s">
        <v>2440</v>
      </c>
      <c r="AO9" s="109" t="s">
        <v>2412</v>
      </c>
      <c r="AP9" s="109" t="s">
        <v>2413</v>
      </c>
      <c r="AQ9" s="109" t="s">
        <v>2413</v>
      </c>
      <c r="AR9" s="109" t="s">
        <v>2441</v>
      </c>
      <c r="AS9" s="166" t="s">
        <v>2414</v>
      </c>
      <c r="AT9" s="165" t="s">
        <v>48</v>
      </c>
      <c r="AU9" s="109" t="s">
        <v>48</v>
      </c>
      <c r="AV9" s="109" t="s">
        <v>48</v>
      </c>
      <c r="AW9" s="109" t="s">
        <v>48</v>
      </c>
      <c r="AX9" s="109" t="s">
        <v>48</v>
      </c>
      <c r="AY9" s="109" t="s">
        <v>48</v>
      </c>
      <c r="AZ9" s="166" t="s">
        <v>48</v>
      </c>
      <c r="BA9" s="162" t="s">
        <v>1860</v>
      </c>
      <c r="BB9" s="109" t="s">
        <v>82</v>
      </c>
      <c r="BC9" s="109" t="s">
        <v>972</v>
      </c>
    </row>
    <row r="10" spans="1:55" ht="75" hidden="1" customHeight="1">
      <c r="A10" s="109" t="s">
        <v>660</v>
      </c>
      <c r="B10" s="117" t="s">
        <v>2013</v>
      </c>
      <c r="C10" s="117" t="s">
        <v>971</v>
      </c>
      <c r="D10" s="109" t="s">
        <v>1613</v>
      </c>
      <c r="E10" s="161">
        <v>15000</v>
      </c>
      <c r="F10" s="165" t="s">
        <v>1726</v>
      </c>
      <c r="G10" s="109" t="s">
        <v>1726</v>
      </c>
      <c r="H10" s="109" t="s">
        <v>1934</v>
      </c>
      <c r="I10" s="109" t="s">
        <v>1908</v>
      </c>
      <c r="J10" s="109" t="s">
        <v>1708</v>
      </c>
      <c r="K10" s="109" t="s">
        <v>1708</v>
      </c>
      <c r="L10" s="109" t="s">
        <v>1859</v>
      </c>
      <c r="M10" s="166" t="s">
        <v>1687</v>
      </c>
      <c r="N10" s="108" t="s">
        <v>48</v>
      </c>
      <c r="O10" s="109" t="s">
        <v>48</v>
      </c>
      <c r="P10" s="162" t="s">
        <v>48</v>
      </c>
      <c r="Q10" s="109" t="s">
        <v>48</v>
      </c>
      <c r="R10" s="109" t="s">
        <v>48</v>
      </c>
      <c r="S10" s="109" t="s">
        <v>48</v>
      </c>
      <c r="T10" s="109" t="s">
        <v>48</v>
      </c>
      <c r="U10" s="109" t="s">
        <v>48</v>
      </c>
      <c r="V10" s="166" t="s">
        <v>48</v>
      </c>
      <c r="W10" s="165" t="s">
        <v>1613</v>
      </c>
      <c r="X10" s="109" t="s">
        <v>1613</v>
      </c>
      <c r="Y10" s="109" t="s">
        <v>48</v>
      </c>
      <c r="Z10" s="109" t="s">
        <v>48</v>
      </c>
      <c r="AA10" s="109" t="s">
        <v>48</v>
      </c>
      <c r="AB10" s="109" t="s">
        <v>48</v>
      </c>
      <c r="AC10" s="109" t="s">
        <v>48</v>
      </c>
      <c r="AD10" s="166" t="s">
        <v>48</v>
      </c>
      <c r="AE10" s="174" t="s">
        <v>48</v>
      </c>
      <c r="AF10" s="117" t="s">
        <v>48</v>
      </c>
      <c r="AG10" s="117" t="s">
        <v>48</v>
      </c>
      <c r="AH10" s="109" t="s">
        <v>48</v>
      </c>
      <c r="AI10" s="117" t="s">
        <v>48</v>
      </c>
      <c r="AJ10" s="117" t="s">
        <v>48</v>
      </c>
      <c r="AK10" s="182" t="s">
        <v>48</v>
      </c>
      <c r="AL10" s="165" t="s">
        <v>2439</v>
      </c>
      <c r="AM10" s="109" t="s">
        <v>2439</v>
      </c>
      <c r="AN10" s="109" t="s">
        <v>2440</v>
      </c>
      <c r="AO10" s="109" t="s">
        <v>2412</v>
      </c>
      <c r="AP10" s="109" t="s">
        <v>2413</v>
      </c>
      <c r="AQ10" s="109" t="s">
        <v>2413</v>
      </c>
      <c r="AR10" s="109" t="s">
        <v>2441</v>
      </c>
      <c r="AS10" s="166" t="s">
        <v>2414</v>
      </c>
      <c r="AT10" s="165" t="s">
        <v>48</v>
      </c>
      <c r="AU10" s="109" t="s">
        <v>48</v>
      </c>
      <c r="AV10" s="109" t="s">
        <v>48</v>
      </c>
      <c r="AW10" s="109" t="s">
        <v>48</v>
      </c>
      <c r="AX10" s="109" t="s">
        <v>48</v>
      </c>
      <c r="AY10" s="109" t="s">
        <v>48</v>
      </c>
      <c r="AZ10" s="166" t="s">
        <v>48</v>
      </c>
      <c r="BA10" s="162" t="s">
        <v>1860</v>
      </c>
      <c r="BB10" s="109" t="s">
        <v>82</v>
      </c>
      <c r="BC10" s="109" t="s">
        <v>972</v>
      </c>
    </row>
    <row r="11" spans="1:55" ht="75" hidden="1" customHeight="1">
      <c r="A11" s="109" t="s">
        <v>660</v>
      </c>
      <c r="B11" s="117" t="s">
        <v>2013</v>
      </c>
      <c r="C11" s="109" t="s">
        <v>971</v>
      </c>
      <c r="D11" s="109" t="s">
        <v>1726</v>
      </c>
      <c r="E11" s="161">
        <v>15000</v>
      </c>
      <c r="F11" s="165" t="s">
        <v>1726</v>
      </c>
      <c r="G11" s="109" t="s">
        <v>1726</v>
      </c>
      <c r="H11" s="109" t="s">
        <v>48</v>
      </c>
      <c r="I11" s="109" t="s">
        <v>48</v>
      </c>
      <c r="J11" s="109" t="s">
        <v>48</v>
      </c>
      <c r="K11" s="109" t="s">
        <v>48</v>
      </c>
      <c r="L11" s="109" t="s">
        <v>48</v>
      </c>
      <c r="M11" s="166" t="s">
        <v>1687</v>
      </c>
      <c r="N11" s="108" t="s">
        <v>48</v>
      </c>
      <c r="O11" s="109" t="s">
        <v>48</v>
      </c>
      <c r="P11" s="162" t="s">
        <v>48</v>
      </c>
      <c r="Q11" s="109" t="s">
        <v>48</v>
      </c>
      <c r="R11" s="109" t="s">
        <v>48</v>
      </c>
      <c r="S11" s="109" t="s">
        <v>48</v>
      </c>
      <c r="T11" s="109" t="s">
        <v>48</v>
      </c>
      <c r="U11" s="109" t="s">
        <v>48</v>
      </c>
      <c r="V11" s="166" t="s">
        <v>48</v>
      </c>
      <c r="W11" s="165" t="s">
        <v>1726</v>
      </c>
      <c r="X11" s="109" t="s">
        <v>1726</v>
      </c>
      <c r="Y11" s="109" t="s">
        <v>48</v>
      </c>
      <c r="Z11" s="109" t="s">
        <v>48</v>
      </c>
      <c r="AA11" s="109" t="s">
        <v>48</v>
      </c>
      <c r="AB11" s="109" t="s">
        <v>48</v>
      </c>
      <c r="AC11" s="109" t="s">
        <v>48</v>
      </c>
      <c r="AD11" s="166" t="s">
        <v>48</v>
      </c>
      <c r="AE11" s="165" t="s">
        <v>48</v>
      </c>
      <c r="AF11" s="109" t="s">
        <v>48</v>
      </c>
      <c r="AG11" s="109" t="s">
        <v>48</v>
      </c>
      <c r="AH11" s="109" t="s">
        <v>48</v>
      </c>
      <c r="AI11" s="109" t="s">
        <v>48</v>
      </c>
      <c r="AJ11" s="109" t="s">
        <v>48</v>
      </c>
      <c r="AK11" s="166" t="s">
        <v>48</v>
      </c>
      <c r="AL11" s="165" t="s">
        <v>2439</v>
      </c>
      <c r="AM11" s="109" t="s">
        <v>2439</v>
      </c>
      <c r="AN11" s="109" t="s">
        <v>2440</v>
      </c>
      <c r="AO11" s="109" t="s">
        <v>2412</v>
      </c>
      <c r="AP11" s="109" t="s">
        <v>2413</v>
      </c>
      <c r="AQ11" s="109" t="s">
        <v>2413</v>
      </c>
      <c r="AR11" s="109" t="s">
        <v>2441</v>
      </c>
      <c r="AS11" s="166" t="s">
        <v>2414</v>
      </c>
      <c r="AT11" s="165" t="s">
        <v>48</v>
      </c>
      <c r="AU11" s="109" t="s">
        <v>48</v>
      </c>
      <c r="AV11" s="109" t="s">
        <v>48</v>
      </c>
      <c r="AW11" s="109" t="s">
        <v>48</v>
      </c>
      <c r="AX11" s="109" t="s">
        <v>48</v>
      </c>
      <c r="AY11" s="109" t="s">
        <v>48</v>
      </c>
      <c r="AZ11" s="166" t="s">
        <v>48</v>
      </c>
      <c r="BA11" s="162" t="s">
        <v>2850</v>
      </c>
      <c r="BB11" s="109" t="s">
        <v>82</v>
      </c>
      <c r="BC11" s="109" t="s">
        <v>972</v>
      </c>
    </row>
    <row r="12" spans="1:55" ht="75" hidden="1" customHeight="1">
      <c r="A12" s="109" t="s">
        <v>660</v>
      </c>
      <c r="B12" s="117" t="s">
        <v>2013</v>
      </c>
      <c r="C12" s="109" t="s">
        <v>1730</v>
      </c>
      <c r="D12" s="109" t="s">
        <v>1728</v>
      </c>
      <c r="E12" s="161">
        <v>15000</v>
      </c>
      <c r="F12" s="165" t="s">
        <v>1728</v>
      </c>
      <c r="G12" s="109" t="s">
        <v>1728</v>
      </c>
      <c r="H12" s="117" t="s">
        <v>48</v>
      </c>
      <c r="I12" s="117" t="s">
        <v>48</v>
      </c>
      <c r="J12" s="117" t="s">
        <v>48</v>
      </c>
      <c r="K12" s="117" t="s">
        <v>48</v>
      </c>
      <c r="L12" s="117" t="s">
        <v>48</v>
      </c>
      <c r="M12" s="166" t="s">
        <v>1687</v>
      </c>
      <c r="N12" s="108" t="s">
        <v>48</v>
      </c>
      <c r="O12" s="109" t="s">
        <v>48</v>
      </c>
      <c r="P12" s="162" t="s">
        <v>48</v>
      </c>
      <c r="Q12" s="109" t="s">
        <v>48</v>
      </c>
      <c r="R12" s="109" t="s">
        <v>48</v>
      </c>
      <c r="S12" s="109" t="s">
        <v>48</v>
      </c>
      <c r="T12" s="109" t="s">
        <v>48</v>
      </c>
      <c r="U12" s="109" t="s">
        <v>48</v>
      </c>
      <c r="V12" s="166" t="s">
        <v>48</v>
      </c>
      <c r="W12" s="165" t="s">
        <v>1728</v>
      </c>
      <c r="X12" s="109" t="s">
        <v>1728</v>
      </c>
      <c r="Y12" s="109" t="s">
        <v>48</v>
      </c>
      <c r="Z12" s="109" t="s">
        <v>48</v>
      </c>
      <c r="AA12" s="109" t="s">
        <v>48</v>
      </c>
      <c r="AB12" s="109" t="s">
        <v>48</v>
      </c>
      <c r="AC12" s="109" t="s">
        <v>48</v>
      </c>
      <c r="AD12" s="166" t="s">
        <v>48</v>
      </c>
      <c r="AE12" s="165" t="s">
        <v>48</v>
      </c>
      <c r="AF12" s="109" t="s">
        <v>48</v>
      </c>
      <c r="AG12" s="109" t="s">
        <v>48</v>
      </c>
      <c r="AH12" s="109" t="s">
        <v>48</v>
      </c>
      <c r="AI12" s="109" t="s">
        <v>48</v>
      </c>
      <c r="AJ12" s="109" t="s">
        <v>48</v>
      </c>
      <c r="AK12" s="166" t="s">
        <v>48</v>
      </c>
      <c r="AL12" s="165" t="s">
        <v>1728</v>
      </c>
      <c r="AM12" s="109" t="s">
        <v>1728</v>
      </c>
      <c r="AN12" s="109" t="s">
        <v>48</v>
      </c>
      <c r="AO12" s="109" t="s">
        <v>48</v>
      </c>
      <c r="AP12" s="109" t="s">
        <v>48</v>
      </c>
      <c r="AQ12" s="109" t="s">
        <v>48</v>
      </c>
      <c r="AR12" s="109" t="s">
        <v>48</v>
      </c>
      <c r="AS12" s="166" t="s">
        <v>48</v>
      </c>
      <c r="AT12" s="165" t="s">
        <v>48</v>
      </c>
      <c r="AU12" s="109" t="s">
        <v>48</v>
      </c>
      <c r="AV12" s="109" t="s">
        <v>48</v>
      </c>
      <c r="AW12" s="109" t="s">
        <v>48</v>
      </c>
      <c r="AX12" s="109" t="s">
        <v>48</v>
      </c>
      <c r="AY12" s="109" t="s">
        <v>48</v>
      </c>
      <c r="AZ12" s="166" t="s">
        <v>48</v>
      </c>
      <c r="BA12" s="162" t="s">
        <v>1860</v>
      </c>
      <c r="BB12" s="109" t="s">
        <v>82</v>
      </c>
      <c r="BC12" s="109" t="s">
        <v>1858</v>
      </c>
    </row>
    <row r="13" spans="1:55" ht="75" hidden="1" customHeight="1">
      <c r="A13" s="109" t="s">
        <v>455</v>
      </c>
      <c r="B13" s="109" t="s">
        <v>455</v>
      </c>
      <c r="C13" s="109" t="s">
        <v>66</v>
      </c>
      <c r="D13" s="109" t="s">
        <v>897</v>
      </c>
      <c r="E13" s="161"/>
      <c r="F13" s="165" t="s">
        <v>67</v>
      </c>
      <c r="G13" s="109" t="str">
        <f>F13</f>
        <v>7.67, 7.72, 7.80,  7.81, 7.82 7.84</v>
      </c>
      <c r="H13" s="109" t="s">
        <v>48</v>
      </c>
      <c r="I13" s="109" t="s">
        <v>48</v>
      </c>
      <c r="J13" s="109" t="s">
        <v>48</v>
      </c>
      <c r="K13" s="109" t="s">
        <v>48</v>
      </c>
      <c r="L13" s="109" t="s">
        <v>48</v>
      </c>
      <c r="M13" s="166" t="s">
        <v>48</v>
      </c>
      <c r="N13" s="108" t="s">
        <v>48</v>
      </c>
      <c r="O13" s="109" t="s">
        <v>48</v>
      </c>
      <c r="P13" s="162" t="s">
        <v>48</v>
      </c>
      <c r="Q13" s="109" t="s">
        <v>48</v>
      </c>
      <c r="R13" s="109" t="s">
        <v>48</v>
      </c>
      <c r="S13" s="109" t="s">
        <v>48</v>
      </c>
      <c r="T13" s="109" t="s">
        <v>48</v>
      </c>
      <c r="U13" s="109" t="s">
        <v>48</v>
      </c>
      <c r="V13" s="166" t="s">
        <v>48</v>
      </c>
      <c r="W13" s="165" t="s">
        <v>67</v>
      </c>
      <c r="X13" s="109" t="str">
        <f>W13</f>
        <v>7.67, 7.72, 7.80,  7.81, 7.82 7.84</v>
      </c>
      <c r="Y13" s="109" t="s">
        <v>48</v>
      </c>
      <c r="Z13" s="109" t="s">
        <v>48</v>
      </c>
      <c r="AA13" s="109" t="s">
        <v>48</v>
      </c>
      <c r="AB13" s="109" t="s">
        <v>48</v>
      </c>
      <c r="AC13" s="109" t="s">
        <v>48</v>
      </c>
      <c r="AD13" s="166" t="s">
        <v>48</v>
      </c>
      <c r="AE13" s="165" t="s">
        <v>68</v>
      </c>
      <c r="AF13" s="109" t="s">
        <v>48</v>
      </c>
      <c r="AG13" s="109" t="s">
        <v>48</v>
      </c>
      <c r="AH13" s="109" t="s">
        <v>48</v>
      </c>
      <c r="AI13" s="109" t="s">
        <v>48</v>
      </c>
      <c r="AJ13" s="109" t="s">
        <v>48</v>
      </c>
      <c r="AK13" s="166" t="s">
        <v>48</v>
      </c>
      <c r="AL13" s="165" t="s">
        <v>67</v>
      </c>
      <c r="AM13" s="109" t="str">
        <f>AL13</f>
        <v>7.67, 7.72, 7.80,  7.81, 7.82 7.84</v>
      </c>
      <c r="AN13" s="109" t="s">
        <v>48</v>
      </c>
      <c r="AO13" s="109" t="s">
        <v>48</v>
      </c>
      <c r="AP13" s="109" t="s">
        <v>48</v>
      </c>
      <c r="AQ13" s="109" t="s">
        <v>48</v>
      </c>
      <c r="AR13" s="109" t="s">
        <v>48</v>
      </c>
      <c r="AS13" s="166" t="s">
        <v>48</v>
      </c>
      <c r="AT13" s="165" t="s">
        <v>48</v>
      </c>
      <c r="AU13" s="109" t="s">
        <v>48</v>
      </c>
      <c r="AV13" s="109" t="s">
        <v>48</v>
      </c>
      <c r="AW13" s="109" t="s">
        <v>48</v>
      </c>
      <c r="AX13" s="109" t="s">
        <v>48</v>
      </c>
      <c r="AY13" s="109" t="s">
        <v>48</v>
      </c>
      <c r="AZ13" s="166" t="s">
        <v>48</v>
      </c>
      <c r="BA13" s="162" t="s">
        <v>271</v>
      </c>
      <c r="BB13" s="109" t="s">
        <v>62</v>
      </c>
      <c r="BC13" s="79"/>
    </row>
    <row r="14" spans="1:55" ht="75" hidden="1" customHeight="1">
      <c r="A14" s="109" t="s">
        <v>8</v>
      </c>
      <c r="B14" s="109" t="s">
        <v>8</v>
      </c>
      <c r="C14" s="109" t="s">
        <v>72</v>
      </c>
      <c r="D14" s="109" t="s">
        <v>73</v>
      </c>
      <c r="E14" s="161">
        <v>30000</v>
      </c>
      <c r="F14" s="165" t="s">
        <v>73</v>
      </c>
      <c r="G14" s="109" t="str">
        <f>F14</f>
        <v>VH3.29I_M4_0339.a</v>
      </c>
      <c r="H14" s="109" t="s">
        <v>48</v>
      </c>
      <c r="I14" s="109" t="s">
        <v>48</v>
      </c>
      <c r="J14" s="109" t="s">
        <v>48</v>
      </c>
      <c r="K14" s="109" t="s">
        <v>48</v>
      </c>
      <c r="L14" s="109" t="s">
        <v>48</v>
      </c>
      <c r="M14" s="166" t="s">
        <v>48</v>
      </c>
      <c r="N14" s="108" t="s">
        <v>48</v>
      </c>
      <c r="O14" s="109" t="s">
        <v>48</v>
      </c>
      <c r="P14" s="162" t="s">
        <v>48</v>
      </c>
      <c r="Q14" s="109" t="s">
        <v>48</v>
      </c>
      <c r="R14" s="109" t="s">
        <v>48</v>
      </c>
      <c r="S14" s="109" t="s">
        <v>48</v>
      </c>
      <c r="T14" s="109" t="s">
        <v>48</v>
      </c>
      <c r="U14" s="109" t="s">
        <v>48</v>
      </c>
      <c r="V14" s="166" t="s">
        <v>48</v>
      </c>
      <c r="W14" s="165" t="s">
        <v>73</v>
      </c>
      <c r="X14" s="109" t="str">
        <f>W14</f>
        <v>VH3.29I_M4_0339.a</v>
      </c>
      <c r="Y14" s="109" t="s">
        <v>48</v>
      </c>
      <c r="Z14" s="109" t="s">
        <v>48</v>
      </c>
      <c r="AA14" s="109" t="s">
        <v>48</v>
      </c>
      <c r="AB14" s="109" t="s">
        <v>48</v>
      </c>
      <c r="AC14" s="109" t="s">
        <v>48</v>
      </c>
      <c r="AD14" s="166" t="s">
        <v>48</v>
      </c>
      <c r="AE14" s="165" t="s">
        <v>48</v>
      </c>
      <c r="AF14" s="109" t="s">
        <v>48</v>
      </c>
      <c r="AG14" s="109" t="s">
        <v>48</v>
      </c>
      <c r="AH14" s="109" t="s">
        <v>48</v>
      </c>
      <c r="AI14" s="109" t="s">
        <v>48</v>
      </c>
      <c r="AJ14" s="109" t="s">
        <v>48</v>
      </c>
      <c r="AK14" s="166" t="s">
        <v>48</v>
      </c>
      <c r="AL14" s="165" t="s">
        <v>73</v>
      </c>
      <c r="AM14" s="109" t="str">
        <f>AL14</f>
        <v>VH3.29I_M4_0339.a</v>
      </c>
      <c r="AN14" s="109" t="s">
        <v>48</v>
      </c>
      <c r="AO14" s="109" t="s">
        <v>48</v>
      </c>
      <c r="AP14" s="109" t="s">
        <v>48</v>
      </c>
      <c r="AQ14" s="109" t="s">
        <v>48</v>
      </c>
      <c r="AR14" s="109" t="s">
        <v>48</v>
      </c>
      <c r="AS14" s="166" t="s">
        <v>48</v>
      </c>
      <c r="AT14" s="165" t="s">
        <v>48</v>
      </c>
      <c r="AU14" s="109" t="s">
        <v>48</v>
      </c>
      <c r="AV14" s="109" t="s">
        <v>48</v>
      </c>
      <c r="AW14" s="109" t="s">
        <v>48</v>
      </c>
      <c r="AX14" s="109" t="s">
        <v>48</v>
      </c>
      <c r="AY14" s="109" t="s">
        <v>48</v>
      </c>
      <c r="AZ14" s="166" t="s">
        <v>48</v>
      </c>
      <c r="BA14" s="162" t="s">
        <v>48</v>
      </c>
      <c r="BB14" s="109" t="s">
        <v>49</v>
      </c>
      <c r="BC14" s="79"/>
    </row>
    <row r="15" spans="1:55" ht="75" hidden="1" customHeight="1">
      <c r="A15" s="109" t="s">
        <v>40</v>
      </c>
      <c r="B15" s="117" t="s">
        <v>2467</v>
      </c>
      <c r="C15" s="109" t="s">
        <v>1395</v>
      </c>
      <c r="D15" s="109" t="s">
        <v>1758</v>
      </c>
      <c r="E15" s="161">
        <v>30000</v>
      </c>
      <c r="F15" s="165" t="s">
        <v>1753</v>
      </c>
      <c r="G15" s="109" t="s">
        <v>1753</v>
      </c>
      <c r="H15" s="109" t="s">
        <v>1972</v>
      </c>
      <c r="I15" s="109" t="s">
        <v>2039</v>
      </c>
      <c r="J15" s="109" t="s">
        <v>1708</v>
      </c>
      <c r="K15" s="109" t="s">
        <v>1708</v>
      </c>
      <c r="L15" s="109" t="s">
        <v>2008</v>
      </c>
      <c r="M15" s="166" t="s">
        <v>1687</v>
      </c>
      <c r="N15" s="108" t="s">
        <v>48</v>
      </c>
      <c r="O15" s="109" t="s">
        <v>48</v>
      </c>
      <c r="P15" s="162" t="s">
        <v>48</v>
      </c>
      <c r="Q15" s="109" t="s">
        <v>48</v>
      </c>
      <c r="R15" s="109" t="s">
        <v>48</v>
      </c>
      <c r="S15" s="109" t="s">
        <v>48</v>
      </c>
      <c r="T15" s="109" t="s">
        <v>48</v>
      </c>
      <c r="U15" s="109" t="s">
        <v>48</v>
      </c>
      <c r="V15" s="166" t="s">
        <v>48</v>
      </c>
      <c r="W15" s="165" t="s">
        <v>1758</v>
      </c>
      <c r="X15" s="109" t="s">
        <v>1758</v>
      </c>
      <c r="Y15" s="109" t="s">
        <v>48</v>
      </c>
      <c r="Z15" s="109" t="s">
        <v>48</v>
      </c>
      <c r="AA15" s="109" t="s">
        <v>48</v>
      </c>
      <c r="AB15" s="109" t="s">
        <v>48</v>
      </c>
      <c r="AC15" s="109" t="s">
        <v>48</v>
      </c>
      <c r="AD15" s="166" t="s">
        <v>48</v>
      </c>
      <c r="AE15" s="174" t="s">
        <v>48</v>
      </c>
      <c r="AF15" s="117" t="s">
        <v>48</v>
      </c>
      <c r="AG15" s="117" t="s">
        <v>48</v>
      </c>
      <c r="AH15" s="109" t="s">
        <v>48</v>
      </c>
      <c r="AI15" s="117" t="s">
        <v>48</v>
      </c>
      <c r="AJ15" s="117" t="s">
        <v>48</v>
      </c>
      <c r="AK15" s="182" t="s">
        <v>48</v>
      </c>
      <c r="AL15" s="165" t="s">
        <v>1758</v>
      </c>
      <c r="AM15" s="109" t="s">
        <v>1758</v>
      </c>
      <c r="AN15" s="109" t="s">
        <v>48</v>
      </c>
      <c r="AO15" s="109" t="s">
        <v>48</v>
      </c>
      <c r="AP15" s="109" t="s">
        <v>48</v>
      </c>
      <c r="AQ15" s="109" t="s">
        <v>48</v>
      </c>
      <c r="AR15" s="109" t="s">
        <v>48</v>
      </c>
      <c r="AS15" s="166" t="s">
        <v>48</v>
      </c>
      <c r="AT15" s="165" t="s">
        <v>48</v>
      </c>
      <c r="AU15" s="109" t="s">
        <v>48</v>
      </c>
      <c r="AV15" s="109" t="s">
        <v>48</v>
      </c>
      <c r="AW15" s="109" t="s">
        <v>48</v>
      </c>
      <c r="AX15" s="109" t="s">
        <v>48</v>
      </c>
      <c r="AY15" s="109" t="s">
        <v>48</v>
      </c>
      <c r="AZ15" s="166" t="s">
        <v>48</v>
      </c>
      <c r="BA15" s="162" t="s">
        <v>1711</v>
      </c>
      <c r="BB15" s="109" t="s">
        <v>49</v>
      </c>
      <c r="BC15" s="109"/>
    </row>
    <row r="16" spans="1:55" ht="75" hidden="1" customHeight="1">
      <c r="A16" s="109" t="s">
        <v>40</v>
      </c>
      <c r="B16" s="117" t="s">
        <v>2020</v>
      </c>
      <c r="C16" s="117" t="s">
        <v>1395</v>
      </c>
      <c r="D16" s="109" t="s">
        <v>1518</v>
      </c>
      <c r="E16" s="161">
        <v>30000</v>
      </c>
      <c r="F16" s="165" t="s">
        <v>1761</v>
      </c>
      <c r="G16" s="109" t="s">
        <v>1761</v>
      </c>
      <c r="H16" s="109" t="s">
        <v>1945</v>
      </c>
      <c r="I16" s="109" t="s">
        <v>1908</v>
      </c>
      <c r="J16" s="109" t="s">
        <v>1708</v>
      </c>
      <c r="K16" s="109" t="s">
        <v>1708</v>
      </c>
      <c r="L16" s="109" t="s">
        <v>1990</v>
      </c>
      <c r="M16" s="166" t="s">
        <v>1687</v>
      </c>
      <c r="N16" s="108" t="s">
        <v>48</v>
      </c>
      <c r="O16" s="109" t="s">
        <v>48</v>
      </c>
      <c r="P16" s="162" t="s">
        <v>48</v>
      </c>
      <c r="Q16" s="109" t="s">
        <v>48</v>
      </c>
      <c r="R16" s="109" t="s">
        <v>48</v>
      </c>
      <c r="S16" s="109" t="s">
        <v>48</v>
      </c>
      <c r="T16" s="109" t="s">
        <v>48</v>
      </c>
      <c r="U16" s="109" t="s">
        <v>48</v>
      </c>
      <c r="V16" s="166" t="s">
        <v>48</v>
      </c>
      <c r="W16" s="165" t="s">
        <v>1518</v>
      </c>
      <c r="X16" s="109" t="s">
        <v>1518</v>
      </c>
      <c r="Y16" s="109" t="s">
        <v>48</v>
      </c>
      <c r="Z16" s="109" t="s">
        <v>48</v>
      </c>
      <c r="AA16" s="109" t="s">
        <v>48</v>
      </c>
      <c r="AB16" s="109" t="s">
        <v>48</v>
      </c>
      <c r="AC16" s="109" t="s">
        <v>48</v>
      </c>
      <c r="AD16" s="166" t="s">
        <v>48</v>
      </c>
      <c r="AE16" s="174" t="s">
        <v>48</v>
      </c>
      <c r="AF16" s="117" t="s">
        <v>48</v>
      </c>
      <c r="AG16" s="109" t="s">
        <v>48</v>
      </c>
      <c r="AH16" s="109" t="s">
        <v>48</v>
      </c>
      <c r="AI16" s="109" t="s">
        <v>48</v>
      </c>
      <c r="AJ16" s="109" t="s">
        <v>48</v>
      </c>
      <c r="AK16" s="166" t="s">
        <v>48</v>
      </c>
      <c r="AL16" s="165" t="s">
        <v>1518</v>
      </c>
      <c r="AM16" s="109" t="s">
        <v>1518</v>
      </c>
      <c r="AN16" s="109" t="s">
        <v>48</v>
      </c>
      <c r="AO16" s="109" t="s">
        <v>48</v>
      </c>
      <c r="AP16" s="109" t="s">
        <v>48</v>
      </c>
      <c r="AQ16" s="109" t="s">
        <v>48</v>
      </c>
      <c r="AR16" s="109" t="s">
        <v>48</v>
      </c>
      <c r="AS16" s="166" t="s">
        <v>48</v>
      </c>
      <c r="AT16" s="165" t="s">
        <v>48</v>
      </c>
      <c r="AU16" s="109" t="s">
        <v>48</v>
      </c>
      <c r="AV16" s="109" t="s">
        <v>48</v>
      </c>
      <c r="AW16" s="109" t="s">
        <v>48</v>
      </c>
      <c r="AX16" s="109" t="s">
        <v>48</v>
      </c>
      <c r="AY16" s="109" t="s">
        <v>48</v>
      </c>
      <c r="AZ16" s="166" t="s">
        <v>48</v>
      </c>
      <c r="BA16" s="162" t="s">
        <v>1769</v>
      </c>
      <c r="BB16" s="109" t="s">
        <v>49</v>
      </c>
      <c r="BC16" s="109"/>
    </row>
    <row r="17" spans="1:55" ht="75" hidden="1" customHeight="1">
      <c r="A17" s="109" t="s">
        <v>2344</v>
      </c>
      <c r="B17" s="117" t="s">
        <v>2021</v>
      </c>
      <c r="C17" s="117" t="s">
        <v>1395</v>
      </c>
      <c r="D17" s="109" t="s">
        <v>1781</v>
      </c>
      <c r="E17" s="161">
        <v>30000</v>
      </c>
      <c r="F17" s="165" t="s">
        <v>1775</v>
      </c>
      <c r="G17" s="109" t="s">
        <v>1775</v>
      </c>
      <c r="H17" s="109" t="s">
        <v>1973</v>
      </c>
      <c r="I17" s="109" t="s">
        <v>2039</v>
      </c>
      <c r="J17" s="109" t="s">
        <v>1708</v>
      </c>
      <c r="K17" s="109" t="s">
        <v>1708</v>
      </c>
      <c r="L17" s="109" t="s">
        <v>2009</v>
      </c>
      <c r="M17" s="166" t="s">
        <v>1687</v>
      </c>
      <c r="N17" s="108" t="s">
        <v>48</v>
      </c>
      <c r="O17" s="109" t="s">
        <v>48</v>
      </c>
      <c r="P17" s="162" t="s">
        <v>48</v>
      </c>
      <c r="Q17" s="109" t="s">
        <v>48</v>
      </c>
      <c r="R17" s="109" t="s">
        <v>48</v>
      </c>
      <c r="S17" s="109" t="s">
        <v>48</v>
      </c>
      <c r="T17" s="109" t="s">
        <v>48</v>
      </c>
      <c r="U17" s="109" t="s">
        <v>48</v>
      </c>
      <c r="V17" s="166" t="s">
        <v>48</v>
      </c>
      <c r="W17" s="165" t="s">
        <v>1781</v>
      </c>
      <c r="X17" s="109" t="s">
        <v>1781</v>
      </c>
      <c r="Y17" s="109" t="s">
        <v>48</v>
      </c>
      <c r="Z17" s="109" t="s">
        <v>48</v>
      </c>
      <c r="AA17" s="109" t="s">
        <v>48</v>
      </c>
      <c r="AB17" s="109" t="s">
        <v>48</v>
      </c>
      <c r="AC17" s="109" t="s">
        <v>48</v>
      </c>
      <c r="AD17" s="166" t="s">
        <v>48</v>
      </c>
      <c r="AE17" s="174" t="s">
        <v>48</v>
      </c>
      <c r="AF17" s="117" t="s">
        <v>48</v>
      </c>
      <c r="AG17" s="117" t="s">
        <v>48</v>
      </c>
      <c r="AH17" s="109" t="s">
        <v>48</v>
      </c>
      <c r="AI17" s="117" t="s">
        <v>48</v>
      </c>
      <c r="AJ17" s="117" t="s">
        <v>48</v>
      </c>
      <c r="AK17" s="182" t="s">
        <v>48</v>
      </c>
      <c r="AL17" s="165" t="s">
        <v>1781</v>
      </c>
      <c r="AM17" s="109" t="s">
        <v>1781</v>
      </c>
      <c r="AN17" s="109" t="s">
        <v>48</v>
      </c>
      <c r="AO17" s="109" t="s">
        <v>48</v>
      </c>
      <c r="AP17" s="109" t="s">
        <v>48</v>
      </c>
      <c r="AQ17" s="109" t="s">
        <v>48</v>
      </c>
      <c r="AR17" s="109" t="s">
        <v>48</v>
      </c>
      <c r="AS17" s="166" t="s">
        <v>48</v>
      </c>
      <c r="AT17" s="165" t="s">
        <v>48</v>
      </c>
      <c r="AU17" s="109" t="s">
        <v>48</v>
      </c>
      <c r="AV17" s="109" t="s">
        <v>48</v>
      </c>
      <c r="AW17" s="109" t="s">
        <v>48</v>
      </c>
      <c r="AX17" s="109" t="s">
        <v>48</v>
      </c>
      <c r="AY17" s="109" t="s">
        <v>48</v>
      </c>
      <c r="AZ17" s="166" t="s">
        <v>48</v>
      </c>
      <c r="BA17" s="162" t="s">
        <v>1769</v>
      </c>
      <c r="BB17" s="109" t="s">
        <v>49</v>
      </c>
      <c r="BC17" s="109"/>
    </row>
    <row r="18" spans="1:55" ht="75" hidden="1" customHeight="1">
      <c r="A18" s="109" t="s">
        <v>2344</v>
      </c>
      <c r="B18" s="117" t="s">
        <v>2021</v>
      </c>
      <c r="C18" s="117" t="s">
        <v>1395</v>
      </c>
      <c r="D18" s="109" t="s">
        <v>1601</v>
      </c>
      <c r="E18" s="161">
        <v>30000</v>
      </c>
      <c r="F18" s="165" t="s">
        <v>1776</v>
      </c>
      <c r="G18" s="109" t="s">
        <v>1776</v>
      </c>
      <c r="H18" s="109" t="s">
        <v>1940</v>
      </c>
      <c r="I18" s="109" t="s">
        <v>1908</v>
      </c>
      <c r="J18" s="109" t="s">
        <v>1708</v>
      </c>
      <c r="K18" s="109" t="s">
        <v>1708</v>
      </c>
      <c r="L18" s="109" t="s">
        <v>1991</v>
      </c>
      <c r="M18" s="166" t="s">
        <v>1687</v>
      </c>
      <c r="N18" s="108" t="s">
        <v>48</v>
      </c>
      <c r="O18" s="109" t="s">
        <v>48</v>
      </c>
      <c r="P18" s="162" t="s">
        <v>48</v>
      </c>
      <c r="Q18" s="109" t="s">
        <v>48</v>
      </c>
      <c r="R18" s="109" t="s">
        <v>48</v>
      </c>
      <c r="S18" s="109" t="s">
        <v>48</v>
      </c>
      <c r="T18" s="109" t="s">
        <v>48</v>
      </c>
      <c r="U18" s="109" t="s">
        <v>48</v>
      </c>
      <c r="V18" s="166" t="s">
        <v>48</v>
      </c>
      <c r="W18" s="165" t="s">
        <v>1601</v>
      </c>
      <c r="X18" s="109" t="s">
        <v>1601</v>
      </c>
      <c r="Y18" s="109" t="s">
        <v>48</v>
      </c>
      <c r="Z18" s="109" t="s">
        <v>48</v>
      </c>
      <c r="AA18" s="109" t="s">
        <v>48</v>
      </c>
      <c r="AB18" s="109" t="s">
        <v>48</v>
      </c>
      <c r="AC18" s="109" t="s">
        <v>48</v>
      </c>
      <c r="AD18" s="166" t="s">
        <v>48</v>
      </c>
      <c r="AE18" s="174" t="s">
        <v>48</v>
      </c>
      <c r="AF18" s="117" t="s">
        <v>48</v>
      </c>
      <c r="AG18" s="117" t="s">
        <v>48</v>
      </c>
      <c r="AH18" s="109" t="s">
        <v>48</v>
      </c>
      <c r="AI18" s="117" t="s">
        <v>48</v>
      </c>
      <c r="AJ18" s="117" t="s">
        <v>48</v>
      </c>
      <c r="AK18" s="182" t="s">
        <v>48</v>
      </c>
      <c r="AL18" s="165" t="s">
        <v>1601</v>
      </c>
      <c r="AM18" s="109" t="s">
        <v>1601</v>
      </c>
      <c r="AN18" s="109" t="s">
        <v>48</v>
      </c>
      <c r="AO18" s="109" t="s">
        <v>48</v>
      </c>
      <c r="AP18" s="109" t="s">
        <v>48</v>
      </c>
      <c r="AQ18" s="109" t="s">
        <v>48</v>
      </c>
      <c r="AR18" s="109" t="s">
        <v>48</v>
      </c>
      <c r="AS18" s="166" t="s">
        <v>48</v>
      </c>
      <c r="AT18" s="165" t="s">
        <v>48</v>
      </c>
      <c r="AU18" s="109" t="s">
        <v>48</v>
      </c>
      <c r="AV18" s="109" t="s">
        <v>48</v>
      </c>
      <c r="AW18" s="109" t="s">
        <v>48</v>
      </c>
      <c r="AX18" s="109" t="s">
        <v>48</v>
      </c>
      <c r="AY18" s="109" t="s">
        <v>48</v>
      </c>
      <c r="AZ18" s="166" t="s">
        <v>48</v>
      </c>
      <c r="BA18" s="162" t="s">
        <v>1769</v>
      </c>
      <c r="BB18" s="109" t="s">
        <v>49</v>
      </c>
      <c r="BC18" s="109"/>
    </row>
    <row r="19" spans="1:55" ht="75" hidden="1" customHeight="1">
      <c r="A19" s="109" t="s">
        <v>40</v>
      </c>
      <c r="B19" s="117" t="s">
        <v>2467</v>
      </c>
      <c r="C19" s="109" t="s">
        <v>1001</v>
      </c>
      <c r="D19" s="109" t="s">
        <v>1757</v>
      </c>
      <c r="E19" s="161">
        <v>30000</v>
      </c>
      <c r="F19" s="165" t="s">
        <v>1753</v>
      </c>
      <c r="G19" s="109" t="s">
        <v>1753</v>
      </c>
      <c r="H19" s="109" t="s">
        <v>1972</v>
      </c>
      <c r="I19" s="109" t="s">
        <v>2039</v>
      </c>
      <c r="J19" s="109" t="s">
        <v>1708</v>
      </c>
      <c r="K19" s="109" t="s">
        <v>1708</v>
      </c>
      <c r="L19" s="109" t="s">
        <v>2008</v>
      </c>
      <c r="M19" s="166" t="s">
        <v>1687</v>
      </c>
      <c r="N19" s="108" t="s">
        <v>48</v>
      </c>
      <c r="O19" s="109" t="s">
        <v>48</v>
      </c>
      <c r="P19" s="162" t="s">
        <v>48</v>
      </c>
      <c r="Q19" s="109" t="s">
        <v>48</v>
      </c>
      <c r="R19" s="109" t="s">
        <v>48</v>
      </c>
      <c r="S19" s="109" t="s">
        <v>48</v>
      </c>
      <c r="T19" s="109" t="s">
        <v>48</v>
      </c>
      <c r="U19" s="109" t="s">
        <v>48</v>
      </c>
      <c r="V19" s="166" t="s">
        <v>48</v>
      </c>
      <c r="W19" s="165" t="s">
        <v>1757</v>
      </c>
      <c r="X19" s="109" t="s">
        <v>1757</v>
      </c>
      <c r="Y19" s="109" t="s">
        <v>48</v>
      </c>
      <c r="Z19" s="109" t="s">
        <v>48</v>
      </c>
      <c r="AA19" s="109" t="s">
        <v>48</v>
      </c>
      <c r="AB19" s="109" t="s">
        <v>48</v>
      </c>
      <c r="AC19" s="109" t="s">
        <v>48</v>
      </c>
      <c r="AD19" s="166" t="s">
        <v>48</v>
      </c>
      <c r="AE19" s="174" t="s">
        <v>48</v>
      </c>
      <c r="AF19" s="117" t="s">
        <v>48</v>
      </c>
      <c r="AG19" s="117" t="s">
        <v>48</v>
      </c>
      <c r="AH19" s="109" t="s">
        <v>48</v>
      </c>
      <c r="AI19" s="117" t="s">
        <v>48</v>
      </c>
      <c r="AJ19" s="117" t="s">
        <v>48</v>
      </c>
      <c r="AK19" s="182" t="s">
        <v>48</v>
      </c>
      <c r="AL19" s="165" t="s">
        <v>1757</v>
      </c>
      <c r="AM19" s="109" t="s">
        <v>1757</v>
      </c>
      <c r="AN19" s="109" t="s">
        <v>48</v>
      </c>
      <c r="AO19" s="109" t="s">
        <v>48</v>
      </c>
      <c r="AP19" s="109" t="s">
        <v>48</v>
      </c>
      <c r="AQ19" s="109" t="s">
        <v>48</v>
      </c>
      <c r="AR19" s="109" t="s">
        <v>48</v>
      </c>
      <c r="AS19" s="166" t="s">
        <v>48</v>
      </c>
      <c r="AT19" s="165" t="s">
        <v>48</v>
      </c>
      <c r="AU19" s="109" t="s">
        <v>48</v>
      </c>
      <c r="AV19" s="109" t="s">
        <v>48</v>
      </c>
      <c r="AW19" s="109" t="s">
        <v>48</v>
      </c>
      <c r="AX19" s="109" t="s">
        <v>48</v>
      </c>
      <c r="AY19" s="109" t="s">
        <v>48</v>
      </c>
      <c r="AZ19" s="166" t="s">
        <v>48</v>
      </c>
      <c r="BA19" s="162" t="s">
        <v>1711</v>
      </c>
      <c r="BB19" s="109" t="s">
        <v>49</v>
      </c>
      <c r="BC19" s="109"/>
    </row>
    <row r="20" spans="1:55" ht="75" hidden="1" customHeight="1">
      <c r="A20" s="109" t="s">
        <v>40</v>
      </c>
      <c r="B20" s="117" t="s">
        <v>2020</v>
      </c>
      <c r="C20" s="109" t="s">
        <v>1001</v>
      </c>
      <c r="D20" s="109" t="s">
        <v>997</v>
      </c>
      <c r="E20" s="161">
        <v>30000</v>
      </c>
      <c r="F20" s="165" t="s">
        <v>1761</v>
      </c>
      <c r="G20" s="109" t="s">
        <v>1761</v>
      </c>
      <c r="H20" s="109" t="s">
        <v>1945</v>
      </c>
      <c r="I20" s="109" t="s">
        <v>1908</v>
      </c>
      <c r="J20" s="109" t="s">
        <v>1708</v>
      </c>
      <c r="K20" s="109" t="s">
        <v>1708</v>
      </c>
      <c r="L20" s="109" t="s">
        <v>1990</v>
      </c>
      <c r="M20" s="166" t="s">
        <v>1687</v>
      </c>
      <c r="N20" s="108" t="s">
        <v>48</v>
      </c>
      <c r="O20" s="109" t="s">
        <v>48</v>
      </c>
      <c r="P20" s="162" t="s">
        <v>48</v>
      </c>
      <c r="Q20" s="109" t="s">
        <v>48</v>
      </c>
      <c r="R20" s="109" t="s">
        <v>48</v>
      </c>
      <c r="S20" s="109" t="s">
        <v>48</v>
      </c>
      <c r="T20" s="109" t="s">
        <v>48</v>
      </c>
      <c r="U20" s="109" t="s">
        <v>48</v>
      </c>
      <c r="V20" s="166" t="s">
        <v>48</v>
      </c>
      <c r="W20" s="165" t="s">
        <v>997</v>
      </c>
      <c r="X20" s="109" t="s">
        <v>997</v>
      </c>
      <c r="Y20" s="109" t="s">
        <v>48</v>
      </c>
      <c r="Z20" s="109" t="s">
        <v>48</v>
      </c>
      <c r="AA20" s="109" t="s">
        <v>48</v>
      </c>
      <c r="AB20" s="109" t="s">
        <v>48</v>
      </c>
      <c r="AC20" s="109" t="s">
        <v>48</v>
      </c>
      <c r="AD20" s="166" t="s">
        <v>48</v>
      </c>
      <c r="AE20" s="174" t="s">
        <v>48</v>
      </c>
      <c r="AF20" s="117" t="s">
        <v>48</v>
      </c>
      <c r="AG20" s="109" t="s">
        <v>48</v>
      </c>
      <c r="AH20" s="109" t="s">
        <v>48</v>
      </c>
      <c r="AI20" s="109" t="s">
        <v>48</v>
      </c>
      <c r="AJ20" s="109" t="s">
        <v>48</v>
      </c>
      <c r="AK20" s="166" t="s">
        <v>48</v>
      </c>
      <c r="AL20" s="165" t="s">
        <v>997</v>
      </c>
      <c r="AM20" s="109" t="s">
        <v>997</v>
      </c>
      <c r="AN20" s="109" t="s">
        <v>48</v>
      </c>
      <c r="AO20" s="109" t="s">
        <v>48</v>
      </c>
      <c r="AP20" s="109" t="s">
        <v>48</v>
      </c>
      <c r="AQ20" s="109" t="s">
        <v>48</v>
      </c>
      <c r="AR20" s="109" t="s">
        <v>48</v>
      </c>
      <c r="AS20" s="166" t="s">
        <v>48</v>
      </c>
      <c r="AT20" s="165" t="s">
        <v>48</v>
      </c>
      <c r="AU20" s="109" t="s">
        <v>48</v>
      </c>
      <c r="AV20" s="109" t="s">
        <v>48</v>
      </c>
      <c r="AW20" s="109" t="s">
        <v>48</v>
      </c>
      <c r="AX20" s="109" t="s">
        <v>48</v>
      </c>
      <c r="AY20" s="109" t="s">
        <v>48</v>
      </c>
      <c r="AZ20" s="166" t="s">
        <v>48</v>
      </c>
      <c r="BA20" s="162" t="s">
        <v>1769</v>
      </c>
      <c r="BB20" s="109" t="s">
        <v>49</v>
      </c>
      <c r="BC20" s="109"/>
    </row>
    <row r="21" spans="1:55" ht="75" hidden="1" customHeight="1">
      <c r="A21" s="109" t="s">
        <v>2344</v>
      </c>
      <c r="B21" s="117" t="s">
        <v>2021</v>
      </c>
      <c r="C21" s="109" t="s">
        <v>1001</v>
      </c>
      <c r="D21" s="109" t="s">
        <v>1780</v>
      </c>
      <c r="E21" s="161">
        <v>30000</v>
      </c>
      <c r="F21" s="165" t="s">
        <v>1775</v>
      </c>
      <c r="G21" s="109" t="s">
        <v>1775</v>
      </c>
      <c r="H21" s="109" t="s">
        <v>1973</v>
      </c>
      <c r="I21" s="109" t="s">
        <v>2039</v>
      </c>
      <c r="J21" s="109" t="s">
        <v>1708</v>
      </c>
      <c r="K21" s="109" t="s">
        <v>1708</v>
      </c>
      <c r="L21" s="109" t="s">
        <v>2009</v>
      </c>
      <c r="M21" s="166" t="s">
        <v>1687</v>
      </c>
      <c r="N21" s="108" t="s">
        <v>48</v>
      </c>
      <c r="O21" s="109" t="s">
        <v>48</v>
      </c>
      <c r="P21" s="162" t="s">
        <v>48</v>
      </c>
      <c r="Q21" s="109" t="s">
        <v>48</v>
      </c>
      <c r="R21" s="109" t="s">
        <v>48</v>
      </c>
      <c r="S21" s="109" t="s">
        <v>48</v>
      </c>
      <c r="T21" s="109" t="s">
        <v>48</v>
      </c>
      <c r="U21" s="109" t="s">
        <v>48</v>
      </c>
      <c r="V21" s="166" t="s">
        <v>48</v>
      </c>
      <c r="W21" s="165" t="s">
        <v>1780</v>
      </c>
      <c r="X21" s="109" t="s">
        <v>1780</v>
      </c>
      <c r="Y21" s="109" t="s">
        <v>48</v>
      </c>
      <c r="Z21" s="109" t="s">
        <v>48</v>
      </c>
      <c r="AA21" s="109" t="s">
        <v>48</v>
      </c>
      <c r="AB21" s="109" t="s">
        <v>48</v>
      </c>
      <c r="AC21" s="109" t="s">
        <v>48</v>
      </c>
      <c r="AD21" s="166" t="s">
        <v>48</v>
      </c>
      <c r="AE21" s="174" t="s">
        <v>48</v>
      </c>
      <c r="AF21" s="117" t="s">
        <v>48</v>
      </c>
      <c r="AG21" s="117" t="s">
        <v>48</v>
      </c>
      <c r="AH21" s="109" t="s">
        <v>48</v>
      </c>
      <c r="AI21" s="117" t="s">
        <v>48</v>
      </c>
      <c r="AJ21" s="117" t="s">
        <v>48</v>
      </c>
      <c r="AK21" s="182" t="s">
        <v>48</v>
      </c>
      <c r="AL21" s="165" t="s">
        <v>1780</v>
      </c>
      <c r="AM21" s="109" t="s">
        <v>1780</v>
      </c>
      <c r="AN21" s="109" t="s">
        <v>48</v>
      </c>
      <c r="AO21" s="109" t="s">
        <v>48</v>
      </c>
      <c r="AP21" s="109" t="s">
        <v>48</v>
      </c>
      <c r="AQ21" s="109" t="s">
        <v>48</v>
      </c>
      <c r="AR21" s="109" t="s">
        <v>48</v>
      </c>
      <c r="AS21" s="166" t="s">
        <v>48</v>
      </c>
      <c r="AT21" s="165" t="s">
        <v>48</v>
      </c>
      <c r="AU21" s="109" t="s">
        <v>48</v>
      </c>
      <c r="AV21" s="109" t="s">
        <v>48</v>
      </c>
      <c r="AW21" s="109" t="s">
        <v>48</v>
      </c>
      <c r="AX21" s="109" t="s">
        <v>48</v>
      </c>
      <c r="AY21" s="109" t="s">
        <v>48</v>
      </c>
      <c r="AZ21" s="166" t="s">
        <v>48</v>
      </c>
      <c r="BA21" s="162" t="s">
        <v>1769</v>
      </c>
      <c r="BB21" s="109" t="s">
        <v>49</v>
      </c>
      <c r="BC21" s="109"/>
    </row>
    <row r="22" spans="1:55" ht="75" hidden="1" customHeight="1">
      <c r="A22" s="109" t="s">
        <v>2344</v>
      </c>
      <c r="B22" s="117" t="s">
        <v>2021</v>
      </c>
      <c r="C22" s="109" t="s">
        <v>1001</v>
      </c>
      <c r="D22" s="109" t="s">
        <v>998</v>
      </c>
      <c r="E22" s="161">
        <v>30000</v>
      </c>
      <c r="F22" s="165" t="s">
        <v>1776</v>
      </c>
      <c r="G22" s="109" t="s">
        <v>1776</v>
      </c>
      <c r="H22" s="109" t="s">
        <v>1940</v>
      </c>
      <c r="I22" s="109" t="s">
        <v>1908</v>
      </c>
      <c r="J22" s="109" t="s">
        <v>1708</v>
      </c>
      <c r="K22" s="109" t="s">
        <v>1708</v>
      </c>
      <c r="L22" s="109" t="s">
        <v>1991</v>
      </c>
      <c r="M22" s="166" t="s">
        <v>1687</v>
      </c>
      <c r="N22" s="108" t="s">
        <v>48</v>
      </c>
      <c r="O22" s="109" t="s">
        <v>48</v>
      </c>
      <c r="P22" s="162" t="s">
        <v>48</v>
      </c>
      <c r="Q22" s="109" t="s">
        <v>48</v>
      </c>
      <c r="R22" s="109" t="s">
        <v>48</v>
      </c>
      <c r="S22" s="109" t="s">
        <v>48</v>
      </c>
      <c r="T22" s="109" t="s">
        <v>48</v>
      </c>
      <c r="U22" s="109" t="s">
        <v>48</v>
      </c>
      <c r="V22" s="166" t="s">
        <v>48</v>
      </c>
      <c r="W22" s="165" t="s">
        <v>998</v>
      </c>
      <c r="X22" s="109" t="s">
        <v>998</v>
      </c>
      <c r="Y22" s="109" t="s">
        <v>48</v>
      </c>
      <c r="Z22" s="109" t="s">
        <v>48</v>
      </c>
      <c r="AA22" s="109" t="s">
        <v>48</v>
      </c>
      <c r="AB22" s="109" t="s">
        <v>48</v>
      </c>
      <c r="AC22" s="109" t="s">
        <v>48</v>
      </c>
      <c r="AD22" s="166" t="s">
        <v>48</v>
      </c>
      <c r="AE22" s="174" t="s">
        <v>48</v>
      </c>
      <c r="AF22" s="117" t="s">
        <v>48</v>
      </c>
      <c r="AG22" s="117" t="s">
        <v>48</v>
      </c>
      <c r="AH22" s="109" t="s">
        <v>48</v>
      </c>
      <c r="AI22" s="117" t="s">
        <v>48</v>
      </c>
      <c r="AJ22" s="117" t="s">
        <v>48</v>
      </c>
      <c r="AK22" s="182" t="s">
        <v>48</v>
      </c>
      <c r="AL22" s="165" t="s">
        <v>998</v>
      </c>
      <c r="AM22" s="109" t="s">
        <v>998</v>
      </c>
      <c r="AN22" s="109" t="s">
        <v>48</v>
      </c>
      <c r="AO22" s="109" t="s">
        <v>48</v>
      </c>
      <c r="AP22" s="109" t="s">
        <v>48</v>
      </c>
      <c r="AQ22" s="109" t="s">
        <v>48</v>
      </c>
      <c r="AR22" s="109" t="s">
        <v>48</v>
      </c>
      <c r="AS22" s="166" t="s">
        <v>48</v>
      </c>
      <c r="AT22" s="165" t="s">
        <v>48</v>
      </c>
      <c r="AU22" s="109" t="s">
        <v>48</v>
      </c>
      <c r="AV22" s="109" t="s">
        <v>48</v>
      </c>
      <c r="AW22" s="109" t="s">
        <v>48</v>
      </c>
      <c r="AX22" s="109" t="s">
        <v>48</v>
      </c>
      <c r="AY22" s="109" t="s">
        <v>48</v>
      </c>
      <c r="AZ22" s="166" t="s">
        <v>48</v>
      </c>
      <c r="BA22" s="162" t="s">
        <v>1769</v>
      </c>
      <c r="BB22" s="109" t="s">
        <v>49</v>
      </c>
      <c r="BC22" s="109"/>
    </row>
    <row r="23" spans="1:55" ht="75" hidden="1" customHeight="1">
      <c r="A23" s="109" t="s">
        <v>31</v>
      </c>
      <c r="B23" s="109" t="s">
        <v>2019</v>
      </c>
      <c r="C23" s="109" t="s">
        <v>1001</v>
      </c>
      <c r="D23" s="109" t="s">
        <v>999</v>
      </c>
      <c r="E23" s="161">
        <v>30000</v>
      </c>
      <c r="F23" s="165" t="s">
        <v>999</v>
      </c>
      <c r="G23" s="109" t="s">
        <v>999</v>
      </c>
      <c r="H23" s="109" t="s">
        <v>48</v>
      </c>
      <c r="I23" s="109" t="s">
        <v>48</v>
      </c>
      <c r="J23" s="109" t="s">
        <v>48</v>
      </c>
      <c r="K23" s="109" t="s">
        <v>48</v>
      </c>
      <c r="L23" s="109" t="s">
        <v>48</v>
      </c>
      <c r="M23" s="166" t="s">
        <v>867</v>
      </c>
      <c r="N23" s="108" t="s">
        <v>48</v>
      </c>
      <c r="O23" s="109" t="s">
        <v>48</v>
      </c>
      <c r="P23" s="162" t="s">
        <v>48</v>
      </c>
      <c r="Q23" s="109" t="s">
        <v>48</v>
      </c>
      <c r="R23" s="109" t="s">
        <v>48</v>
      </c>
      <c r="S23" s="109" t="s">
        <v>48</v>
      </c>
      <c r="T23" s="109" t="s">
        <v>48</v>
      </c>
      <c r="U23" s="109" t="s">
        <v>48</v>
      </c>
      <c r="V23" s="166" t="s">
        <v>48</v>
      </c>
      <c r="W23" s="165" t="s">
        <v>999</v>
      </c>
      <c r="X23" s="109" t="s">
        <v>999</v>
      </c>
      <c r="Y23" s="109" t="s">
        <v>48</v>
      </c>
      <c r="Z23" s="109" t="s">
        <v>48</v>
      </c>
      <c r="AA23" s="109" t="s">
        <v>48</v>
      </c>
      <c r="AB23" s="109" t="s">
        <v>48</v>
      </c>
      <c r="AC23" s="109" t="s">
        <v>48</v>
      </c>
      <c r="AD23" s="166" t="s">
        <v>48</v>
      </c>
      <c r="AE23" s="174" t="s">
        <v>48</v>
      </c>
      <c r="AF23" s="117" t="s">
        <v>48</v>
      </c>
      <c r="AG23" s="117" t="s">
        <v>48</v>
      </c>
      <c r="AH23" s="109" t="s">
        <v>48</v>
      </c>
      <c r="AI23" s="117" t="s">
        <v>48</v>
      </c>
      <c r="AJ23" s="117" t="s">
        <v>48</v>
      </c>
      <c r="AK23" s="182" t="s">
        <v>48</v>
      </c>
      <c r="AL23" s="165" t="s">
        <v>999</v>
      </c>
      <c r="AM23" s="109" t="s">
        <v>999</v>
      </c>
      <c r="AN23" s="109" t="s">
        <v>48</v>
      </c>
      <c r="AO23" s="109" t="s">
        <v>48</v>
      </c>
      <c r="AP23" s="109" t="s">
        <v>48</v>
      </c>
      <c r="AQ23" s="109" t="s">
        <v>48</v>
      </c>
      <c r="AR23" s="109" t="s">
        <v>48</v>
      </c>
      <c r="AS23" s="166" t="s">
        <v>867</v>
      </c>
      <c r="AT23" s="165" t="s">
        <v>48</v>
      </c>
      <c r="AU23" s="109" t="s">
        <v>48</v>
      </c>
      <c r="AV23" s="109" t="s">
        <v>48</v>
      </c>
      <c r="AW23" s="109" t="s">
        <v>48</v>
      </c>
      <c r="AX23" s="109" t="s">
        <v>48</v>
      </c>
      <c r="AY23" s="109" t="s">
        <v>48</v>
      </c>
      <c r="AZ23" s="166" t="s">
        <v>48</v>
      </c>
      <c r="BA23" s="162" t="s">
        <v>48</v>
      </c>
      <c r="BB23" s="109" t="s">
        <v>49</v>
      </c>
      <c r="BC23" s="109" t="s">
        <v>1002</v>
      </c>
    </row>
    <row r="24" spans="1:55" ht="75" hidden="1" customHeight="1">
      <c r="A24" s="109" t="s">
        <v>31</v>
      </c>
      <c r="B24" s="109" t="s">
        <v>2027</v>
      </c>
      <c r="C24" s="109" t="s">
        <v>1001</v>
      </c>
      <c r="D24" s="109" t="s">
        <v>999</v>
      </c>
      <c r="E24" s="161">
        <v>30000</v>
      </c>
      <c r="F24" s="165" t="s">
        <v>999</v>
      </c>
      <c r="G24" s="109" t="s">
        <v>999</v>
      </c>
      <c r="H24" s="109" t="s">
        <v>48</v>
      </c>
      <c r="I24" s="109" t="s">
        <v>48</v>
      </c>
      <c r="J24" s="109" t="s">
        <v>48</v>
      </c>
      <c r="K24" s="109" t="s">
        <v>48</v>
      </c>
      <c r="L24" s="109" t="s">
        <v>48</v>
      </c>
      <c r="M24" s="166" t="s">
        <v>867</v>
      </c>
      <c r="N24" s="108" t="s">
        <v>48</v>
      </c>
      <c r="O24" s="109" t="s">
        <v>48</v>
      </c>
      <c r="P24" s="162" t="s">
        <v>48</v>
      </c>
      <c r="Q24" s="109" t="s">
        <v>48</v>
      </c>
      <c r="R24" s="109" t="s">
        <v>48</v>
      </c>
      <c r="S24" s="109" t="s">
        <v>48</v>
      </c>
      <c r="T24" s="109" t="s">
        <v>48</v>
      </c>
      <c r="U24" s="109" t="s">
        <v>48</v>
      </c>
      <c r="V24" s="166" t="s">
        <v>48</v>
      </c>
      <c r="W24" s="165" t="s">
        <v>999</v>
      </c>
      <c r="X24" s="109" t="s">
        <v>999</v>
      </c>
      <c r="Y24" s="109" t="s">
        <v>48</v>
      </c>
      <c r="Z24" s="109" t="s">
        <v>48</v>
      </c>
      <c r="AA24" s="109" t="s">
        <v>48</v>
      </c>
      <c r="AB24" s="109" t="s">
        <v>48</v>
      </c>
      <c r="AC24" s="109" t="s">
        <v>48</v>
      </c>
      <c r="AD24" s="166" t="s">
        <v>48</v>
      </c>
      <c r="AE24" s="174" t="s">
        <v>48</v>
      </c>
      <c r="AF24" s="117" t="s">
        <v>48</v>
      </c>
      <c r="AG24" s="117" t="s">
        <v>48</v>
      </c>
      <c r="AH24" s="109" t="s">
        <v>48</v>
      </c>
      <c r="AI24" s="117" t="s">
        <v>48</v>
      </c>
      <c r="AJ24" s="117" t="s">
        <v>48</v>
      </c>
      <c r="AK24" s="182" t="s">
        <v>48</v>
      </c>
      <c r="AL24" s="165" t="s">
        <v>999</v>
      </c>
      <c r="AM24" s="109" t="s">
        <v>999</v>
      </c>
      <c r="AN24" s="109" t="s">
        <v>48</v>
      </c>
      <c r="AO24" s="109" t="s">
        <v>48</v>
      </c>
      <c r="AP24" s="109" t="s">
        <v>48</v>
      </c>
      <c r="AQ24" s="109" t="s">
        <v>48</v>
      </c>
      <c r="AR24" s="109" t="s">
        <v>48</v>
      </c>
      <c r="AS24" s="166" t="s">
        <v>867</v>
      </c>
      <c r="AT24" s="165" t="s">
        <v>48</v>
      </c>
      <c r="AU24" s="109" t="s">
        <v>48</v>
      </c>
      <c r="AV24" s="109" t="s">
        <v>48</v>
      </c>
      <c r="AW24" s="109" t="s">
        <v>48</v>
      </c>
      <c r="AX24" s="109" t="s">
        <v>48</v>
      </c>
      <c r="AY24" s="109" t="s">
        <v>48</v>
      </c>
      <c r="AZ24" s="166" t="s">
        <v>48</v>
      </c>
      <c r="BA24" s="162" t="s">
        <v>48</v>
      </c>
      <c r="BB24" s="109" t="s">
        <v>49</v>
      </c>
      <c r="BC24" s="109" t="s">
        <v>1002</v>
      </c>
    </row>
    <row r="25" spans="1:55" ht="75.75" hidden="1" customHeight="1">
      <c r="A25" s="109" t="s">
        <v>40</v>
      </c>
      <c r="B25" s="117" t="s">
        <v>2467</v>
      </c>
      <c r="C25" s="109" t="s">
        <v>943</v>
      </c>
      <c r="D25" s="109" t="s">
        <v>1755</v>
      </c>
      <c r="E25" s="161">
        <v>30000</v>
      </c>
      <c r="F25" s="165" t="s">
        <v>1753</v>
      </c>
      <c r="G25" s="109" t="s">
        <v>1753</v>
      </c>
      <c r="H25" s="109" t="s">
        <v>1972</v>
      </c>
      <c r="I25" s="109" t="s">
        <v>2039</v>
      </c>
      <c r="J25" s="109" t="s">
        <v>1708</v>
      </c>
      <c r="K25" s="109" t="s">
        <v>1708</v>
      </c>
      <c r="L25" s="109" t="s">
        <v>2008</v>
      </c>
      <c r="M25" s="166" t="s">
        <v>1687</v>
      </c>
      <c r="N25" s="108" t="s">
        <v>48</v>
      </c>
      <c r="O25" s="109" t="s">
        <v>48</v>
      </c>
      <c r="P25" s="162" t="s">
        <v>48</v>
      </c>
      <c r="Q25" s="109" t="s">
        <v>48</v>
      </c>
      <c r="R25" s="109" t="s">
        <v>48</v>
      </c>
      <c r="S25" s="109" t="s">
        <v>48</v>
      </c>
      <c r="T25" s="109" t="s">
        <v>48</v>
      </c>
      <c r="U25" s="109" t="s">
        <v>48</v>
      </c>
      <c r="V25" s="166" t="s">
        <v>48</v>
      </c>
      <c r="W25" s="165" t="s">
        <v>1755</v>
      </c>
      <c r="X25" s="109" t="s">
        <v>1755</v>
      </c>
      <c r="Y25" s="109" t="s">
        <v>48</v>
      </c>
      <c r="Z25" s="109" t="s">
        <v>48</v>
      </c>
      <c r="AA25" s="109" t="s">
        <v>48</v>
      </c>
      <c r="AB25" s="109" t="s">
        <v>48</v>
      </c>
      <c r="AC25" s="109" t="s">
        <v>48</v>
      </c>
      <c r="AD25" s="166" t="s">
        <v>48</v>
      </c>
      <c r="AE25" s="174" t="s">
        <v>48</v>
      </c>
      <c r="AF25" s="117" t="s">
        <v>48</v>
      </c>
      <c r="AG25" s="117" t="s">
        <v>48</v>
      </c>
      <c r="AH25" s="109" t="s">
        <v>48</v>
      </c>
      <c r="AI25" s="117" t="s">
        <v>48</v>
      </c>
      <c r="AJ25" s="117" t="s">
        <v>48</v>
      </c>
      <c r="AK25" s="182" t="s">
        <v>48</v>
      </c>
      <c r="AL25" s="165" t="s">
        <v>1755</v>
      </c>
      <c r="AM25" s="109" t="s">
        <v>1755</v>
      </c>
      <c r="AN25" s="109" t="s">
        <v>48</v>
      </c>
      <c r="AO25" s="109" t="s">
        <v>48</v>
      </c>
      <c r="AP25" s="109" t="s">
        <v>48</v>
      </c>
      <c r="AQ25" s="109" t="s">
        <v>48</v>
      </c>
      <c r="AR25" s="109" t="s">
        <v>48</v>
      </c>
      <c r="AS25" s="166" t="s">
        <v>48</v>
      </c>
      <c r="AT25" s="165" t="s">
        <v>48</v>
      </c>
      <c r="AU25" s="109" t="s">
        <v>48</v>
      </c>
      <c r="AV25" s="109" t="s">
        <v>48</v>
      </c>
      <c r="AW25" s="109" t="s">
        <v>48</v>
      </c>
      <c r="AX25" s="109" t="s">
        <v>48</v>
      </c>
      <c r="AY25" s="109" t="s">
        <v>48</v>
      </c>
      <c r="AZ25" s="166" t="s">
        <v>48</v>
      </c>
      <c r="BA25" s="162" t="s">
        <v>1711</v>
      </c>
      <c r="BB25" s="109" t="s">
        <v>49</v>
      </c>
      <c r="BC25" s="109"/>
    </row>
    <row r="26" spans="1:55" ht="75" hidden="1" customHeight="1">
      <c r="A26" s="109" t="s">
        <v>40</v>
      </c>
      <c r="B26" s="117" t="s">
        <v>2020</v>
      </c>
      <c r="C26" s="109" t="s">
        <v>943</v>
      </c>
      <c r="D26" s="109" t="s">
        <v>941</v>
      </c>
      <c r="E26" s="161">
        <v>30000</v>
      </c>
      <c r="F26" s="165" t="s">
        <v>1761</v>
      </c>
      <c r="G26" s="109" t="s">
        <v>1761</v>
      </c>
      <c r="H26" s="109" t="s">
        <v>1945</v>
      </c>
      <c r="I26" s="109" t="s">
        <v>1908</v>
      </c>
      <c r="J26" s="109" t="s">
        <v>1708</v>
      </c>
      <c r="K26" s="109" t="s">
        <v>1708</v>
      </c>
      <c r="L26" s="109" t="s">
        <v>1990</v>
      </c>
      <c r="M26" s="166" t="s">
        <v>1687</v>
      </c>
      <c r="N26" s="108" t="s">
        <v>48</v>
      </c>
      <c r="O26" s="109" t="s">
        <v>48</v>
      </c>
      <c r="P26" s="162" t="s">
        <v>48</v>
      </c>
      <c r="Q26" s="109" t="s">
        <v>48</v>
      </c>
      <c r="R26" s="109" t="s">
        <v>48</v>
      </c>
      <c r="S26" s="109" t="s">
        <v>48</v>
      </c>
      <c r="T26" s="109" t="s">
        <v>48</v>
      </c>
      <c r="U26" s="109" t="s">
        <v>48</v>
      </c>
      <c r="V26" s="166" t="s">
        <v>48</v>
      </c>
      <c r="W26" s="165" t="s">
        <v>941</v>
      </c>
      <c r="X26" s="109" t="s">
        <v>941</v>
      </c>
      <c r="Y26" s="109" t="s">
        <v>48</v>
      </c>
      <c r="Z26" s="109" t="s">
        <v>48</v>
      </c>
      <c r="AA26" s="109" t="s">
        <v>48</v>
      </c>
      <c r="AB26" s="109" t="s">
        <v>48</v>
      </c>
      <c r="AC26" s="109" t="s">
        <v>48</v>
      </c>
      <c r="AD26" s="166" t="s">
        <v>48</v>
      </c>
      <c r="AE26" s="174" t="s">
        <v>48</v>
      </c>
      <c r="AF26" s="117" t="s">
        <v>48</v>
      </c>
      <c r="AG26" s="109" t="s">
        <v>48</v>
      </c>
      <c r="AH26" s="109" t="s">
        <v>48</v>
      </c>
      <c r="AI26" s="109" t="s">
        <v>48</v>
      </c>
      <c r="AJ26" s="109" t="s">
        <v>48</v>
      </c>
      <c r="AK26" s="166" t="s">
        <v>48</v>
      </c>
      <c r="AL26" s="165" t="s">
        <v>941</v>
      </c>
      <c r="AM26" s="109" t="s">
        <v>941</v>
      </c>
      <c r="AN26" s="109" t="s">
        <v>48</v>
      </c>
      <c r="AO26" s="109" t="s">
        <v>48</v>
      </c>
      <c r="AP26" s="109" t="s">
        <v>48</v>
      </c>
      <c r="AQ26" s="109" t="s">
        <v>48</v>
      </c>
      <c r="AR26" s="109" t="s">
        <v>48</v>
      </c>
      <c r="AS26" s="166" t="s">
        <v>48</v>
      </c>
      <c r="AT26" s="165" t="s">
        <v>48</v>
      </c>
      <c r="AU26" s="109" t="s">
        <v>48</v>
      </c>
      <c r="AV26" s="109" t="s">
        <v>48</v>
      </c>
      <c r="AW26" s="109" t="s">
        <v>48</v>
      </c>
      <c r="AX26" s="109" t="s">
        <v>48</v>
      </c>
      <c r="AY26" s="109" t="s">
        <v>48</v>
      </c>
      <c r="AZ26" s="166" t="s">
        <v>48</v>
      </c>
      <c r="BA26" s="162" t="s">
        <v>1769</v>
      </c>
      <c r="BB26" s="109" t="s">
        <v>49</v>
      </c>
      <c r="BC26" s="109"/>
    </row>
    <row r="27" spans="1:55" ht="75" hidden="1" customHeight="1">
      <c r="A27" s="109" t="s">
        <v>2344</v>
      </c>
      <c r="B27" s="117" t="s">
        <v>2021</v>
      </c>
      <c r="C27" s="109" t="s">
        <v>943</v>
      </c>
      <c r="D27" s="109" t="s">
        <v>1779</v>
      </c>
      <c r="E27" s="161">
        <v>30000</v>
      </c>
      <c r="F27" s="165" t="s">
        <v>1775</v>
      </c>
      <c r="G27" s="109" t="s">
        <v>1775</v>
      </c>
      <c r="H27" s="109" t="s">
        <v>1973</v>
      </c>
      <c r="I27" s="109" t="s">
        <v>2039</v>
      </c>
      <c r="J27" s="109" t="s">
        <v>1708</v>
      </c>
      <c r="K27" s="109" t="s">
        <v>1708</v>
      </c>
      <c r="L27" s="109" t="s">
        <v>2009</v>
      </c>
      <c r="M27" s="166" t="s">
        <v>1687</v>
      </c>
      <c r="N27" s="108" t="s">
        <v>48</v>
      </c>
      <c r="O27" s="109" t="s">
        <v>48</v>
      </c>
      <c r="P27" s="162" t="s">
        <v>48</v>
      </c>
      <c r="Q27" s="109" t="s">
        <v>48</v>
      </c>
      <c r="R27" s="109" t="s">
        <v>48</v>
      </c>
      <c r="S27" s="109" t="s">
        <v>48</v>
      </c>
      <c r="T27" s="109" t="s">
        <v>48</v>
      </c>
      <c r="U27" s="109" t="s">
        <v>48</v>
      </c>
      <c r="V27" s="166" t="s">
        <v>48</v>
      </c>
      <c r="W27" s="165" t="s">
        <v>1779</v>
      </c>
      <c r="X27" s="109" t="s">
        <v>1779</v>
      </c>
      <c r="Y27" s="109" t="s">
        <v>48</v>
      </c>
      <c r="Z27" s="109" t="s">
        <v>48</v>
      </c>
      <c r="AA27" s="109" t="s">
        <v>48</v>
      </c>
      <c r="AB27" s="109" t="s">
        <v>48</v>
      </c>
      <c r="AC27" s="109" t="s">
        <v>48</v>
      </c>
      <c r="AD27" s="166" t="s">
        <v>48</v>
      </c>
      <c r="AE27" s="174" t="s">
        <v>48</v>
      </c>
      <c r="AF27" s="117" t="s">
        <v>48</v>
      </c>
      <c r="AG27" s="117" t="s">
        <v>48</v>
      </c>
      <c r="AH27" s="109" t="s">
        <v>48</v>
      </c>
      <c r="AI27" s="117" t="s">
        <v>48</v>
      </c>
      <c r="AJ27" s="117" t="s">
        <v>48</v>
      </c>
      <c r="AK27" s="182" t="s">
        <v>48</v>
      </c>
      <c r="AL27" s="165" t="s">
        <v>1779</v>
      </c>
      <c r="AM27" s="109" t="s">
        <v>1779</v>
      </c>
      <c r="AN27" s="109" t="s">
        <v>48</v>
      </c>
      <c r="AO27" s="109" t="s">
        <v>48</v>
      </c>
      <c r="AP27" s="109" t="s">
        <v>48</v>
      </c>
      <c r="AQ27" s="109" t="s">
        <v>48</v>
      </c>
      <c r="AR27" s="109" t="s">
        <v>48</v>
      </c>
      <c r="AS27" s="166" t="s">
        <v>48</v>
      </c>
      <c r="AT27" s="165" t="s">
        <v>48</v>
      </c>
      <c r="AU27" s="109" t="s">
        <v>48</v>
      </c>
      <c r="AV27" s="109" t="s">
        <v>48</v>
      </c>
      <c r="AW27" s="109" t="s">
        <v>48</v>
      </c>
      <c r="AX27" s="109" t="s">
        <v>48</v>
      </c>
      <c r="AY27" s="109" t="s">
        <v>48</v>
      </c>
      <c r="AZ27" s="166" t="s">
        <v>48</v>
      </c>
      <c r="BA27" s="162" t="s">
        <v>1769</v>
      </c>
      <c r="BB27" s="109" t="s">
        <v>49</v>
      </c>
      <c r="BC27" s="109"/>
    </row>
    <row r="28" spans="1:55" ht="75" hidden="1" customHeight="1">
      <c r="A28" s="109" t="s">
        <v>2344</v>
      </c>
      <c r="B28" s="117" t="s">
        <v>2021</v>
      </c>
      <c r="C28" s="109" t="s">
        <v>943</v>
      </c>
      <c r="D28" s="109" t="s">
        <v>942</v>
      </c>
      <c r="E28" s="161">
        <v>30000</v>
      </c>
      <c r="F28" s="165" t="s">
        <v>1776</v>
      </c>
      <c r="G28" s="109" t="s">
        <v>1776</v>
      </c>
      <c r="H28" s="109" t="s">
        <v>1940</v>
      </c>
      <c r="I28" s="109" t="s">
        <v>1908</v>
      </c>
      <c r="J28" s="109" t="s">
        <v>1708</v>
      </c>
      <c r="K28" s="109" t="s">
        <v>1708</v>
      </c>
      <c r="L28" s="109" t="s">
        <v>1991</v>
      </c>
      <c r="M28" s="166" t="s">
        <v>1687</v>
      </c>
      <c r="N28" s="108" t="s">
        <v>48</v>
      </c>
      <c r="O28" s="109" t="s">
        <v>48</v>
      </c>
      <c r="P28" s="162" t="s">
        <v>48</v>
      </c>
      <c r="Q28" s="109" t="s">
        <v>48</v>
      </c>
      <c r="R28" s="109" t="s">
        <v>48</v>
      </c>
      <c r="S28" s="109" t="s">
        <v>48</v>
      </c>
      <c r="T28" s="109" t="s">
        <v>48</v>
      </c>
      <c r="U28" s="109" t="s">
        <v>48</v>
      </c>
      <c r="V28" s="166" t="s">
        <v>48</v>
      </c>
      <c r="W28" s="165" t="s">
        <v>942</v>
      </c>
      <c r="X28" s="109" t="s">
        <v>942</v>
      </c>
      <c r="Y28" s="109" t="s">
        <v>48</v>
      </c>
      <c r="Z28" s="109" t="s">
        <v>48</v>
      </c>
      <c r="AA28" s="109" t="s">
        <v>48</v>
      </c>
      <c r="AB28" s="109" t="s">
        <v>48</v>
      </c>
      <c r="AC28" s="109" t="s">
        <v>48</v>
      </c>
      <c r="AD28" s="166" t="s">
        <v>48</v>
      </c>
      <c r="AE28" s="174" t="s">
        <v>48</v>
      </c>
      <c r="AF28" s="117" t="s">
        <v>48</v>
      </c>
      <c r="AG28" s="117" t="s">
        <v>48</v>
      </c>
      <c r="AH28" s="109" t="s">
        <v>48</v>
      </c>
      <c r="AI28" s="117" t="s">
        <v>48</v>
      </c>
      <c r="AJ28" s="117" t="s">
        <v>48</v>
      </c>
      <c r="AK28" s="182" t="s">
        <v>48</v>
      </c>
      <c r="AL28" s="165" t="s">
        <v>942</v>
      </c>
      <c r="AM28" s="109" t="s">
        <v>942</v>
      </c>
      <c r="AN28" s="109" t="s">
        <v>48</v>
      </c>
      <c r="AO28" s="109" t="s">
        <v>48</v>
      </c>
      <c r="AP28" s="109" t="s">
        <v>48</v>
      </c>
      <c r="AQ28" s="109" t="s">
        <v>48</v>
      </c>
      <c r="AR28" s="109" t="s">
        <v>48</v>
      </c>
      <c r="AS28" s="166" t="s">
        <v>48</v>
      </c>
      <c r="AT28" s="165" t="s">
        <v>48</v>
      </c>
      <c r="AU28" s="109" t="s">
        <v>48</v>
      </c>
      <c r="AV28" s="109" t="s">
        <v>48</v>
      </c>
      <c r="AW28" s="109" t="s">
        <v>48</v>
      </c>
      <c r="AX28" s="109" t="s">
        <v>48</v>
      </c>
      <c r="AY28" s="109" t="s">
        <v>48</v>
      </c>
      <c r="AZ28" s="166" t="s">
        <v>48</v>
      </c>
      <c r="BA28" s="162" t="s">
        <v>1769</v>
      </c>
      <c r="BB28" s="109" t="s">
        <v>49</v>
      </c>
      <c r="BC28" s="109"/>
    </row>
    <row r="29" spans="1:55" ht="75" hidden="1" customHeight="1">
      <c r="A29" s="109" t="s">
        <v>40</v>
      </c>
      <c r="B29" s="117" t="s">
        <v>2467</v>
      </c>
      <c r="C29" s="109" t="s">
        <v>866</v>
      </c>
      <c r="D29" s="109" t="s">
        <v>1754</v>
      </c>
      <c r="E29" s="161">
        <v>30000</v>
      </c>
      <c r="F29" s="165" t="s">
        <v>1753</v>
      </c>
      <c r="G29" s="109" t="s">
        <v>1753</v>
      </c>
      <c r="H29" s="109" t="s">
        <v>1972</v>
      </c>
      <c r="I29" s="109" t="s">
        <v>2039</v>
      </c>
      <c r="J29" s="109" t="s">
        <v>1708</v>
      </c>
      <c r="K29" s="109" t="s">
        <v>1708</v>
      </c>
      <c r="L29" s="109" t="s">
        <v>2008</v>
      </c>
      <c r="M29" s="166" t="s">
        <v>1687</v>
      </c>
      <c r="N29" s="108" t="s">
        <v>48</v>
      </c>
      <c r="O29" s="109" t="s">
        <v>48</v>
      </c>
      <c r="P29" s="162" t="s">
        <v>48</v>
      </c>
      <c r="Q29" s="109" t="s">
        <v>48</v>
      </c>
      <c r="R29" s="109" t="s">
        <v>48</v>
      </c>
      <c r="S29" s="109" t="s">
        <v>48</v>
      </c>
      <c r="T29" s="109" t="s">
        <v>48</v>
      </c>
      <c r="U29" s="109" t="s">
        <v>48</v>
      </c>
      <c r="V29" s="166" t="s">
        <v>48</v>
      </c>
      <c r="W29" s="165" t="s">
        <v>1754</v>
      </c>
      <c r="X29" s="109" t="s">
        <v>1754</v>
      </c>
      <c r="Y29" s="109" t="s">
        <v>48</v>
      </c>
      <c r="Z29" s="109" t="s">
        <v>48</v>
      </c>
      <c r="AA29" s="109" t="s">
        <v>48</v>
      </c>
      <c r="AB29" s="109" t="s">
        <v>48</v>
      </c>
      <c r="AC29" s="109" t="s">
        <v>48</v>
      </c>
      <c r="AD29" s="166" t="s">
        <v>48</v>
      </c>
      <c r="AE29" s="174" t="s">
        <v>48</v>
      </c>
      <c r="AF29" s="117" t="s">
        <v>48</v>
      </c>
      <c r="AG29" s="117" t="s">
        <v>48</v>
      </c>
      <c r="AH29" s="109" t="s">
        <v>48</v>
      </c>
      <c r="AI29" s="117" t="s">
        <v>48</v>
      </c>
      <c r="AJ29" s="117" t="s">
        <v>48</v>
      </c>
      <c r="AK29" s="182" t="s">
        <v>48</v>
      </c>
      <c r="AL29" s="165" t="s">
        <v>1754</v>
      </c>
      <c r="AM29" s="109" t="s">
        <v>1754</v>
      </c>
      <c r="AN29" s="109" t="s">
        <v>48</v>
      </c>
      <c r="AO29" s="109" t="s">
        <v>48</v>
      </c>
      <c r="AP29" s="109" t="s">
        <v>48</v>
      </c>
      <c r="AQ29" s="109" t="s">
        <v>48</v>
      </c>
      <c r="AR29" s="109" t="s">
        <v>48</v>
      </c>
      <c r="AS29" s="166" t="s">
        <v>48</v>
      </c>
      <c r="AT29" s="165" t="s">
        <v>48</v>
      </c>
      <c r="AU29" s="109" t="s">
        <v>48</v>
      </c>
      <c r="AV29" s="109" t="s">
        <v>48</v>
      </c>
      <c r="AW29" s="109" t="s">
        <v>48</v>
      </c>
      <c r="AX29" s="109" t="s">
        <v>48</v>
      </c>
      <c r="AY29" s="109" t="s">
        <v>48</v>
      </c>
      <c r="AZ29" s="166" t="s">
        <v>48</v>
      </c>
      <c r="BA29" s="162" t="s">
        <v>1711</v>
      </c>
      <c r="BB29" s="109" t="s">
        <v>49</v>
      </c>
      <c r="BC29" s="109"/>
    </row>
    <row r="30" spans="1:55" ht="75" hidden="1" customHeight="1">
      <c r="A30" s="109" t="s">
        <v>40</v>
      </c>
      <c r="B30" s="117" t="s">
        <v>2020</v>
      </c>
      <c r="C30" s="109" t="s">
        <v>866</v>
      </c>
      <c r="D30" s="109" t="s">
        <v>861</v>
      </c>
      <c r="E30" s="161">
        <v>30000</v>
      </c>
      <c r="F30" s="165" t="s">
        <v>1761</v>
      </c>
      <c r="G30" s="109" t="s">
        <v>1761</v>
      </c>
      <c r="H30" s="109" t="s">
        <v>1945</v>
      </c>
      <c r="I30" s="109" t="s">
        <v>1908</v>
      </c>
      <c r="J30" s="109" t="s">
        <v>1708</v>
      </c>
      <c r="K30" s="109" t="s">
        <v>1708</v>
      </c>
      <c r="L30" s="109" t="s">
        <v>1990</v>
      </c>
      <c r="M30" s="166" t="s">
        <v>1687</v>
      </c>
      <c r="N30" s="108" t="s">
        <v>48</v>
      </c>
      <c r="O30" s="109" t="s">
        <v>48</v>
      </c>
      <c r="P30" s="162" t="s">
        <v>48</v>
      </c>
      <c r="Q30" s="109" t="s">
        <v>48</v>
      </c>
      <c r="R30" s="109" t="s">
        <v>48</v>
      </c>
      <c r="S30" s="109" t="s">
        <v>48</v>
      </c>
      <c r="T30" s="109" t="s">
        <v>48</v>
      </c>
      <c r="U30" s="109" t="s">
        <v>48</v>
      </c>
      <c r="V30" s="166" t="s">
        <v>48</v>
      </c>
      <c r="W30" s="165" t="s">
        <v>861</v>
      </c>
      <c r="X30" s="109" t="s">
        <v>861</v>
      </c>
      <c r="Y30" s="109" t="s">
        <v>48</v>
      </c>
      <c r="Z30" s="109" t="s">
        <v>48</v>
      </c>
      <c r="AA30" s="109" t="s">
        <v>48</v>
      </c>
      <c r="AB30" s="109" t="s">
        <v>48</v>
      </c>
      <c r="AC30" s="109" t="s">
        <v>48</v>
      </c>
      <c r="AD30" s="166" t="s">
        <v>48</v>
      </c>
      <c r="AE30" s="174" t="s">
        <v>65</v>
      </c>
      <c r="AF30" s="109" t="s">
        <v>48</v>
      </c>
      <c r="AG30" s="109" t="s">
        <v>48</v>
      </c>
      <c r="AH30" s="109" t="s">
        <v>48</v>
      </c>
      <c r="AI30" s="109" t="s">
        <v>48</v>
      </c>
      <c r="AJ30" s="109" t="s">
        <v>48</v>
      </c>
      <c r="AK30" s="166" t="s">
        <v>48</v>
      </c>
      <c r="AL30" s="165" t="s">
        <v>861</v>
      </c>
      <c r="AM30" s="109" t="s">
        <v>861</v>
      </c>
      <c r="AN30" s="109" t="s">
        <v>48</v>
      </c>
      <c r="AO30" s="109" t="s">
        <v>48</v>
      </c>
      <c r="AP30" s="109" t="s">
        <v>48</v>
      </c>
      <c r="AQ30" s="109" t="s">
        <v>48</v>
      </c>
      <c r="AR30" s="109" t="s">
        <v>48</v>
      </c>
      <c r="AS30" s="166" t="s">
        <v>48</v>
      </c>
      <c r="AT30" s="165" t="s">
        <v>48</v>
      </c>
      <c r="AU30" s="109" t="s">
        <v>48</v>
      </c>
      <c r="AV30" s="109" t="s">
        <v>48</v>
      </c>
      <c r="AW30" s="109" t="s">
        <v>48</v>
      </c>
      <c r="AX30" s="109" t="s">
        <v>48</v>
      </c>
      <c r="AY30" s="109" t="s">
        <v>48</v>
      </c>
      <c r="AZ30" s="166" t="s">
        <v>48</v>
      </c>
      <c r="BA30" s="162" t="s">
        <v>1769</v>
      </c>
      <c r="BB30" s="109" t="s">
        <v>49</v>
      </c>
      <c r="BC30" s="109"/>
    </row>
    <row r="31" spans="1:55" ht="75" hidden="1" customHeight="1">
      <c r="A31" s="109" t="s">
        <v>2344</v>
      </c>
      <c r="B31" s="117" t="s">
        <v>2021</v>
      </c>
      <c r="C31" s="109" t="s">
        <v>866</v>
      </c>
      <c r="D31" s="109" t="s">
        <v>1778</v>
      </c>
      <c r="E31" s="161">
        <v>30000</v>
      </c>
      <c r="F31" s="165" t="s">
        <v>1775</v>
      </c>
      <c r="G31" s="109" t="s">
        <v>1775</v>
      </c>
      <c r="H31" s="109" t="s">
        <v>1973</v>
      </c>
      <c r="I31" s="109" t="s">
        <v>2039</v>
      </c>
      <c r="J31" s="109" t="s">
        <v>1708</v>
      </c>
      <c r="K31" s="109" t="s">
        <v>1708</v>
      </c>
      <c r="L31" s="109" t="s">
        <v>2009</v>
      </c>
      <c r="M31" s="166" t="s">
        <v>1687</v>
      </c>
      <c r="N31" s="108" t="s">
        <v>48</v>
      </c>
      <c r="O31" s="109" t="s">
        <v>48</v>
      </c>
      <c r="P31" s="162" t="s">
        <v>48</v>
      </c>
      <c r="Q31" s="109" t="s">
        <v>48</v>
      </c>
      <c r="R31" s="109" t="s">
        <v>48</v>
      </c>
      <c r="S31" s="109" t="s">
        <v>48</v>
      </c>
      <c r="T31" s="109" t="s">
        <v>48</v>
      </c>
      <c r="U31" s="109" t="s">
        <v>48</v>
      </c>
      <c r="V31" s="166" t="s">
        <v>48</v>
      </c>
      <c r="W31" s="165" t="s">
        <v>1778</v>
      </c>
      <c r="X31" s="109" t="s">
        <v>1778</v>
      </c>
      <c r="Y31" s="109" t="s">
        <v>48</v>
      </c>
      <c r="Z31" s="109" t="s">
        <v>48</v>
      </c>
      <c r="AA31" s="109" t="s">
        <v>48</v>
      </c>
      <c r="AB31" s="109" t="s">
        <v>48</v>
      </c>
      <c r="AC31" s="109" t="s">
        <v>48</v>
      </c>
      <c r="AD31" s="166" t="s">
        <v>48</v>
      </c>
      <c r="AE31" s="174" t="s">
        <v>65</v>
      </c>
      <c r="AF31" s="109" t="s">
        <v>48</v>
      </c>
      <c r="AG31" s="130" t="s">
        <v>48</v>
      </c>
      <c r="AH31" s="109" t="s">
        <v>48</v>
      </c>
      <c r="AI31" s="109" t="s">
        <v>48</v>
      </c>
      <c r="AJ31" s="109" t="s">
        <v>48</v>
      </c>
      <c r="AK31" s="166" t="s">
        <v>48</v>
      </c>
      <c r="AL31" s="165" t="s">
        <v>1778</v>
      </c>
      <c r="AM31" s="109" t="s">
        <v>1778</v>
      </c>
      <c r="AN31" s="109" t="s">
        <v>48</v>
      </c>
      <c r="AO31" s="109" t="s">
        <v>48</v>
      </c>
      <c r="AP31" s="109" t="s">
        <v>48</v>
      </c>
      <c r="AQ31" s="109" t="s">
        <v>48</v>
      </c>
      <c r="AR31" s="109" t="s">
        <v>48</v>
      </c>
      <c r="AS31" s="166" t="s">
        <v>48</v>
      </c>
      <c r="AT31" s="165" t="s">
        <v>48</v>
      </c>
      <c r="AU31" s="109" t="s">
        <v>48</v>
      </c>
      <c r="AV31" s="109" t="s">
        <v>48</v>
      </c>
      <c r="AW31" s="109" t="s">
        <v>48</v>
      </c>
      <c r="AX31" s="109" t="s">
        <v>48</v>
      </c>
      <c r="AY31" s="109" t="s">
        <v>48</v>
      </c>
      <c r="AZ31" s="166" t="s">
        <v>48</v>
      </c>
      <c r="BA31" s="162" t="s">
        <v>1769</v>
      </c>
      <c r="BB31" s="109" t="s">
        <v>49</v>
      </c>
      <c r="BC31" s="109"/>
    </row>
    <row r="32" spans="1:55" ht="75" hidden="1" customHeight="1">
      <c r="A32" s="109" t="s">
        <v>2344</v>
      </c>
      <c r="B32" s="117" t="s">
        <v>2021</v>
      </c>
      <c r="C32" s="109" t="s">
        <v>866</v>
      </c>
      <c r="D32" s="109" t="s">
        <v>864</v>
      </c>
      <c r="E32" s="161">
        <v>30000</v>
      </c>
      <c r="F32" s="165" t="s">
        <v>1776</v>
      </c>
      <c r="G32" s="109" t="s">
        <v>1776</v>
      </c>
      <c r="H32" s="109" t="s">
        <v>1940</v>
      </c>
      <c r="I32" s="109" t="s">
        <v>1908</v>
      </c>
      <c r="J32" s="109" t="s">
        <v>1708</v>
      </c>
      <c r="K32" s="109" t="s">
        <v>1708</v>
      </c>
      <c r="L32" s="109" t="s">
        <v>1991</v>
      </c>
      <c r="M32" s="166" t="s">
        <v>1687</v>
      </c>
      <c r="N32" s="108" t="s">
        <v>48</v>
      </c>
      <c r="O32" s="109" t="s">
        <v>48</v>
      </c>
      <c r="P32" s="162" t="s">
        <v>48</v>
      </c>
      <c r="Q32" s="109" t="s">
        <v>48</v>
      </c>
      <c r="R32" s="109" t="s">
        <v>48</v>
      </c>
      <c r="S32" s="109" t="s">
        <v>48</v>
      </c>
      <c r="T32" s="109" t="s">
        <v>48</v>
      </c>
      <c r="U32" s="109" t="s">
        <v>48</v>
      </c>
      <c r="V32" s="166" t="s">
        <v>48</v>
      </c>
      <c r="W32" s="165" t="s">
        <v>864</v>
      </c>
      <c r="X32" s="109" t="s">
        <v>864</v>
      </c>
      <c r="Y32" s="109" t="s">
        <v>48</v>
      </c>
      <c r="Z32" s="109" t="s">
        <v>48</v>
      </c>
      <c r="AA32" s="109" t="s">
        <v>48</v>
      </c>
      <c r="AB32" s="109" t="s">
        <v>48</v>
      </c>
      <c r="AC32" s="109" t="s">
        <v>48</v>
      </c>
      <c r="AD32" s="166" t="s">
        <v>48</v>
      </c>
      <c r="AE32" s="174" t="s">
        <v>65</v>
      </c>
      <c r="AF32" s="109" t="s">
        <v>48</v>
      </c>
      <c r="AG32" s="130" t="s">
        <v>48</v>
      </c>
      <c r="AH32" s="109" t="s">
        <v>48</v>
      </c>
      <c r="AI32" s="109" t="s">
        <v>48</v>
      </c>
      <c r="AJ32" s="109" t="s">
        <v>48</v>
      </c>
      <c r="AK32" s="166" t="s">
        <v>48</v>
      </c>
      <c r="AL32" s="165" t="s">
        <v>864</v>
      </c>
      <c r="AM32" s="109" t="s">
        <v>864</v>
      </c>
      <c r="AN32" s="109" t="s">
        <v>48</v>
      </c>
      <c r="AO32" s="109" t="s">
        <v>48</v>
      </c>
      <c r="AP32" s="109" t="s">
        <v>48</v>
      </c>
      <c r="AQ32" s="109" t="s">
        <v>48</v>
      </c>
      <c r="AR32" s="109" t="s">
        <v>48</v>
      </c>
      <c r="AS32" s="166" t="s">
        <v>48</v>
      </c>
      <c r="AT32" s="165" t="s">
        <v>48</v>
      </c>
      <c r="AU32" s="109" t="s">
        <v>48</v>
      </c>
      <c r="AV32" s="109" t="s">
        <v>48</v>
      </c>
      <c r="AW32" s="109" t="s">
        <v>48</v>
      </c>
      <c r="AX32" s="109" t="s">
        <v>48</v>
      </c>
      <c r="AY32" s="109" t="s">
        <v>48</v>
      </c>
      <c r="AZ32" s="166" t="s">
        <v>48</v>
      </c>
      <c r="BA32" s="162" t="s">
        <v>1769</v>
      </c>
      <c r="BB32" s="109" t="s">
        <v>49</v>
      </c>
      <c r="BC32" s="109"/>
    </row>
    <row r="33" spans="1:55" ht="75" hidden="1" customHeight="1">
      <c r="A33" s="109" t="s">
        <v>31</v>
      </c>
      <c r="B33" s="109" t="s">
        <v>2019</v>
      </c>
      <c r="C33" s="109" t="s">
        <v>866</v>
      </c>
      <c r="D33" s="109" t="s">
        <v>863</v>
      </c>
      <c r="E33" s="161">
        <v>30000</v>
      </c>
      <c r="F33" s="165" t="s">
        <v>937</v>
      </c>
      <c r="G33" s="109" t="s">
        <v>937</v>
      </c>
      <c r="H33" s="109" t="s">
        <v>959</v>
      </c>
      <c r="I33" s="109" t="s">
        <v>1908</v>
      </c>
      <c r="J33" s="109" t="s">
        <v>958</v>
      </c>
      <c r="K33" s="109" t="s">
        <v>958</v>
      </c>
      <c r="L33" s="109" t="s">
        <v>960</v>
      </c>
      <c r="M33" s="166" t="s">
        <v>867</v>
      </c>
      <c r="N33" s="108" t="s">
        <v>48</v>
      </c>
      <c r="O33" s="109" t="s">
        <v>48</v>
      </c>
      <c r="P33" s="162" t="s">
        <v>48</v>
      </c>
      <c r="Q33" s="109" t="s">
        <v>48</v>
      </c>
      <c r="R33" s="109" t="s">
        <v>48</v>
      </c>
      <c r="S33" s="109" t="s">
        <v>48</v>
      </c>
      <c r="T33" s="109" t="s">
        <v>48</v>
      </c>
      <c r="U33" s="109" t="s">
        <v>48</v>
      </c>
      <c r="V33" s="166" t="s">
        <v>48</v>
      </c>
      <c r="W33" s="165" t="s">
        <v>863</v>
      </c>
      <c r="X33" s="109" t="s">
        <v>863</v>
      </c>
      <c r="Y33" s="109" t="s">
        <v>48</v>
      </c>
      <c r="Z33" s="109" t="s">
        <v>48</v>
      </c>
      <c r="AA33" s="109" t="s">
        <v>48</v>
      </c>
      <c r="AB33" s="109" t="s">
        <v>48</v>
      </c>
      <c r="AC33" s="109" t="s">
        <v>48</v>
      </c>
      <c r="AD33" s="166" t="s">
        <v>48</v>
      </c>
      <c r="AE33" s="174" t="s">
        <v>65</v>
      </c>
      <c r="AF33" s="109" t="s">
        <v>48</v>
      </c>
      <c r="AG33" s="130" t="s">
        <v>48</v>
      </c>
      <c r="AH33" s="109" t="s">
        <v>48</v>
      </c>
      <c r="AI33" s="109" t="s">
        <v>48</v>
      </c>
      <c r="AJ33" s="109" t="s">
        <v>48</v>
      </c>
      <c r="AK33" s="166" t="s">
        <v>48</v>
      </c>
      <c r="AL33" s="165" t="s">
        <v>863</v>
      </c>
      <c r="AM33" s="109" t="s">
        <v>863</v>
      </c>
      <c r="AN33" s="109" t="s">
        <v>48</v>
      </c>
      <c r="AO33" s="109" t="s">
        <v>48</v>
      </c>
      <c r="AP33" s="109" t="s">
        <v>48</v>
      </c>
      <c r="AQ33" s="109" t="s">
        <v>48</v>
      </c>
      <c r="AR33" s="109" t="s">
        <v>48</v>
      </c>
      <c r="AS33" s="166" t="s">
        <v>48</v>
      </c>
      <c r="AT33" s="165" t="s">
        <v>48</v>
      </c>
      <c r="AU33" s="109" t="s">
        <v>48</v>
      </c>
      <c r="AV33" s="109" t="s">
        <v>48</v>
      </c>
      <c r="AW33" s="109" t="s">
        <v>48</v>
      </c>
      <c r="AX33" s="109" t="s">
        <v>48</v>
      </c>
      <c r="AY33" s="109" t="s">
        <v>48</v>
      </c>
      <c r="AZ33" s="166" t="s">
        <v>48</v>
      </c>
      <c r="BA33" s="162" t="s">
        <v>976</v>
      </c>
      <c r="BB33" s="109" t="s">
        <v>49</v>
      </c>
      <c r="BC33" s="109" t="s">
        <v>868</v>
      </c>
    </row>
    <row r="34" spans="1:55" ht="75" hidden="1" customHeight="1">
      <c r="A34" s="109" t="s">
        <v>31</v>
      </c>
      <c r="B34" s="109" t="s">
        <v>2027</v>
      </c>
      <c r="C34" s="109" t="s">
        <v>866</v>
      </c>
      <c r="D34" s="109" t="s">
        <v>863</v>
      </c>
      <c r="E34" s="161">
        <v>30000</v>
      </c>
      <c r="F34" s="165" t="s">
        <v>937</v>
      </c>
      <c r="G34" s="109" t="s">
        <v>937</v>
      </c>
      <c r="H34" s="109" t="s">
        <v>959</v>
      </c>
      <c r="I34" s="109" t="s">
        <v>1908</v>
      </c>
      <c r="J34" s="109" t="s">
        <v>958</v>
      </c>
      <c r="K34" s="109" t="s">
        <v>958</v>
      </c>
      <c r="L34" s="109" t="s">
        <v>960</v>
      </c>
      <c r="M34" s="166" t="s">
        <v>867</v>
      </c>
      <c r="N34" s="108" t="s">
        <v>48</v>
      </c>
      <c r="O34" s="109" t="s">
        <v>48</v>
      </c>
      <c r="P34" s="162" t="s">
        <v>48</v>
      </c>
      <c r="Q34" s="109" t="s">
        <v>48</v>
      </c>
      <c r="R34" s="109" t="s">
        <v>48</v>
      </c>
      <c r="S34" s="109" t="s">
        <v>48</v>
      </c>
      <c r="T34" s="109" t="s">
        <v>48</v>
      </c>
      <c r="U34" s="109" t="s">
        <v>48</v>
      </c>
      <c r="V34" s="166" t="s">
        <v>48</v>
      </c>
      <c r="W34" s="165" t="s">
        <v>863</v>
      </c>
      <c r="X34" s="109" t="s">
        <v>863</v>
      </c>
      <c r="Y34" s="109" t="s">
        <v>48</v>
      </c>
      <c r="Z34" s="109" t="s">
        <v>48</v>
      </c>
      <c r="AA34" s="109" t="s">
        <v>48</v>
      </c>
      <c r="AB34" s="109" t="s">
        <v>48</v>
      </c>
      <c r="AC34" s="109" t="s">
        <v>48</v>
      </c>
      <c r="AD34" s="166" t="s">
        <v>48</v>
      </c>
      <c r="AE34" s="174" t="s">
        <v>65</v>
      </c>
      <c r="AF34" s="109" t="s">
        <v>48</v>
      </c>
      <c r="AG34" s="130" t="s">
        <v>48</v>
      </c>
      <c r="AH34" s="109" t="s">
        <v>48</v>
      </c>
      <c r="AI34" s="109" t="s">
        <v>48</v>
      </c>
      <c r="AJ34" s="109" t="s">
        <v>48</v>
      </c>
      <c r="AK34" s="166" t="s">
        <v>48</v>
      </c>
      <c r="AL34" s="165" t="s">
        <v>863</v>
      </c>
      <c r="AM34" s="109" t="s">
        <v>863</v>
      </c>
      <c r="AN34" s="109" t="s">
        <v>48</v>
      </c>
      <c r="AO34" s="109" t="s">
        <v>48</v>
      </c>
      <c r="AP34" s="109" t="s">
        <v>48</v>
      </c>
      <c r="AQ34" s="109" t="s">
        <v>48</v>
      </c>
      <c r="AR34" s="109" t="s">
        <v>48</v>
      </c>
      <c r="AS34" s="166" t="s">
        <v>48</v>
      </c>
      <c r="AT34" s="165" t="s">
        <v>48</v>
      </c>
      <c r="AU34" s="109" t="s">
        <v>48</v>
      </c>
      <c r="AV34" s="109" t="s">
        <v>48</v>
      </c>
      <c r="AW34" s="109" t="s">
        <v>48</v>
      </c>
      <c r="AX34" s="109" t="s">
        <v>48</v>
      </c>
      <c r="AY34" s="109" t="s">
        <v>48</v>
      </c>
      <c r="AZ34" s="166" t="s">
        <v>48</v>
      </c>
      <c r="BA34" s="162" t="s">
        <v>976</v>
      </c>
      <c r="BB34" s="109" t="s">
        <v>49</v>
      </c>
      <c r="BC34" s="109" t="s">
        <v>868</v>
      </c>
    </row>
    <row r="35" spans="1:55" ht="75" hidden="1" customHeight="1">
      <c r="A35" s="109" t="s">
        <v>40</v>
      </c>
      <c r="B35" s="117" t="s">
        <v>2020</v>
      </c>
      <c r="C35" s="109" t="s">
        <v>739</v>
      </c>
      <c r="D35" s="109" t="s">
        <v>740</v>
      </c>
      <c r="E35" s="161">
        <v>30000</v>
      </c>
      <c r="F35" s="165" t="s">
        <v>740</v>
      </c>
      <c r="G35" s="109" t="s">
        <v>740</v>
      </c>
      <c r="H35" s="109" t="s">
        <v>48</v>
      </c>
      <c r="I35" s="109" t="s">
        <v>48</v>
      </c>
      <c r="J35" s="109" t="s">
        <v>48</v>
      </c>
      <c r="K35" s="109" t="s">
        <v>48</v>
      </c>
      <c r="L35" s="109" t="s">
        <v>48</v>
      </c>
      <c r="M35" s="166" t="s">
        <v>48</v>
      </c>
      <c r="N35" s="108" t="s">
        <v>48</v>
      </c>
      <c r="O35" s="109" t="s">
        <v>48</v>
      </c>
      <c r="P35" s="162" t="s">
        <v>48</v>
      </c>
      <c r="Q35" s="109" t="s">
        <v>48</v>
      </c>
      <c r="R35" s="109" t="s">
        <v>48</v>
      </c>
      <c r="S35" s="109" t="s">
        <v>48</v>
      </c>
      <c r="T35" s="109" t="s">
        <v>48</v>
      </c>
      <c r="U35" s="109" t="s">
        <v>48</v>
      </c>
      <c r="V35" s="166" t="s">
        <v>48</v>
      </c>
      <c r="W35" s="165" t="s">
        <v>1518</v>
      </c>
      <c r="X35" s="109" t="s">
        <v>740</v>
      </c>
      <c r="Y35" s="109" t="s">
        <v>1936</v>
      </c>
      <c r="Z35" s="109" t="s">
        <v>1908</v>
      </c>
      <c r="AA35" s="109" t="s">
        <v>1500</v>
      </c>
      <c r="AB35" s="109" t="s">
        <v>48</v>
      </c>
      <c r="AC35" s="109" t="s">
        <v>1938</v>
      </c>
      <c r="AD35" s="166" t="s">
        <v>1501</v>
      </c>
      <c r="AE35" s="165" t="s">
        <v>80</v>
      </c>
      <c r="AF35" s="109" t="s">
        <v>884</v>
      </c>
      <c r="AG35" s="109" t="s">
        <v>886</v>
      </c>
      <c r="AH35" s="109" t="s">
        <v>1908</v>
      </c>
      <c r="AI35" s="109" t="s">
        <v>901</v>
      </c>
      <c r="AJ35" s="109" t="s">
        <v>492</v>
      </c>
      <c r="AK35" s="166" t="s">
        <v>743</v>
      </c>
      <c r="AL35" s="165" t="s">
        <v>740</v>
      </c>
      <c r="AM35" s="109" t="s">
        <v>740</v>
      </c>
      <c r="AN35" s="109" t="s">
        <v>48</v>
      </c>
      <c r="AO35" s="109" t="s">
        <v>48</v>
      </c>
      <c r="AP35" s="109" t="s">
        <v>48</v>
      </c>
      <c r="AQ35" s="109" t="s">
        <v>48</v>
      </c>
      <c r="AR35" s="109" t="s">
        <v>48</v>
      </c>
      <c r="AS35" s="166" t="s">
        <v>48</v>
      </c>
      <c r="AT35" s="165" t="s">
        <v>48</v>
      </c>
      <c r="AU35" s="109" t="s">
        <v>48</v>
      </c>
      <c r="AV35" s="109" t="s">
        <v>48</v>
      </c>
      <c r="AW35" s="109" t="s">
        <v>48</v>
      </c>
      <c r="AX35" s="109" t="s">
        <v>48</v>
      </c>
      <c r="AY35" s="109" t="s">
        <v>48</v>
      </c>
      <c r="AZ35" s="166" t="s">
        <v>48</v>
      </c>
      <c r="BA35" s="162" t="s">
        <v>2851</v>
      </c>
      <c r="BB35" s="109" t="s">
        <v>49</v>
      </c>
      <c r="BC35" s="109" t="s">
        <v>888</v>
      </c>
    </row>
    <row r="36" spans="1:55" ht="75" hidden="1" customHeight="1">
      <c r="A36" s="109" t="s">
        <v>40</v>
      </c>
      <c r="B36" s="117" t="s">
        <v>2020</v>
      </c>
      <c r="C36" s="109" t="s">
        <v>739</v>
      </c>
      <c r="D36" s="109" t="s">
        <v>740</v>
      </c>
      <c r="E36" s="161">
        <v>30000</v>
      </c>
      <c r="F36" s="165" t="s">
        <v>740</v>
      </c>
      <c r="G36" s="109" t="s">
        <v>740</v>
      </c>
      <c r="H36" s="109" t="s">
        <v>48</v>
      </c>
      <c r="I36" s="109" t="s">
        <v>48</v>
      </c>
      <c r="J36" s="109" t="s">
        <v>48</v>
      </c>
      <c r="K36" s="109" t="s">
        <v>48</v>
      </c>
      <c r="L36" s="109" t="s">
        <v>48</v>
      </c>
      <c r="M36" s="166" t="s">
        <v>48</v>
      </c>
      <c r="N36" s="108" t="s">
        <v>48</v>
      </c>
      <c r="O36" s="109" t="s">
        <v>48</v>
      </c>
      <c r="P36" s="162" t="s">
        <v>48</v>
      </c>
      <c r="Q36" s="109" t="s">
        <v>48</v>
      </c>
      <c r="R36" s="109" t="s">
        <v>48</v>
      </c>
      <c r="S36" s="109" t="s">
        <v>48</v>
      </c>
      <c r="T36" s="109" t="s">
        <v>48</v>
      </c>
      <c r="U36" s="109" t="s">
        <v>48</v>
      </c>
      <c r="V36" s="166" t="s">
        <v>48</v>
      </c>
      <c r="W36" s="165" t="s">
        <v>1518</v>
      </c>
      <c r="X36" s="109" t="s">
        <v>740</v>
      </c>
      <c r="Y36" s="109" t="s">
        <v>1937</v>
      </c>
      <c r="Z36" s="117" t="s">
        <v>2039</v>
      </c>
      <c r="AA36" s="109" t="s">
        <v>1500</v>
      </c>
      <c r="AB36" s="109" t="s">
        <v>48</v>
      </c>
      <c r="AC36" s="109" t="s">
        <v>1939</v>
      </c>
      <c r="AD36" s="166" t="s">
        <v>1501</v>
      </c>
      <c r="AE36" s="165" t="s">
        <v>80</v>
      </c>
      <c r="AF36" s="109" t="s">
        <v>884</v>
      </c>
      <c r="AG36" s="109" t="s">
        <v>886</v>
      </c>
      <c r="AH36" s="109" t="s">
        <v>1908</v>
      </c>
      <c r="AI36" s="109" t="s">
        <v>901</v>
      </c>
      <c r="AJ36" s="109" t="s">
        <v>492</v>
      </c>
      <c r="AK36" s="166" t="s">
        <v>743</v>
      </c>
      <c r="AL36" s="165" t="s">
        <v>740</v>
      </c>
      <c r="AM36" s="109" t="s">
        <v>740</v>
      </c>
      <c r="AN36" s="109" t="s">
        <v>48</v>
      </c>
      <c r="AO36" s="109" t="s">
        <v>48</v>
      </c>
      <c r="AP36" s="109" t="s">
        <v>48</v>
      </c>
      <c r="AQ36" s="109" t="s">
        <v>48</v>
      </c>
      <c r="AR36" s="109" t="s">
        <v>48</v>
      </c>
      <c r="AS36" s="166" t="s">
        <v>48</v>
      </c>
      <c r="AT36" s="165" t="s">
        <v>48</v>
      </c>
      <c r="AU36" s="109" t="s">
        <v>48</v>
      </c>
      <c r="AV36" s="109" t="s">
        <v>48</v>
      </c>
      <c r="AW36" s="109" t="s">
        <v>48</v>
      </c>
      <c r="AX36" s="109" t="s">
        <v>48</v>
      </c>
      <c r="AY36" s="109" t="s">
        <v>48</v>
      </c>
      <c r="AZ36" s="166" t="s">
        <v>48</v>
      </c>
      <c r="BA36" s="162" t="s">
        <v>2851</v>
      </c>
      <c r="BB36" s="109" t="s">
        <v>49</v>
      </c>
      <c r="BC36" s="109" t="s">
        <v>888</v>
      </c>
    </row>
    <row r="37" spans="1:55" ht="75" hidden="1" customHeight="1">
      <c r="A37" s="109" t="s">
        <v>31</v>
      </c>
      <c r="B37" s="109" t="s">
        <v>2019</v>
      </c>
      <c r="C37" s="109" t="s">
        <v>739</v>
      </c>
      <c r="D37" s="109" t="s">
        <v>742</v>
      </c>
      <c r="E37" s="161">
        <v>30000</v>
      </c>
      <c r="F37" s="165" t="s">
        <v>742</v>
      </c>
      <c r="G37" s="109" t="s">
        <v>742</v>
      </c>
      <c r="H37" s="109" t="s">
        <v>48</v>
      </c>
      <c r="I37" s="109" t="s">
        <v>48</v>
      </c>
      <c r="J37" s="109" t="s">
        <v>48</v>
      </c>
      <c r="K37" s="109" t="s">
        <v>48</v>
      </c>
      <c r="L37" s="109" t="s">
        <v>48</v>
      </c>
      <c r="M37" s="166" t="s">
        <v>48</v>
      </c>
      <c r="N37" s="108" t="s">
        <v>48</v>
      </c>
      <c r="O37" s="109" t="s">
        <v>48</v>
      </c>
      <c r="P37" s="162" t="s">
        <v>48</v>
      </c>
      <c r="Q37" s="109" t="s">
        <v>48</v>
      </c>
      <c r="R37" s="109" t="s">
        <v>48</v>
      </c>
      <c r="S37" s="109" t="s">
        <v>48</v>
      </c>
      <c r="T37" s="109" t="s">
        <v>48</v>
      </c>
      <c r="U37" s="109" t="s">
        <v>48</v>
      </c>
      <c r="V37" s="166" t="s">
        <v>48</v>
      </c>
      <c r="W37" s="165" t="s">
        <v>742</v>
      </c>
      <c r="X37" s="109" t="s">
        <v>742</v>
      </c>
      <c r="Y37" s="109" t="s">
        <v>48</v>
      </c>
      <c r="Z37" s="109" t="s">
        <v>48</v>
      </c>
      <c r="AA37" s="109" t="s">
        <v>48</v>
      </c>
      <c r="AB37" s="109" t="s">
        <v>48</v>
      </c>
      <c r="AC37" s="109" t="s">
        <v>48</v>
      </c>
      <c r="AD37" s="166" t="s">
        <v>48</v>
      </c>
      <c r="AE37" s="165" t="s">
        <v>76</v>
      </c>
      <c r="AF37" s="109" t="s">
        <v>885</v>
      </c>
      <c r="AG37" s="109" t="s">
        <v>887</v>
      </c>
      <c r="AH37" s="109" t="s">
        <v>1908</v>
      </c>
      <c r="AI37" s="109" t="s">
        <v>901</v>
      </c>
      <c r="AJ37" s="109" t="s">
        <v>492</v>
      </c>
      <c r="AK37" s="166" t="s">
        <v>743</v>
      </c>
      <c r="AL37" s="165" t="s">
        <v>742</v>
      </c>
      <c r="AM37" s="109" t="s">
        <v>742</v>
      </c>
      <c r="AN37" s="109" t="s">
        <v>48</v>
      </c>
      <c r="AO37" s="109" t="s">
        <v>48</v>
      </c>
      <c r="AP37" s="109" t="s">
        <v>48</v>
      </c>
      <c r="AQ37" s="109" t="s">
        <v>48</v>
      </c>
      <c r="AR37" s="109" t="s">
        <v>48</v>
      </c>
      <c r="AS37" s="166" t="s">
        <v>48</v>
      </c>
      <c r="AT37" s="165" t="s">
        <v>48</v>
      </c>
      <c r="AU37" s="109" t="s">
        <v>48</v>
      </c>
      <c r="AV37" s="109" t="s">
        <v>48</v>
      </c>
      <c r="AW37" s="109" t="s">
        <v>48</v>
      </c>
      <c r="AX37" s="109" t="s">
        <v>48</v>
      </c>
      <c r="AY37" s="109" t="s">
        <v>48</v>
      </c>
      <c r="AZ37" s="166" t="s">
        <v>48</v>
      </c>
      <c r="BA37" s="162" t="s">
        <v>48</v>
      </c>
      <c r="BB37" s="109" t="s">
        <v>49</v>
      </c>
      <c r="BC37" s="109" t="s">
        <v>888</v>
      </c>
    </row>
    <row r="38" spans="1:55" ht="75" hidden="1" customHeight="1">
      <c r="A38" s="109" t="s">
        <v>31</v>
      </c>
      <c r="B38" s="109" t="s">
        <v>2027</v>
      </c>
      <c r="C38" s="109" t="s">
        <v>739</v>
      </c>
      <c r="D38" s="109" t="s">
        <v>742</v>
      </c>
      <c r="E38" s="161">
        <v>30000</v>
      </c>
      <c r="F38" s="165" t="s">
        <v>742</v>
      </c>
      <c r="G38" s="109" t="s">
        <v>742</v>
      </c>
      <c r="H38" s="109" t="s">
        <v>48</v>
      </c>
      <c r="I38" s="109" t="s">
        <v>48</v>
      </c>
      <c r="J38" s="109" t="s">
        <v>48</v>
      </c>
      <c r="K38" s="109" t="s">
        <v>48</v>
      </c>
      <c r="L38" s="109" t="s">
        <v>48</v>
      </c>
      <c r="M38" s="166" t="s">
        <v>48</v>
      </c>
      <c r="N38" s="108" t="s">
        <v>48</v>
      </c>
      <c r="O38" s="109" t="s">
        <v>48</v>
      </c>
      <c r="P38" s="162" t="s">
        <v>48</v>
      </c>
      <c r="Q38" s="109" t="s">
        <v>48</v>
      </c>
      <c r="R38" s="109" t="s">
        <v>48</v>
      </c>
      <c r="S38" s="109" t="s">
        <v>48</v>
      </c>
      <c r="T38" s="109" t="s">
        <v>48</v>
      </c>
      <c r="U38" s="109" t="s">
        <v>48</v>
      </c>
      <c r="V38" s="166" t="s">
        <v>48</v>
      </c>
      <c r="W38" s="165" t="s">
        <v>742</v>
      </c>
      <c r="X38" s="109" t="s">
        <v>742</v>
      </c>
      <c r="Y38" s="109" t="s">
        <v>48</v>
      </c>
      <c r="Z38" s="109" t="s">
        <v>48</v>
      </c>
      <c r="AA38" s="109" t="s">
        <v>48</v>
      </c>
      <c r="AB38" s="109" t="s">
        <v>48</v>
      </c>
      <c r="AC38" s="109" t="s">
        <v>48</v>
      </c>
      <c r="AD38" s="166" t="s">
        <v>48</v>
      </c>
      <c r="AE38" s="165" t="s">
        <v>76</v>
      </c>
      <c r="AF38" s="109" t="s">
        <v>885</v>
      </c>
      <c r="AG38" s="109" t="s">
        <v>887</v>
      </c>
      <c r="AH38" s="109" t="s">
        <v>1908</v>
      </c>
      <c r="AI38" s="109" t="s">
        <v>901</v>
      </c>
      <c r="AJ38" s="109" t="s">
        <v>492</v>
      </c>
      <c r="AK38" s="166" t="s">
        <v>743</v>
      </c>
      <c r="AL38" s="165" t="s">
        <v>742</v>
      </c>
      <c r="AM38" s="109" t="s">
        <v>742</v>
      </c>
      <c r="AN38" s="109" t="s">
        <v>48</v>
      </c>
      <c r="AO38" s="109" t="s">
        <v>48</v>
      </c>
      <c r="AP38" s="109" t="s">
        <v>48</v>
      </c>
      <c r="AQ38" s="109" t="s">
        <v>48</v>
      </c>
      <c r="AR38" s="109" t="s">
        <v>48</v>
      </c>
      <c r="AS38" s="166" t="s">
        <v>48</v>
      </c>
      <c r="AT38" s="165" t="s">
        <v>48</v>
      </c>
      <c r="AU38" s="109" t="s">
        <v>48</v>
      </c>
      <c r="AV38" s="109" t="s">
        <v>48</v>
      </c>
      <c r="AW38" s="109" t="s">
        <v>48</v>
      </c>
      <c r="AX38" s="109" t="s">
        <v>48</v>
      </c>
      <c r="AY38" s="109" t="s">
        <v>48</v>
      </c>
      <c r="AZ38" s="166" t="s">
        <v>48</v>
      </c>
      <c r="BA38" s="162" t="s">
        <v>48</v>
      </c>
      <c r="BB38" s="109" t="s">
        <v>49</v>
      </c>
      <c r="BC38" s="109" t="s">
        <v>888</v>
      </c>
    </row>
    <row r="39" spans="1:55" ht="75" hidden="1" customHeight="1">
      <c r="A39" s="109" t="s">
        <v>458</v>
      </c>
      <c r="B39" s="117" t="s">
        <v>458</v>
      </c>
      <c r="C39" s="117" t="s">
        <v>61</v>
      </c>
      <c r="D39" s="109" t="s">
        <v>61</v>
      </c>
      <c r="E39" s="161"/>
      <c r="F39" s="165" t="s">
        <v>592</v>
      </c>
      <c r="G39" s="109" t="str">
        <f>F39</f>
        <v>V/R 5.71</v>
      </c>
      <c r="H39" s="109" t="s">
        <v>48</v>
      </c>
      <c r="I39" s="109" t="s">
        <v>48</v>
      </c>
      <c r="J39" s="109" t="s">
        <v>48</v>
      </c>
      <c r="K39" s="109" t="s">
        <v>48</v>
      </c>
      <c r="L39" s="109" t="s">
        <v>48</v>
      </c>
      <c r="M39" s="166" t="s">
        <v>48</v>
      </c>
      <c r="N39" s="108" t="s">
        <v>48</v>
      </c>
      <c r="O39" s="109" t="s">
        <v>48</v>
      </c>
      <c r="P39" s="162" t="s">
        <v>48</v>
      </c>
      <c r="Q39" s="109" t="s">
        <v>48</v>
      </c>
      <c r="R39" s="109" t="s">
        <v>48</v>
      </c>
      <c r="S39" s="109" t="s">
        <v>48</v>
      </c>
      <c r="T39" s="109" t="s">
        <v>48</v>
      </c>
      <c r="U39" s="109" t="s">
        <v>48</v>
      </c>
      <c r="V39" s="166" t="s">
        <v>48</v>
      </c>
      <c r="W39" s="165" t="s">
        <v>592</v>
      </c>
      <c r="X39" s="109" t="str">
        <f>W39</f>
        <v>V/R 5.71</v>
      </c>
      <c r="Y39" s="109" t="s">
        <v>48</v>
      </c>
      <c r="Z39" s="109" t="s">
        <v>48</v>
      </c>
      <c r="AA39" s="109" t="s">
        <v>48</v>
      </c>
      <c r="AB39" s="109" t="s">
        <v>48</v>
      </c>
      <c r="AC39" s="109" t="s">
        <v>48</v>
      </c>
      <c r="AD39" s="166" t="s">
        <v>48</v>
      </c>
      <c r="AE39" s="174" t="s">
        <v>48</v>
      </c>
      <c r="AF39" s="109" t="s">
        <v>48</v>
      </c>
      <c r="AG39" s="109" t="s">
        <v>48</v>
      </c>
      <c r="AH39" s="109" t="s">
        <v>48</v>
      </c>
      <c r="AI39" s="109" t="s">
        <v>48</v>
      </c>
      <c r="AJ39" s="109" t="s">
        <v>48</v>
      </c>
      <c r="AK39" s="166" t="s">
        <v>48</v>
      </c>
      <c r="AL39" s="165" t="s">
        <v>592</v>
      </c>
      <c r="AM39" s="109" t="str">
        <f>AL39</f>
        <v>V/R 5.71</v>
      </c>
      <c r="AN39" s="109" t="s">
        <v>48</v>
      </c>
      <c r="AO39" s="109" t="s">
        <v>48</v>
      </c>
      <c r="AP39" s="109" t="s">
        <v>48</v>
      </c>
      <c r="AQ39" s="109" t="s">
        <v>48</v>
      </c>
      <c r="AR39" s="109" t="s">
        <v>48</v>
      </c>
      <c r="AS39" s="166" t="s">
        <v>48</v>
      </c>
      <c r="AT39" s="165" t="s">
        <v>48</v>
      </c>
      <c r="AU39" s="109" t="s">
        <v>48</v>
      </c>
      <c r="AV39" s="109" t="s">
        <v>48</v>
      </c>
      <c r="AW39" s="109" t="s">
        <v>48</v>
      </c>
      <c r="AX39" s="109" t="s">
        <v>48</v>
      </c>
      <c r="AY39" s="109" t="s">
        <v>48</v>
      </c>
      <c r="AZ39" s="166" t="s">
        <v>48</v>
      </c>
      <c r="BA39" s="162" t="s">
        <v>48</v>
      </c>
      <c r="BB39" s="109" t="s">
        <v>62</v>
      </c>
      <c r="BC39" s="79"/>
    </row>
    <row r="40" spans="1:55" ht="75" hidden="1" customHeight="1">
      <c r="A40" s="109" t="s">
        <v>2345</v>
      </c>
      <c r="B40" s="117" t="s">
        <v>2345</v>
      </c>
      <c r="C40" s="117" t="s">
        <v>63</v>
      </c>
      <c r="D40" s="109" t="s">
        <v>898</v>
      </c>
      <c r="E40" s="161">
        <v>15000</v>
      </c>
      <c r="F40" s="165" t="s">
        <v>64</v>
      </c>
      <c r="G40" s="109" t="str">
        <f>F40</f>
        <v>V/R 4.11,   4.13</v>
      </c>
      <c r="H40" s="109" t="s">
        <v>48</v>
      </c>
      <c r="I40" s="109" t="s">
        <v>48</v>
      </c>
      <c r="J40" s="109" t="s">
        <v>48</v>
      </c>
      <c r="K40" s="109" t="s">
        <v>48</v>
      </c>
      <c r="L40" s="109" t="s">
        <v>48</v>
      </c>
      <c r="M40" s="166" t="s">
        <v>48</v>
      </c>
      <c r="N40" s="108" t="s">
        <v>48</v>
      </c>
      <c r="O40" s="109" t="s">
        <v>48</v>
      </c>
      <c r="P40" s="162" t="s">
        <v>48</v>
      </c>
      <c r="Q40" s="109" t="s">
        <v>48</v>
      </c>
      <c r="R40" s="109" t="s">
        <v>48</v>
      </c>
      <c r="S40" s="109" t="s">
        <v>48</v>
      </c>
      <c r="T40" s="109" t="s">
        <v>48</v>
      </c>
      <c r="U40" s="109" t="s">
        <v>48</v>
      </c>
      <c r="V40" s="166" t="s">
        <v>48</v>
      </c>
      <c r="W40" s="165" t="s">
        <v>64</v>
      </c>
      <c r="X40" s="109" t="str">
        <f>W40</f>
        <v>V/R 4.11,   4.13</v>
      </c>
      <c r="Y40" s="109" t="s">
        <v>48</v>
      </c>
      <c r="Z40" s="109" t="s">
        <v>48</v>
      </c>
      <c r="AA40" s="109" t="s">
        <v>48</v>
      </c>
      <c r="AB40" s="109" t="s">
        <v>48</v>
      </c>
      <c r="AC40" s="109" t="s">
        <v>48</v>
      </c>
      <c r="AD40" s="166" t="s">
        <v>48</v>
      </c>
      <c r="AE40" s="174" t="s">
        <v>65</v>
      </c>
      <c r="AF40" s="109" t="s">
        <v>48</v>
      </c>
      <c r="AG40" s="109" t="s">
        <v>48</v>
      </c>
      <c r="AH40" s="109" t="s">
        <v>48</v>
      </c>
      <c r="AI40" s="109" t="s">
        <v>48</v>
      </c>
      <c r="AJ40" s="109" t="s">
        <v>48</v>
      </c>
      <c r="AK40" s="166" t="s">
        <v>48</v>
      </c>
      <c r="AL40" s="165" t="s">
        <v>64</v>
      </c>
      <c r="AM40" s="109" t="str">
        <f>AL40</f>
        <v>V/R 4.11,   4.13</v>
      </c>
      <c r="AN40" s="109" t="s">
        <v>48</v>
      </c>
      <c r="AO40" s="109" t="s">
        <v>48</v>
      </c>
      <c r="AP40" s="109" t="s">
        <v>48</v>
      </c>
      <c r="AQ40" s="109" t="s">
        <v>48</v>
      </c>
      <c r="AR40" s="109" t="s">
        <v>48</v>
      </c>
      <c r="AS40" s="166" t="s">
        <v>48</v>
      </c>
      <c r="AT40" s="165" t="s">
        <v>48</v>
      </c>
      <c r="AU40" s="109" t="s">
        <v>48</v>
      </c>
      <c r="AV40" s="109" t="s">
        <v>48</v>
      </c>
      <c r="AW40" s="109" t="s">
        <v>48</v>
      </c>
      <c r="AX40" s="109" t="s">
        <v>48</v>
      </c>
      <c r="AY40" s="109" t="s">
        <v>48</v>
      </c>
      <c r="AZ40" s="166" t="s">
        <v>48</v>
      </c>
      <c r="BA40" s="162" t="s">
        <v>48</v>
      </c>
      <c r="BB40" s="109" t="s">
        <v>62</v>
      </c>
      <c r="BC40" s="79"/>
    </row>
    <row r="41" spans="1:55" ht="75" hidden="1" customHeight="1">
      <c r="A41" s="109" t="s">
        <v>2346</v>
      </c>
      <c r="B41" s="117" t="s">
        <v>2346</v>
      </c>
      <c r="C41" s="117" t="s">
        <v>63</v>
      </c>
      <c r="D41" s="109" t="s">
        <v>63</v>
      </c>
      <c r="E41" s="161">
        <v>15000</v>
      </c>
      <c r="F41" s="165" t="s">
        <v>593</v>
      </c>
      <c r="G41" s="109" t="str">
        <f>F41</f>
        <v>V/R 4.13</v>
      </c>
      <c r="H41" s="109" t="s">
        <v>48</v>
      </c>
      <c r="I41" s="109" t="s">
        <v>48</v>
      </c>
      <c r="J41" s="109" t="s">
        <v>48</v>
      </c>
      <c r="K41" s="109" t="s">
        <v>48</v>
      </c>
      <c r="L41" s="109" t="s">
        <v>48</v>
      </c>
      <c r="M41" s="166" t="s">
        <v>48</v>
      </c>
      <c r="N41" s="108" t="s">
        <v>48</v>
      </c>
      <c r="O41" s="109" t="s">
        <v>48</v>
      </c>
      <c r="P41" s="162" t="s">
        <v>48</v>
      </c>
      <c r="Q41" s="109" t="s">
        <v>48</v>
      </c>
      <c r="R41" s="109" t="s">
        <v>48</v>
      </c>
      <c r="S41" s="109" t="s">
        <v>48</v>
      </c>
      <c r="T41" s="109" t="s">
        <v>48</v>
      </c>
      <c r="U41" s="109" t="s">
        <v>48</v>
      </c>
      <c r="V41" s="166" t="s">
        <v>48</v>
      </c>
      <c r="W41" s="165" t="s">
        <v>593</v>
      </c>
      <c r="X41" s="109" t="str">
        <f>W41</f>
        <v>V/R 4.13</v>
      </c>
      <c r="Y41" s="109" t="s">
        <v>48</v>
      </c>
      <c r="Z41" s="109" t="s">
        <v>48</v>
      </c>
      <c r="AA41" s="109" t="s">
        <v>48</v>
      </c>
      <c r="AB41" s="109" t="s">
        <v>48</v>
      </c>
      <c r="AC41" s="109" t="s">
        <v>48</v>
      </c>
      <c r="AD41" s="166" t="s">
        <v>48</v>
      </c>
      <c r="AE41" s="174" t="s">
        <v>65</v>
      </c>
      <c r="AF41" s="109" t="s">
        <v>48</v>
      </c>
      <c r="AG41" s="109" t="s">
        <v>48</v>
      </c>
      <c r="AH41" s="109" t="s">
        <v>48</v>
      </c>
      <c r="AI41" s="109" t="s">
        <v>48</v>
      </c>
      <c r="AJ41" s="109" t="s">
        <v>48</v>
      </c>
      <c r="AK41" s="166" t="s">
        <v>48</v>
      </c>
      <c r="AL41" s="165" t="s">
        <v>593</v>
      </c>
      <c r="AM41" s="109" t="str">
        <f>AL41</f>
        <v>V/R 4.13</v>
      </c>
      <c r="AN41" s="109" t="s">
        <v>48</v>
      </c>
      <c r="AO41" s="109" t="s">
        <v>48</v>
      </c>
      <c r="AP41" s="109" t="s">
        <v>48</v>
      </c>
      <c r="AQ41" s="109" t="s">
        <v>48</v>
      </c>
      <c r="AR41" s="109" t="s">
        <v>48</v>
      </c>
      <c r="AS41" s="166" t="s">
        <v>48</v>
      </c>
      <c r="AT41" s="165" t="s">
        <v>48</v>
      </c>
      <c r="AU41" s="109" t="s">
        <v>48</v>
      </c>
      <c r="AV41" s="109" t="s">
        <v>48</v>
      </c>
      <c r="AW41" s="109" t="s">
        <v>48</v>
      </c>
      <c r="AX41" s="109" t="s">
        <v>48</v>
      </c>
      <c r="AY41" s="109" t="s">
        <v>48</v>
      </c>
      <c r="AZ41" s="166" t="s">
        <v>48</v>
      </c>
      <c r="BA41" s="162" t="s">
        <v>48</v>
      </c>
      <c r="BB41" s="109" t="s">
        <v>62</v>
      </c>
      <c r="BC41" s="79"/>
    </row>
    <row r="42" spans="1:55" ht="75" hidden="1" customHeight="1">
      <c r="A42" s="109" t="s">
        <v>1599</v>
      </c>
      <c r="B42" s="109" t="s">
        <v>2015</v>
      </c>
      <c r="C42" s="109" t="s">
        <v>1867</v>
      </c>
      <c r="D42" s="109" t="s">
        <v>1866</v>
      </c>
      <c r="E42" s="161">
        <v>15000</v>
      </c>
      <c r="F42" s="165" t="s">
        <v>1866</v>
      </c>
      <c r="G42" s="109" t="s">
        <v>1866</v>
      </c>
      <c r="H42" s="109" t="s">
        <v>48</v>
      </c>
      <c r="I42" s="109" t="s">
        <v>48</v>
      </c>
      <c r="J42" s="109" t="s">
        <v>48</v>
      </c>
      <c r="K42" s="109" t="s">
        <v>48</v>
      </c>
      <c r="L42" s="109" t="s">
        <v>48</v>
      </c>
      <c r="M42" s="166" t="s">
        <v>1687</v>
      </c>
      <c r="N42" s="108" t="s">
        <v>48</v>
      </c>
      <c r="O42" s="109" t="s">
        <v>48</v>
      </c>
      <c r="P42" s="162" t="s">
        <v>48</v>
      </c>
      <c r="Q42" s="109" t="s">
        <v>48</v>
      </c>
      <c r="R42" s="109" t="s">
        <v>48</v>
      </c>
      <c r="S42" s="109" t="s">
        <v>48</v>
      </c>
      <c r="T42" s="109" t="s">
        <v>48</v>
      </c>
      <c r="U42" s="109" t="s">
        <v>48</v>
      </c>
      <c r="V42" s="166" t="s">
        <v>48</v>
      </c>
      <c r="W42" s="165" t="s">
        <v>1866</v>
      </c>
      <c r="X42" s="109" t="s">
        <v>1866</v>
      </c>
      <c r="Y42" s="109" t="s">
        <v>48</v>
      </c>
      <c r="Z42" s="109" t="s">
        <v>48</v>
      </c>
      <c r="AA42" s="109" t="s">
        <v>48</v>
      </c>
      <c r="AB42" s="109" t="s">
        <v>48</v>
      </c>
      <c r="AC42" s="109" t="s">
        <v>48</v>
      </c>
      <c r="AD42" s="166" t="s">
        <v>48</v>
      </c>
      <c r="AE42" s="165" t="s">
        <v>48</v>
      </c>
      <c r="AF42" s="109" t="s">
        <v>48</v>
      </c>
      <c r="AG42" s="109" t="s">
        <v>48</v>
      </c>
      <c r="AH42" s="109" t="s">
        <v>48</v>
      </c>
      <c r="AI42" s="109" t="s">
        <v>48</v>
      </c>
      <c r="AJ42" s="109" t="s">
        <v>48</v>
      </c>
      <c r="AK42" s="166" t="s">
        <v>48</v>
      </c>
      <c r="AL42" s="165" t="s">
        <v>2586</v>
      </c>
      <c r="AM42" s="109" t="s">
        <v>2586</v>
      </c>
      <c r="AN42" s="109" t="s">
        <v>2587</v>
      </c>
      <c r="AO42" s="109" t="s">
        <v>2419</v>
      </c>
      <c r="AP42" s="109" t="s">
        <v>2413</v>
      </c>
      <c r="AQ42" s="109" t="s">
        <v>2413</v>
      </c>
      <c r="AR42" s="109" t="s">
        <v>2588</v>
      </c>
      <c r="AS42" s="166" t="s">
        <v>2589</v>
      </c>
      <c r="AT42" s="165" t="s">
        <v>48</v>
      </c>
      <c r="AU42" s="109" t="s">
        <v>48</v>
      </c>
      <c r="AV42" s="109" t="s">
        <v>48</v>
      </c>
      <c r="AW42" s="109" t="s">
        <v>48</v>
      </c>
      <c r="AX42" s="109" t="s">
        <v>48</v>
      </c>
      <c r="AY42" s="109" t="s">
        <v>48</v>
      </c>
      <c r="AZ42" s="166" t="s">
        <v>48</v>
      </c>
      <c r="BA42" s="162" t="s">
        <v>2852</v>
      </c>
      <c r="BB42" s="109" t="s">
        <v>82</v>
      </c>
      <c r="BC42" s="109" t="s">
        <v>1868</v>
      </c>
    </row>
    <row r="43" spans="1:55" ht="75" hidden="1" customHeight="1">
      <c r="A43" s="109" t="s">
        <v>1584</v>
      </c>
      <c r="B43" s="109" t="s">
        <v>2016</v>
      </c>
      <c r="C43" s="109" t="s">
        <v>1844</v>
      </c>
      <c r="D43" s="109" t="s">
        <v>1843</v>
      </c>
      <c r="E43" s="161">
        <v>15000</v>
      </c>
      <c r="F43" s="165" t="s">
        <v>1843</v>
      </c>
      <c r="G43" s="109" t="s">
        <v>1843</v>
      </c>
      <c r="H43" s="109" t="s">
        <v>48</v>
      </c>
      <c r="I43" s="109" t="s">
        <v>48</v>
      </c>
      <c r="J43" s="109" t="s">
        <v>48</v>
      </c>
      <c r="K43" s="109" t="s">
        <v>48</v>
      </c>
      <c r="L43" s="109" t="s">
        <v>48</v>
      </c>
      <c r="M43" s="166" t="s">
        <v>1687</v>
      </c>
      <c r="N43" s="108" t="s">
        <v>48</v>
      </c>
      <c r="O43" s="109" t="s">
        <v>48</v>
      </c>
      <c r="P43" s="162" t="s">
        <v>48</v>
      </c>
      <c r="Q43" s="109" t="s">
        <v>48</v>
      </c>
      <c r="R43" s="109" t="s">
        <v>48</v>
      </c>
      <c r="S43" s="109" t="s">
        <v>48</v>
      </c>
      <c r="T43" s="109" t="s">
        <v>48</v>
      </c>
      <c r="U43" s="109" t="s">
        <v>48</v>
      </c>
      <c r="V43" s="166" t="s">
        <v>48</v>
      </c>
      <c r="W43" s="165" t="s">
        <v>1843</v>
      </c>
      <c r="X43" s="109" t="s">
        <v>1843</v>
      </c>
      <c r="Y43" s="109" t="s">
        <v>48</v>
      </c>
      <c r="Z43" s="109" t="s">
        <v>48</v>
      </c>
      <c r="AA43" s="109" t="s">
        <v>48</v>
      </c>
      <c r="AB43" s="109" t="s">
        <v>48</v>
      </c>
      <c r="AC43" s="109" t="s">
        <v>48</v>
      </c>
      <c r="AD43" s="166" t="s">
        <v>48</v>
      </c>
      <c r="AE43" s="165" t="s">
        <v>48</v>
      </c>
      <c r="AF43" s="109" t="s">
        <v>48</v>
      </c>
      <c r="AG43" s="109" t="s">
        <v>48</v>
      </c>
      <c r="AH43" s="109" t="s">
        <v>48</v>
      </c>
      <c r="AI43" s="109" t="s">
        <v>48</v>
      </c>
      <c r="AJ43" s="109" t="s">
        <v>48</v>
      </c>
      <c r="AK43" s="166" t="s">
        <v>48</v>
      </c>
      <c r="AL43" s="165" t="s">
        <v>2586</v>
      </c>
      <c r="AM43" s="109" t="s">
        <v>2586</v>
      </c>
      <c r="AN43" s="109" t="s">
        <v>2587</v>
      </c>
      <c r="AO43" s="109" t="s">
        <v>2419</v>
      </c>
      <c r="AP43" s="109" t="s">
        <v>2413</v>
      </c>
      <c r="AQ43" s="109" t="s">
        <v>2413</v>
      </c>
      <c r="AR43" s="109" t="s">
        <v>2588</v>
      </c>
      <c r="AS43" s="166" t="s">
        <v>2589</v>
      </c>
      <c r="AT43" s="165" t="s">
        <v>48</v>
      </c>
      <c r="AU43" s="109" t="s">
        <v>48</v>
      </c>
      <c r="AV43" s="109" t="s">
        <v>48</v>
      </c>
      <c r="AW43" s="109" t="s">
        <v>48</v>
      </c>
      <c r="AX43" s="109" t="s">
        <v>48</v>
      </c>
      <c r="AY43" s="109" t="s">
        <v>48</v>
      </c>
      <c r="AZ43" s="166" t="s">
        <v>48</v>
      </c>
      <c r="BA43" s="162" t="s">
        <v>2852</v>
      </c>
      <c r="BB43" s="109" t="s">
        <v>82</v>
      </c>
      <c r="BC43" s="109" t="s">
        <v>1110</v>
      </c>
    </row>
    <row r="44" spans="1:55" ht="75" hidden="1" customHeight="1">
      <c r="A44" s="109" t="s">
        <v>1583</v>
      </c>
      <c r="B44" s="109" t="s">
        <v>2016</v>
      </c>
      <c r="C44" s="109" t="s">
        <v>1844</v>
      </c>
      <c r="D44" s="109" t="s">
        <v>1843</v>
      </c>
      <c r="E44" s="161">
        <v>15000</v>
      </c>
      <c r="F44" s="165" t="s">
        <v>1843</v>
      </c>
      <c r="G44" s="109" t="s">
        <v>1843</v>
      </c>
      <c r="H44" s="109" t="s">
        <v>48</v>
      </c>
      <c r="I44" s="109" t="s">
        <v>48</v>
      </c>
      <c r="J44" s="109" t="s">
        <v>48</v>
      </c>
      <c r="K44" s="109" t="s">
        <v>48</v>
      </c>
      <c r="L44" s="109" t="s">
        <v>48</v>
      </c>
      <c r="M44" s="166" t="s">
        <v>1687</v>
      </c>
      <c r="N44" s="108" t="s">
        <v>48</v>
      </c>
      <c r="O44" s="109" t="s">
        <v>48</v>
      </c>
      <c r="P44" s="162" t="s">
        <v>48</v>
      </c>
      <c r="Q44" s="109" t="s">
        <v>48</v>
      </c>
      <c r="R44" s="109" t="s">
        <v>48</v>
      </c>
      <c r="S44" s="109" t="s">
        <v>48</v>
      </c>
      <c r="T44" s="109" t="s">
        <v>48</v>
      </c>
      <c r="U44" s="109" t="s">
        <v>48</v>
      </c>
      <c r="V44" s="166" t="s">
        <v>48</v>
      </c>
      <c r="W44" s="165" t="s">
        <v>1843</v>
      </c>
      <c r="X44" s="109" t="s">
        <v>1843</v>
      </c>
      <c r="Y44" s="109" t="s">
        <v>48</v>
      </c>
      <c r="Z44" s="109" t="s">
        <v>48</v>
      </c>
      <c r="AA44" s="109" t="s">
        <v>48</v>
      </c>
      <c r="AB44" s="109" t="s">
        <v>48</v>
      </c>
      <c r="AC44" s="109" t="s">
        <v>48</v>
      </c>
      <c r="AD44" s="166" t="s">
        <v>48</v>
      </c>
      <c r="AE44" s="165" t="s">
        <v>48</v>
      </c>
      <c r="AF44" s="109" t="s">
        <v>48</v>
      </c>
      <c r="AG44" s="109" t="s">
        <v>48</v>
      </c>
      <c r="AH44" s="109" t="s">
        <v>48</v>
      </c>
      <c r="AI44" s="109" t="s">
        <v>48</v>
      </c>
      <c r="AJ44" s="109" t="s">
        <v>48</v>
      </c>
      <c r="AK44" s="166" t="s">
        <v>48</v>
      </c>
      <c r="AL44" s="165" t="s">
        <v>2586</v>
      </c>
      <c r="AM44" s="109" t="s">
        <v>2586</v>
      </c>
      <c r="AN44" s="109" t="s">
        <v>2587</v>
      </c>
      <c r="AO44" s="109" t="s">
        <v>2419</v>
      </c>
      <c r="AP44" s="109" t="s">
        <v>2413</v>
      </c>
      <c r="AQ44" s="109" t="s">
        <v>2413</v>
      </c>
      <c r="AR44" s="109" t="s">
        <v>2588</v>
      </c>
      <c r="AS44" s="166" t="s">
        <v>2589</v>
      </c>
      <c r="AT44" s="165" t="s">
        <v>48</v>
      </c>
      <c r="AU44" s="109" t="s">
        <v>48</v>
      </c>
      <c r="AV44" s="109" t="s">
        <v>48</v>
      </c>
      <c r="AW44" s="109" t="s">
        <v>48</v>
      </c>
      <c r="AX44" s="109" t="s">
        <v>48</v>
      </c>
      <c r="AY44" s="109" t="s">
        <v>48</v>
      </c>
      <c r="AZ44" s="166" t="s">
        <v>48</v>
      </c>
      <c r="BA44" s="162" t="s">
        <v>2852</v>
      </c>
      <c r="BB44" s="109" t="s">
        <v>82</v>
      </c>
      <c r="BC44" s="109" t="s">
        <v>1110</v>
      </c>
    </row>
    <row r="45" spans="1:55" ht="75" hidden="1" customHeight="1">
      <c r="A45" s="109" t="s">
        <v>1115</v>
      </c>
      <c r="B45" s="109" t="s">
        <v>2483</v>
      </c>
      <c r="C45" s="109" t="s">
        <v>949</v>
      </c>
      <c r="D45" s="109" t="s">
        <v>948</v>
      </c>
      <c r="E45" s="161">
        <v>15000</v>
      </c>
      <c r="F45" s="165" t="s">
        <v>1843</v>
      </c>
      <c r="G45" s="109" t="s">
        <v>1843</v>
      </c>
      <c r="H45" s="109" t="s">
        <v>1953</v>
      </c>
      <c r="I45" s="109" t="s">
        <v>1908</v>
      </c>
      <c r="J45" s="109" t="s">
        <v>1708</v>
      </c>
      <c r="K45" s="109" t="s">
        <v>1708</v>
      </c>
      <c r="L45" s="109" t="s">
        <v>1996</v>
      </c>
      <c r="M45" s="166" t="s">
        <v>1687</v>
      </c>
      <c r="N45" s="108" t="s">
        <v>48</v>
      </c>
      <c r="O45" s="109" t="s">
        <v>48</v>
      </c>
      <c r="P45" s="162" t="s">
        <v>48</v>
      </c>
      <c r="Q45" s="109" t="s">
        <v>48</v>
      </c>
      <c r="R45" s="109" t="s">
        <v>48</v>
      </c>
      <c r="S45" s="109" t="s">
        <v>48</v>
      </c>
      <c r="T45" s="109" t="s">
        <v>48</v>
      </c>
      <c r="U45" s="109" t="s">
        <v>48</v>
      </c>
      <c r="V45" s="166" t="s">
        <v>48</v>
      </c>
      <c r="W45" s="165" t="s">
        <v>948</v>
      </c>
      <c r="X45" s="109" t="s">
        <v>948</v>
      </c>
      <c r="Y45" s="109" t="s">
        <v>48</v>
      </c>
      <c r="Z45" s="109" t="s">
        <v>48</v>
      </c>
      <c r="AA45" s="109" t="s">
        <v>48</v>
      </c>
      <c r="AB45" s="109" t="s">
        <v>48</v>
      </c>
      <c r="AC45" s="109" t="s">
        <v>48</v>
      </c>
      <c r="AD45" s="166" t="s">
        <v>48</v>
      </c>
      <c r="AE45" s="174" t="s">
        <v>48</v>
      </c>
      <c r="AF45" s="117" t="s">
        <v>48</v>
      </c>
      <c r="AG45" s="117" t="s">
        <v>48</v>
      </c>
      <c r="AH45" s="109" t="s">
        <v>48</v>
      </c>
      <c r="AI45" s="117" t="s">
        <v>48</v>
      </c>
      <c r="AJ45" s="117" t="s">
        <v>48</v>
      </c>
      <c r="AK45" s="182" t="s">
        <v>48</v>
      </c>
      <c r="AL45" s="165" t="s">
        <v>2586</v>
      </c>
      <c r="AM45" s="109" t="s">
        <v>2586</v>
      </c>
      <c r="AN45" s="109" t="s">
        <v>2587</v>
      </c>
      <c r="AO45" s="109" t="s">
        <v>2419</v>
      </c>
      <c r="AP45" s="109" t="s">
        <v>2413</v>
      </c>
      <c r="AQ45" s="109" t="s">
        <v>2413</v>
      </c>
      <c r="AR45" s="109" t="s">
        <v>2588</v>
      </c>
      <c r="AS45" s="166" t="s">
        <v>2589</v>
      </c>
      <c r="AT45" s="165" t="s">
        <v>48</v>
      </c>
      <c r="AU45" s="109" t="s">
        <v>48</v>
      </c>
      <c r="AV45" s="109" t="s">
        <v>48</v>
      </c>
      <c r="AW45" s="109" t="s">
        <v>48</v>
      </c>
      <c r="AX45" s="109" t="s">
        <v>48</v>
      </c>
      <c r="AY45" s="109" t="s">
        <v>48</v>
      </c>
      <c r="AZ45" s="166" t="s">
        <v>48</v>
      </c>
      <c r="BA45" s="162" t="s">
        <v>1850</v>
      </c>
      <c r="BB45" s="109" t="s">
        <v>82</v>
      </c>
      <c r="BC45" s="109" t="s">
        <v>950</v>
      </c>
    </row>
    <row r="46" spans="1:55" ht="75" customHeight="1">
      <c r="A46" s="109" t="s">
        <v>1118</v>
      </c>
      <c r="B46" s="109" t="s">
        <v>2030</v>
      </c>
      <c r="C46" s="109" t="s">
        <v>949</v>
      </c>
      <c r="D46" s="109" t="s">
        <v>948</v>
      </c>
      <c r="E46" s="161">
        <v>15000</v>
      </c>
      <c r="F46" s="165" t="s">
        <v>1843</v>
      </c>
      <c r="G46" s="109" t="s">
        <v>1843</v>
      </c>
      <c r="H46" s="109" t="s">
        <v>1953</v>
      </c>
      <c r="I46" s="109" t="s">
        <v>1908</v>
      </c>
      <c r="J46" s="109" t="s">
        <v>1708</v>
      </c>
      <c r="K46" s="109" t="s">
        <v>1708</v>
      </c>
      <c r="L46" s="109" t="s">
        <v>1996</v>
      </c>
      <c r="M46" s="166" t="s">
        <v>1687</v>
      </c>
      <c r="N46" s="108" t="s">
        <v>48</v>
      </c>
      <c r="O46" s="109" t="s">
        <v>48</v>
      </c>
      <c r="P46" s="162" t="s">
        <v>48</v>
      </c>
      <c r="Q46" s="109" t="s">
        <v>48</v>
      </c>
      <c r="R46" s="109" t="s">
        <v>48</v>
      </c>
      <c r="S46" s="109" t="s">
        <v>48</v>
      </c>
      <c r="T46" s="109" t="s">
        <v>48</v>
      </c>
      <c r="U46" s="109" t="s">
        <v>48</v>
      </c>
      <c r="V46" s="166" t="s">
        <v>48</v>
      </c>
      <c r="W46" s="165" t="s">
        <v>948</v>
      </c>
      <c r="X46" s="109" t="s">
        <v>948</v>
      </c>
      <c r="Y46" s="109" t="s">
        <v>48</v>
      </c>
      <c r="Z46" s="109" t="s">
        <v>48</v>
      </c>
      <c r="AA46" s="109" t="s">
        <v>48</v>
      </c>
      <c r="AB46" s="109" t="s">
        <v>48</v>
      </c>
      <c r="AC46" s="109" t="s">
        <v>48</v>
      </c>
      <c r="AD46" s="166" t="s">
        <v>48</v>
      </c>
      <c r="AE46" s="174" t="s">
        <v>48</v>
      </c>
      <c r="AF46" s="117" t="s">
        <v>48</v>
      </c>
      <c r="AG46" s="117" t="s">
        <v>48</v>
      </c>
      <c r="AH46" s="109" t="s">
        <v>48</v>
      </c>
      <c r="AI46" s="117" t="s">
        <v>48</v>
      </c>
      <c r="AJ46" s="117" t="s">
        <v>48</v>
      </c>
      <c r="AK46" s="182" t="s">
        <v>48</v>
      </c>
      <c r="AL46" s="165" t="s">
        <v>2586</v>
      </c>
      <c r="AM46" s="109" t="s">
        <v>2586</v>
      </c>
      <c r="AN46" s="109" t="s">
        <v>2587</v>
      </c>
      <c r="AO46" s="109" t="s">
        <v>2419</v>
      </c>
      <c r="AP46" s="109" t="s">
        <v>2413</v>
      </c>
      <c r="AQ46" s="109" t="s">
        <v>2413</v>
      </c>
      <c r="AR46" s="109" t="s">
        <v>2588</v>
      </c>
      <c r="AS46" s="166" t="s">
        <v>2589</v>
      </c>
      <c r="AT46" s="165" t="s">
        <v>48</v>
      </c>
      <c r="AU46" s="109" t="s">
        <v>48</v>
      </c>
      <c r="AV46" s="109" t="s">
        <v>48</v>
      </c>
      <c r="AW46" s="109" t="s">
        <v>48</v>
      </c>
      <c r="AX46" s="109" t="s">
        <v>48</v>
      </c>
      <c r="AY46" s="109" t="s">
        <v>48</v>
      </c>
      <c r="AZ46" s="166" t="s">
        <v>48</v>
      </c>
      <c r="BA46" s="162" t="s">
        <v>1850</v>
      </c>
      <c r="BB46" s="109" t="s">
        <v>82</v>
      </c>
      <c r="BC46" s="109" t="s">
        <v>950</v>
      </c>
    </row>
    <row r="47" spans="1:55" ht="75" customHeight="1">
      <c r="A47" s="109" t="s">
        <v>1118</v>
      </c>
      <c r="B47" s="109" t="s">
        <v>2030</v>
      </c>
      <c r="C47" s="109" t="s">
        <v>949</v>
      </c>
      <c r="D47" s="109" t="s">
        <v>948</v>
      </c>
      <c r="E47" s="161">
        <v>15000</v>
      </c>
      <c r="F47" s="165" t="s">
        <v>1843</v>
      </c>
      <c r="G47" s="109" t="s">
        <v>1843</v>
      </c>
      <c r="H47" s="109" t="s">
        <v>1953</v>
      </c>
      <c r="I47" s="109" t="s">
        <v>1908</v>
      </c>
      <c r="J47" s="109" t="s">
        <v>1708</v>
      </c>
      <c r="K47" s="109" t="s">
        <v>1708</v>
      </c>
      <c r="L47" s="109" t="s">
        <v>1996</v>
      </c>
      <c r="M47" s="166" t="s">
        <v>1687</v>
      </c>
      <c r="N47" s="108" t="s">
        <v>48</v>
      </c>
      <c r="O47" s="109" t="s">
        <v>48</v>
      </c>
      <c r="P47" s="162" t="s">
        <v>48</v>
      </c>
      <c r="Q47" s="109" t="s">
        <v>48</v>
      </c>
      <c r="R47" s="109" t="s">
        <v>48</v>
      </c>
      <c r="S47" s="109" t="s">
        <v>48</v>
      </c>
      <c r="T47" s="109" t="s">
        <v>48</v>
      </c>
      <c r="U47" s="109" t="s">
        <v>48</v>
      </c>
      <c r="V47" s="166" t="s">
        <v>48</v>
      </c>
      <c r="W47" s="165" t="s">
        <v>948</v>
      </c>
      <c r="X47" s="109" t="s">
        <v>948</v>
      </c>
      <c r="Y47" s="109" t="s">
        <v>48</v>
      </c>
      <c r="Z47" s="109" t="s">
        <v>48</v>
      </c>
      <c r="AA47" s="109" t="s">
        <v>48</v>
      </c>
      <c r="AB47" s="109" t="s">
        <v>48</v>
      </c>
      <c r="AC47" s="109" t="s">
        <v>48</v>
      </c>
      <c r="AD47" s="166" t="s">
        <v>48</v>
      </c>
      <c r="AE47" s="174" t="s">
        <v>48</v>
      </c>
      <c r="AF47" s="117" t="s">
        <v>48</v>
      </c>
      <c r="AG47" s="117" t="s">
        <v>48</v>
      </c>
      <c r="AH47" s="109" t="s">
        <v>48</v>
      </c>
      <c r="AI47" s="117" t="s">
        <v>48</v>
      </c>
      <c r="AJ47" s="117" t="s">
        <v>48</v>
      </c>
      <c r="AK47" s="182" t="s">
        <v>48</v>
      </c>
      <c r="AL47" s="165" t="s">
        <v>2433</v>
      </c>
      <c r="AM47" s="109" t="s">
        <v>2433</v>
      </c>
      <c r="AN47" s="109" t="s">
        <v>2434</v>
      </c>
      <c r="AO47" s="109" t="s">
        <v>2412</v>
      </c>
      <c r="AP47" s="109" t="s">
        <v>2413</v>
      </c>
      <c r="AQ47" s="109" t="s">
        <v>2413</v>
      </c>
      <c r="AR47" s="109" t="s">
        <v>2435</v>
      </c>
      <c r="AS47" s="166" t="s">
        <v>2414</v>
      </c>
      <c r="AT47" s="165" t="s">
        <v>48</v>
      </c>
      <c r="AU47" s="109" t="s">
        <v>48</v>
      </c>
      <c r="AV47" s="109" t="s">
        <v>48</v>
      </c>
      <c r="AW47" s="109" t="s">
        <v>48</v>
      </c>
      <c r="AX47" s="109" t="s">
        <v>48</v>
      </c>
      <c r="AY47" s="109" t="s">
        <v>48</v>
      </c>
      <c r="AZ47" s="166" t="s">
        <v>48</v>
      </c>
      <c r="BA47" s="162" t="s">
        <v>1850</v>
      </c>
      <c r="BB47" s="109" t="s">
        <v>82</v>
      </c>
      <c r="BC47" s="109" t="s">
        <v>950</v>
      </c>
    </row>
    <row r="48" spans="1:55" ht="75" hidden="1" customHeight="1">
      <c r="A48" s="109" t="s">
        <v>1115</v>
      </c>
      <c r="B48" s="109" t="s">
        <v>2483</v>
      </c>
      <c r="C48" s="109" t="s">
        <v>873</v>
      </c>
      <c r="D48" s="109" t="s">
        <v>2516</v>
      </c>
      <c r="E48" s="161">
        <v>15000</v>
      </c>
      <c r="F48" s="165" t="s">
        <v>1834</v>
      </c>
      <c r="G48" s="109" t="s">
        <v>1834</v>
      </c>
      <c r="H48" s="109" t="s">
        <v>1950</v>
      </c>
      <c r="I48" s="109" t="s">
        <v>1908</v>
      </c>
      <c r="J48" s="109" t="s">
        <v>1708</v>
      </c>
      <c r="K48" s="109" t="s">
        <v>1708</v>
      </c>
      <c r="L48" s="109" t="s">
        <v>1994</v>
      </c>
      <c r="M48" s="166" t="s">
        <v>1687</v>
      </c>
      <c r="N48" s="108" t="s">
        <v>48</v>
      </c>
      <c r="O48" s="109" t="s">
        <v>48</v>
      </c>
      <c r="P48" s="162" t="s">
        <v>48</v>
      </c>
      <c r="Q48" s="109" t="s">
        <v>48</v>
      </c>
      <c r="R48" s="109" t="s">
        <v>48</v>
      </c>
      <c r="S48" s="109" t="s">
        <v>48</v>
      </c>
      <c r="T48" s="109" t="s">
        <v>48</v>
      </c>
      <c r="U48" s="109" t="s">
        <v>48</v>
      </c>
      <c r="V48" s="166" t="s">
        <v>48</v>
      </c>
      <c r="W48" s="165" t="s">
        <v>871</v>
      </c>
      <c r="X48" s="109" t="s">
        <v>871</v>
      </c>
      <c r="Y48" s="109" t="s">
        <v>48</v>
      </c>
      <c r="Z48" s="109" t="s">
        <v>48</v>
      </c>
      <c r="AA48" s="109" t="s">
        <v>48</v>
      </c>
      <c r="AB48" s="109" t="s">
        <v>48</v>
      </c>
      <c r="AC48" s="109" t="s">
        <v>48</v>
      </c>
      <c r="AD48" s="166" t="s">
        <v>48</v>
      </c>
      <c r="AE48" s="174" t="s">
        <v>48</v>
      </c>
      <c r="AF48" s="117" t="s">
        <v>48</v>
      </c>
      <c r="AG48" s="117" t="s">
        <v>48</v>
      </c>
      <c r="AH48" s="109" t="s">
        <v>48</v>
      </c>
      <c r="AI48" s="117" t="s">
        <v>48</v>
      </c>
      <c r="AJ48" s="117" t="s">
        <v>48</v>
      </c>
      <c r="AK48" s="182" t="s">
        <v>48</v>
      </c>
      <c r="AL48" s="165" t="s">
        <v>871</v>
      </c>
      <c r="AM48" s="109" t="s">
        <v>871</v>
      </c>
      <c r="AN48" s="109" t="s">
        <v>48</v>
      </c>
      <c r="AO48" s="109" t="s">
        <v>48</v>
      </c>
      <c r="AP48" s="109" t="s">
        <v>48</v>
      </c>
      <c r="AQ48" s="109" t="s">
        <v>48</v>
      </c>
      <c r="AR48" s="109" t="s">
        <v>48</v>
      </c>
      <c r="AS48" s="166" t="s">
        <v>48</v>
      </c>
      <c r="AT48" s="165" t="s">
        <v>48</v>
      </c>
      <c r="AU48" s="109" t="s">
        <v>48</v>
      </c>
      <c r="AV48" s="109" t="s">
        <v>48</v>
      </c>
      <c r="AW48" s="109" t="s">
        <v>48</v>
      </c>
      <c r="AX48" s="109" t="s">
        <v>48</v>
      </c>
      <c r="AY48" s="109" t="s">
        <v>48</v>
      </c>
      <c r="AZ48" s="166" t="s">
        <v>48</v>
      </c>
      <c r="BA48" s="162" t="s">
        <v>1841</v>
      </c>
      <c r="BB48" s="109" t="s">
        <v>82</v>
      </c>
      <c r="BC48" s="109" t="s">
        <v>1836</v>
      </c>
    </row>
    <row r="49" spans="1:55" ht="75" customHeight="1">
      <c r="A49" s="109" t="s">
        <v>1118</v>
      </c>
      <c r="B49" s="109" t="s">
        <v>2030</v>
      </c>
      <c r="C49" s="109" t="s">
        <v>873</v>
      </c>
      <c r="D49" s="109" t="s">
        <v>871</v>
      </c>
      <c r="E49" s="161">
        <v>15000</v>
      </c>
      <c r="F49" s="165" t="s">
        <v>1834</v>
      </c>
      <c r="G49" s="109" t="s">
        <v>1834</v>
      </c>
      <c r="H49" s="109" t="s">
        <v>1950</v>
      </c>
      <c r="I49" s="109" t="s">
        <v>1908</v>
      </c>
      <c r="J49" s="109" t="s">
        <v>1708</v>
      </c>
      <c r="K49" s="109" t="s">
        <v>1708</v>
      </c>
      <c r="L49" s="109" t="s">
        <v>1994</v>
      </c>
      <c r="M49" s="166" t="s">
        <v>1687</v>
      </c>
      <c r="N49" s="108" t="s">
        <v>48</v>
      </c>
      <c r="O49" s="109" t="s">
        <v>48</v>
      </c>
      <c r="P49" s="162" t="s">
        <v>48</v>
      </c>
      <c r="Q49" s="109" t="s">
        <v>48</v>
      </c>
      <c r="R49" s="109" t="s">
        <v>48</v>
      </c>
      <c r="S49" s="109" t="s">
        <v>48</v>
      </c>
      <c r="T49" s="109" t="s">
        <v>48</v>
      </c>
      <c r="U49" s="109" t="s">
        <v>48</v>
      </c>
      <c r="V49" s="166" t="s">
        <v>48</v>
      </c>
      <c r="W49" s="165" t="s">
        <v>871</v>
      </c>
      <c r="X49" s="109" t="s">
        <v>871</v>
      </c>
      <c r="Y49" s="109" t="s">
        <v>48</v>
      </c>
      <c r="Z49" s="109" t="s">
        <v>48</v>
      </c>
      <c r="AA49" s="109" t="s">
        <v>48</v>
      </c>
      <c r="AB49" s="109" t="s">
        <v>48</v>
      </c>
      <c r="AC49" s="109" t="s">
        <v>48</v>
      </c>
      <c r="AD49" s="166" t="s">
        <v>48</v>
      </c>
      <c r="AE49" s="174" t="s">
        <v>48</v>
      </c>
      <c r="AF49" s="117" t="s">
        <v>48</v>
      </c>
      <c r="AG49" s="117" t="s">
        <v>48</v>
      </c>
      <c r="AH49" s="109" t="s">
        <v>48</v>
      </c>
      <c r="AI49" s="117" t="s">
        <v>48</v>
      </c>
      <c r="AJ49" s="117" t="s">
        <v>48</v>
      </c>
      <c r="AK49" s="182" t="s">
        <v>48</v>
      </c>
      <c r="AL49" s="165" t="s">
        <v>871</v>
      </c>
      <c r="AM49" s="109" t="s">
        <v>871</v>
      </c>
      <c r="AN49" s="109" t="s">
        <v>48</v>
      </c>
      <c r="AO49" s="109" t="s">
        <v>48</v>
      </c>
      <c r="AP49" s="109" t="s">
        <v>48</v>
      </c>
      <c r="AQ49" s="109" t="s">
        <v>48</v>
      </c>
      <c r="AR49" s="109" t="s">
        <v>48</v>
      </c>
      <c r="AS49" s="166" t="s">
        <v>48</v>
      </c>
      <c r="AT49" s="165" t="s">
        <v>48</v>
      </c>
      <c r="AU49" s="109" t="s">
        <v>48</v>
      </c>
      <c r="AV49" s="109" t="s">
        <v>48</v>
      </c>
      <c r="AW49" s="109" t="s">
        <v>48</v>
      </c>
      <c r="AX49" s="109" t="s">
        <v>48</v>
      </c>
      <c r="AY49" s="109" t="s">
        <v>48</v>
      </c>
      <c r="AZ49" s="166" t="s">
        <v>48</v>
      </c>
      <c r="BA49" s="162" t="s">
        <v>1841</v>
      </c>
      <c r="BB49" s="109" t="s">
        <v>82</v>
      </c>
      <c r="BC49" s="109" t="s">
        <v>1836</v>
      </c>
    </row>
    <row r="50" spans="1:55" ht="75" hidden="1" customHeight="1">
      <c r="A50" s="109" t="s">
        <v>1584</v>
      </c>
      <c r="B50" s="109" t="s">
        <v>2016</v>
      </c>
      <c r="C50" s="109" t="s">
        <v>1835</v>
      </c>
      <c r="D50" s="109" t="s">
        <v>1834</v>
      </c>
      <c r="E50" s="161">
        <v>15000</v>
      </c>
      <c r="F50" s="165" t="s">
        <v>1834</v>
      </c>
      <c r="G50" s="109" t="s">
        <v>1834</v>
      </c>
      <c r="H50" s="109" t="s">
        <v>48</v>
      </c>
      <c r="I50" s="109" t="s">
        <v>48</v>
      </c>
      <c r="J50" s="109" t="s">
        <v>48</v>
      </c>
      <c r="K50" s="109" t="s">
        <v>48</v>
      </c>
      <c r="L50" s="109" t="s">
        <v>48</v>
      </c>
      <c r="M50" s="166" t="s">
        <v>1687</v>
      </c>
      <c r="N50" s="108" t="s">
        <v>48</v>
      </c>
      <c r="O50" s="109" t="s">
        <v>48</v>
      </c>
      <c r="P50" s="162" t="s">
        <v>48</v>
      </c>
      <c r="Q50" s="109" t="s">
        <v>48</v>
      </c>
      <c r="R50" s="109" t="s">
        <v>48</v>
      </c>
      <c r="S50" s="109" t="s">
        <v>48</v>
      </c>
      <c r="T50" s="109" t="s">
        <v>48</v>
      </c>
      <c r="U50" s="109" t="s">
        <v>48</v>
      </c>
      <c r="V50" s="166" t="s">
        <v>48</v>
      </c>
      <c r="W50" s="165" t="s">
        <v>1834</v>
      </c>
      <c r="X50" s="109" t="s">
        <v>1834</v>
      </c>
      <c r="Y50" s="109" t="s">
        <v>48</v>
      </c>
      <c r="Z50" s="109" t="s">
        <v>48</v>
      </c>
      <c r="AA50" s="109" t="s">
        <v>48</v>
      </c>
      <c r="AB50" s="109" t="s">
        <v>48</v>
      </c>
      <c r="AC50" s="109" t="s">
        <v>48</v>
      </c>
      <c r="AD50" s="166" t="s">
        <v>48</v>
      </c>
      <c r="AE50" s="165" t="s">
        <v>48</v>
      </c>
      <c r="AF50" s="109" t="s">
        <v>48</v>
      </c>
      <c r="AG50" s="109" t="s">
        <v>48</v>
      </c>
      <c r="AH50" s="109" t="s">
        <v>48</v>
      </c>
      <c r="AI50" s="109" t="s">
        <v>48</v>
      </c>
      <c r="AJ50" s="109" t="s">
        <v>48</v>
      </c>
      <c r="AK50" s="166" t="s">
        <v>48</v>
      </c>
      <c r="AL50" s="165" t="s">
        <v>1834</v>
      </c>
      <c r="AM50" s="109" t="s">
        <v>1834</v>
      </c>
      <c r="AN50" s="109" t="s">
        <v>48</v>
      </c>
      <c r="AO50" s="109" t="s">
        <v>48</v>
      </c>
      <c r="AP50" s="109" t="s">
        <v>48</v>
      </c>
      <c r="AQ50" s="109" t="s">
        <v>48</v>
      </c>
      <c r="AR50" s="109" t="s">
        <v>48</v>
      </c>
      <c r="AS50" s="166" t="s">
        <v>1687</v>
      </c>
      <c r="AT50" s="165" t="s">
        <v>48</v>
      </c>
      <c r="AU50" s="109" t="s">
        <v>48</v>
      </c>
      <c r="AV50" s="109" t="s">
        <v>48</v>
      </c>
      <c r="AW50" s="109" t="s">
        <v>48</v>
      </c>
      <c r="AX50" s="109" t="s">
        <v>48</v>
      </c>
      <c r="AY50" s="109" t="s">
        <v>48</v>
      </c>
      <c r="AZ50" s="166" t="s">
        <v>48</v>
      </c>
      <c r="BA50" s="162" t="s">
        <v>48</v>
      </c>
      <c r="BB50" s="109" t="s">
        <v>82</v>
      </c>
      <c r="BC50" s="109" t="s">
        <v>1836</v>
      </c>
    </row>
    <row r="51" spans="1:55" ht="75" hidden="1" customHeight="1">
      <c r="A51" s="109" t="s">
        <v>1583</v>
      </c>
      <c r="B51" s="109" t="s">
        <v>2016</v>
      </c>
      <c r="C51" s="109" t="s">
        <v>1835</v>
      </c>
      <c r="D51" s="109" t="s">
        <v>1834</v>
      </c>
      <c r="E51" s="161">
        <v>15000</v>
      </c>
      <c r="F51" s="165" t="s">
        <v>1834</v>
      </c>
      <c r="G51" s="109" t="s">
        <v>1834</v>
      </c>
      <c r="H51" s="109" t="s">
        <v>48</v>
      </c>
      <c r="I51" s="109" t="s">
        <v>48</v>
      </c>
      <c r="J51" s="109" t="s">
        <v>48</v>
      </c>
      <c r="K51" s="109" t="s">
        <v>48</v>
      </c>
      <c r="L51" s="109" t="s">
        <v>48</v>
      </c>
      <c r="M51" s="166" t="s">
        <v>1687</v>
      </c>
      <c r="N51" s="108" t="s">
        <v>48</v>
      </c>
      <c r="O51" s="109" t="s">
        <v>48</v>
      </c>
      <c r="P51" s="162" t="s">
        <v>48</v>
      </c>
      <c r="Q51" s="109" t="s">
        <v>48</v>
      </c>
      <c r="R51" s="109" t="s">
        <v>48</v>
      </c>
      <c r="S51" s="109" t="s">
        <v>48</v>
      </c>
      <c r="T51" s="109" t="s">
        <v>48</v>
      </c>
      <c r="U51" s="109" t="s">
        <v>48</v>
      </c>
      <c r="V51" s="166" t="s">
        <v>48</v>
      </c>
      <c r="W51" s="165" t="s">
        <v>1834</v>
      </c>
      <c r="X51" s="109" t="s">
        <v>1834</v>
      </c>
      <c r="Y51" s="109" t="s">
        <v>48</v>
      </c>
      <c r="Z51" s="109" t="s">
        <v>48</v>
      </c>
      <c r="AA51" s="109" t="s">
        <v>48</v>
      </c>
      <c r="AB51" s="109" t="s">
        <v>48</v>
      </c>
      <c r="AC51" s="109" t="s">
        <v>48</v>
      </c>
      <c r="AD51" s="166" t="s">
        <v>48</v>
      </c>
      <c r="AE51" s="165" t="s">
        <v>48</v>
      </c>
      <c r="AF51" s="109" t="s">
        <v>48</v>
      </c>
      <c r="AG51" s="109" t="s">
        <v>48</v>
      </c>
      <c r="AH51" s="109" t="s">
        <v>48</v>
      </c>
      <c r="AI51" s="109" t="s">
        <v>48</v>
      </c>
      <c r="AJ51" s="109" t="s">
        <v>48</v>
      </c>
      <c r="AK51" s="166" t="s">
        <v>48</v>
      </c>
      <c r="AL51" s="165" t="s">
        <v>1834</v>
      </c>
      <c r="AM51" s="109" t="s">
        <v>1834</v>
      </c>
      <c r="AN51" s="109" t="s">
        <v>48</v>
      </c>
      <c r="AO51" s="109" t="s">
        <v>48</v>
      </c>
      <c r="AP51" s="109" t="s">
        <v>48</v>
      </c>
      <c r="AQ51" s="109" t="s">
        <v>48</v>
      </c>
      <c r="AR51" s="109" t="s">
        <v>48</v>
      </c>
      <c r="AS51" s="166" t="s">
        <v>1687</v>
      </c>
      <c r="AT51" s="165" t="s">
        <v>48</v>
      </c>
      <c r="AU51" s="109" t="s">
        <v>48</v>
      </c>
      <c r="AV51" s="109" t="s">
        <v>48</v>
      </c>
      <c r="AW51" s="109" t="s">
        <v>48</v>
      </c>
      <c r="AX51" s="109" t="s">
        <v>48</v>
      </c>
      <c r="AY51" s="109" t="s">
        <v>48</v>
      </c>
      <c r="AZ51" s="166" t="s">
        <v>48</v>
      </c>
      <c r="BA51" s="162" t="s">
        <v>48</v>
      </c>
      <c r="BB51" s="109" t="s">
        <v>82</v>
      </c>
      <c r="BC51" s="109" t="s">
        <v>1836</v>
      </c>
    </row>
    <row r="52" spans="1:55" ht="75" hidden="1" customHeight="1">
      <c r="A52" s="109" t="s">
        <v>1115</v>
      </c>
      <c r="B52" s="109" t="s">
        <v>2483</v>
      </c>
      <c r="C52" s="109" t="s">
        <v>1835</v>
      </c>
      <c r="D52" s="109" t="s">
        <v>1834</v>
      </c>
      <c r="E52" s="161">
        <v>15000</v>
      </c>
      <c r="F52" s="165" t="s">
        <v>1834</v>
      </c>
      <c r="G52" s="109" t="s">
        <v>1834</v>
      </c>
      <c r="H52" s="109" t="s">
        <v>48</v>
      </c>
      <c r="I52" s="109" t="s">
        <v>48</v>
      </c>
      <c r="J52" s="109" t="s">
        <v>48</v>
      </c>
      <c r="K52" s="109" t="s">
        <v>48</v>
      </c>
      <c r="L52" s="109" t="s">
        <v>48</v>
      </c>
      <c r="M52" s="166" t="s">
        <v>1687</v>
      </c>
      <c r="N52" s="108" t="s">
        <v>48</v>
      </c>
      <c r="O52" s="109" t="s">
        <v>48</v>
      </c>
      <c r="P52" s="162" t="s">
        <v>48</v>
      </c>
      <c r="Q52" s="109" t="s">
        <v>48</v>
      </c>
      <c r="R52" s="109" t="s">
        <v>48</v>
      </c>
      <c r="S52" s="109" t="s">
        <v>48</v>
      </c>
      <c r="T52" s="109" t="s">
        <v>48</v>
      </c>
      <c r="U52" s="109" t="s">
        <v>48</v>
      </c>
      <c r="V52" s="166" t="s">
        <v>48</v>
      </c>
      <c r="W52" s="165" t="s">
        <v>1834</v>
      </c>
      <c r="X52" s="109" t="s">
        <v>1834</v>
      </c>
      <c r="Y52" s="109" t="s">
        <v>48</v>
      </c>
      <c r="Z52" s="109" t="s">
        <v>48</v>
      </c>
      <c r="AA52" s="109" t="s">
        <v>48</v>
      </c>
      <c r="AB52" s="109" t="s">
        <v>48</v>
      </c>
      <c r="AC52" s="109" t="s">
        <v>48</v>
      </c>
      <c r="AD52" s="166" t="s">
        <v>48</v>
      </c>
      <c r="AE52" s="165" t="s">
        <v>48</v>
      </c>
      <c r="AF52" s="109" t="s">
        <v>48</v>
      </c>
      <c r="AG52" s="109" t="s">
        <v>48</v>
      </c>
      <c r="AH52" s="109" t="s">
        <v>48</v>
      </c>
      <c r="AI52" s="109" t="s">
        <v>48</v>
      </c>
      <c r="AJ52" s="109" t="s">
        <v>48</v>
      </c>
      <c r="AK52" s="166" t="s">
        <v>48</v>
      </c>
      <c r="AL52" s="165" t="s">
        <v>1834</v>
      </c>
      <c r="AM52" s="109" t="s">
        <v>1834</v>
      </c>
      <c r="AN52" s="109" t="s">
        <v>48</v>
      </c>
      <c r="AO52" s="109" t="s">
        <v>48</v>
      </c>
      <c r="AP52" s="109" t="s">
        <v>48</v>
      </c>
      <c r="AQ52" s="109" t="s">
        <v>48</v>
      </c>
      <c r="AR52" s="109" t="s">
        <v>48</v>
      </c>
      <c r="AS52" s="166" t="s">
        <v>1687</v>
      </c>
      <c r="AT52" s="165" t="s">
        <v>48</v>
      </c>
      <c r="AU52" s="109" t="s">
        <v>48</v>
      </c>
      <c r="AV52" s="109" t="s">
        <v>48</v>
      </c>
      <c r="AW52" s="109" t="s">
        <v>48</v>
      </c>
      <c r="AX52" s="109" t="s">
        <v>48</v>
      </c>
      <c r="AY52" s="109" t="s">
        <v>48</v>
      </c>
      <c r="AZ52" s="166" t="s">
        <v>48</v>
      </c>
      <c r="BA52" s="162" t="s">
        <v>48</v>
      </c>
      <c r="BB52" s="109" t="s">
        <v>82</v>
      </c>
      <c r="BC52" s="109" t="s">
        <v>1836</v>
      </c>
    </row>
    <row r="53" spans="1:55" ht="75" customHeight="1">
      <c r="A53" s="109" t="s">
        <v>1118</v>
      </c>
      <c r="B53" s="109" t="s">
        <v>2030</v>
      </c>
      <c r="C53" s="109" t="s">
        <v>1835</v>
      </c>
      <c r="D53" s="109" t="s">
        <v>1834</v>
      </c>
      <c r="E53" s="161">
        <v>15000</v>
      </c>
      <c r="F53" s="165" t="s">
        <v>1834</v>
      </c>
      <c r="G53" s="109" t="s">
        <v>1834</v>
      </c>
      <c r="H53" s="109" t="s">
        <v>48</v>
      </c>
      <c r="I53" s="109" t="s">
        <v>48</v>
      </c>
      <c r="J53" s="109" t="s">
        <v>48</v>
      </c>
      <c r="K53" s="109" t="s">
        <v>48</v>
      </c>
      <c r="L53" s="109" t="s">
        <v>48</v>
      </c>
      <c r="M53" s="166" t="s">
        <v>1687</v>
      </c>
      <c r="N53" s="108" t="s">
        <v>48</v>
      </c>
      <c r="O53" s="109" t="s">
        <v>48</v>
      </c>
      <c r="P53" s="162" t="s">
        <v>48</v>
      </c>
      <c r="Q53" s="109" t="s">
        <v>48</v>
      </c>
      <c r="R53" s="109" t="s">
        <v>48</v>
      </c>
      <c r="S53" s="109" t="s">
        <v>48</v>
      </c>
      <c r="T53" s="109" t="s">
        <v>48</v>
      </c>
      <c r="U53" s="109" t="s">
        <v>48</v>
      </c>
      <c r="V53" s="166" t="s">
        <v>48</v>
      </c>
      <c r="W53" s="165" t="s">
        <v>1834</v>
      </c>
      <c r="X53" s="109" t="s">
        <v>1834</v>
      </c>
      <c r="Y53" s="109" t="s">
        <v>48</v>
      </c>
      <c r="Z53" s="109" t="s">
        <v>48</v>
      </c>
      <c r="AA53" s="109" t="s">
        <v>48</v>
      </c>
      <c r="AB53" s="109" t="s">
        <v>48</v>
      </c>
      <c r="AC53" s="109" t="s">
        <v>48</v>
      </c>
      <c r="AD53" s="166" t="s">
        <v>48</v>
      </c>
      <c r="AE53" s="165" t="s">
        <v>48</v>
      </c>
      <c r="AF53" s="109" t="s">
        <v>48</v>
      </c>
      <c r="AG53" s="109" t="s">
        <v>48</v>
      </c>
      <c r="AH53" s="109" t="s">
        <v>48</v>
      </c>
      <c r="AI53" s="109" t="s">
        <v>48</v>
      </c>
      <c r="AJ53" s="109" t="s">
        <v>48</v>
      </c>
      <c r="AK53" s="166" t="s">
        <v>48</v>
      </c>
      <c r="AL53" s="165" t="s">
        <v>1834</v>
      </c>
      <c r="AM53" s="109" t="s">
        <v>1834</v>
      </c>
      <c r="AN53" s="109" t="s">
        <v>48</v>
      </c>
      <c r="AO53" s="109" t="s">
        <v>48</v>
      </c>
      <c r="AP53" s="109" t="s">
        <v>48</v>
      </c>
      <c r="AQ53" s="109" t="s">
        <v>48</v>
      </c>
      <c r="AR53" s="109" t="s">
        <v>48</v>
      </c>
      <c r="AS53" s="166" t="s">
        <v>1687</v>
      </c>
      <c r="AT53" s="165" t="s">
        <v>48</v>
      </c>
      <c r="AU53" s="109" t="s">
        <v>48</v>
      </c>
      <c r="AV53" s="109" t="s">
        <v>48</v>
      </c>
      <c r="AW53" s="109" t="s">
        <v>48</v>
      </c>
      <c r="AX53" s="109" t="s">
        <v>48</v>
      </c>
      <c r="AY53" s="109" t="s">
        <v>48</v>
      </c>
      <c r="AZ53" s="166" t="s">
        <v>48</v>
      </c>
      <c r="BA53" s="162" t="s">
        <v>48</v>
      </c>
      <c r="BB53" s="109" t="s">
        <v>82</v>
      </c>
      <c r="BC53" s="109" t="s">
        <v>1836</v>
      </c>
    </row>
    <row r="54" spans="1:55" ht="75" hidden="1" customHeight="1">
      <c r="A54" s="109" t="s">
        <v>1115</v>
      </c>
      <c r="B54" s="109" t="s">
        <v>2483</v>
      </c>
      <c r="C54" s="109" t="s">
        <v>787</v>
      </c>
      <c r="D54" s="109" t="s">
        <v>727</v>
      </c>
      <c r="E54" s="161">
        <v>15000</v>
      </c>
      <c r="F54" s="165" t="s">
        <v>1834</v>
      </c>
      <c r="G54" s="109" t="s">
        <v>1834</v>
      </c>
      <c r="H54" s="109" t="s">
        <v>1950</v>
      </c>
      <c r="I54" s="109" t="s">
        <v>1908</v>
      </c>
      <c r="J54" s="109" t="s">
        <v>1708</v>
      </c>
      <c r="K54" s="109" t="s">
        <v>1708</v>
      </c>
      <c r="L54" s="109" t="s">
        <v>1994</v>
      </c>
      <c r="M54" s="166" t="s">
        <v>1687</v>
      </c>
      <c r="N54" s="108" t="s">
        <v>48</v>
      </c>
      <c r="O54" s="109" t="s">
        <v>48</v>
      </c>
      <c r="P54" s="162" t="s">
        <v>48</v>
      </c>
      <c r="Q54" s="109" t="s">
        <v>48</v>
      </c>
      <c r="R54" s="109" t="s">
        <v>48</v>
      </c>
      <c r="S54" s="109" t="s">
        <v>48</v>
      </c>
      <c r="T54" s="109" t="s">
        <v>48</v>
      </c>
      <c r="U54" s="109" t="s">
        <v>48</v>
      </c>
      <c r="V54" s="166" t="s">
        <v>48</v>
      </c>
      <c r="W54" s="165" t="s">
        <v>727</v>
      </c>
      <c r="X54" s="109" t="s">
        <v>727</v>
      </c>
      <c r="Y54" s="109" t="s">
        <v>48</v>
      </c>
      <c r="Z54" s="109" t="s">
        <v>48</v>
      </c>
      <c r="AA54" s="109" t="s">
        <v>48</v>
      </c>
      <c r="AB54" s="109" t="s">
        <v>48</v>
      </c>
      <c r="AC54" s="109" t="s">
        <v>48</v>
      </c>
      <c r="AD54" s="166" t="s">
        <v>48</v>
      </c>
      <c r="AE54" s="174" t="s">
        <v>48</v>
      </c>
      <c r="AF54" s="117" t="s">
        <v>48</v>
      </c>
      <c r="AG54" s="117" t="s">
        <v>48</v>
      </c>
      <c r="AH54" s="109" t="s">
        <v>48</v>
      </c>
      <c r="AI54" s="117" t="s">
        <v>48</v>
      </c>
      <c r="AJ54" s="117" t="s">
        <v>48</v>
      </c>
      <c r="AK54" s="182" t="s">
        <v>48</v>
      </c>
      <c r="AL54" s="165" t="s">
        <v>727</v>
      </c>
      <c r="AM54" s="109" t="s">
        <v>727</v>
      </c>
      <c r="AN54" s="109" t="s">
        <v>48</v>
      </c>
      <c r="AO54" s="109" t="s">
        <v>48</v>
      </c>
      <c r="AP54" s="109" t="s">
        <v>48</v>
      </c>
      <c r="AQ54" s="109" t="s">
        <v>48</v>
      </c>
      <c r="AR54" s="109" t="s">
        <v>48</v>
      </c>
      <c r="AS54" s="166" t="s">
        <v>48</v>
      </c>
      <c r="AT54" s="165" t="s">
        <v>48</v>
      </c>
      <c r="AU54" s="109" t="s">
        <v>48</v>
      </c>
      <c r="AV54" s="109" t="s">
        <v>48</v>
      </c>
      <c r="AW54" s="109" t="s">
        <v>48</v>
      </c>
      <c r="AX54" s="109" t="s">
        <v>48</v>
      </c>
      <c r="AY54" s="109" t="s">
        <v>48</v>
      </c>
      <c r="AZ54" s="166" t="s">
        <v>48</v>
      </c>
      <c r="BA54" s="162" t="s">
        <v>1841</v>
      </c>
      <c r="BB54" s="109" t="s">
        <v>82</v>
      </c>
      <c r="BC54" s="109" t="s">
        <v>1836</v>
      </c>
    </row>
    <row r="55" spans="1:55" ht="75" customHeight="1">
      <c r="A55" s="109" t="s">
        <v>1118</v>
      </c>
      <c r="B55" s="109" t="s">
        <v>2030</v>
      </c>
      <c r="C55" s="109" t="s">
        <v>787</v>
      </c>
      <c r="D55" s="109" t="s">
        <v>727</v>
      </c>
      <c r="E55" s="161">
        <v>15000</v>
      </c>
      <c r="F55" s="165" t="s">
        <v>1834</v>
      </c>
      <c r="G55" s="109" t="s">
        <v>1834</v>
      </c>
      <c r="H55" s="109" t="s">
        <v>1950</v>
      </c>
      <c r="I55" s="109" t="s">
        <v>1908</v>
      </c>
      <c r="J55" s="109" t="s">
        <v>1708</v>
      </c>
      <c r="K55" s="109" t="s">
        <v>1708</v>
      </c>
      <c r="L55" s="109" t="s">
        <v>1994</v>
      </c>
      <c r="M55" s="166" t="s">
        <v>1687</v>
      </c>
      <c r="N55" s="108" t="s">
        <v>48</v>
      </c>
      <c r="O55" s="109" t="s">
        <v>48</v>
      </c>
      <c r="P55" s="162" t="s">
        <v>48</v>
      </c>
      <c r="Q55" s="109" t="s">
        <v>48</v>
      </c>
      <c r="R55" s="109" t="s">
        <v>48</v>
      </c>
      <c r="S55" s="109" t="s">
        <v>48</v>
      </c>
      <c r="T55" s="109" t="s">
        <v>48</v>
      </c>
      <c r="U55" s="109" t="s">
        <v>48</v>
      </c>
      <c r="V55" s="166" t="s">
        <v>48</v>
      </c>
      <c r="W55" s="165" t="s">
        <v>727</v>
      </c>
      <c r="X55" s="109" t="s">
        <v>727</v>
      </c>
      <c r="Y55" s="109" t="s">
        <v>48</v>
      </c>
      <c r="Z55" s="109" t="s">
        <v>48</v>
      </c>
      <c r="AA55" s="109" t="s">
        <v>48</v>
      </c>
      <c r="AB55" s="109" t="s">
        <v>48</v>
      </c>
      <c r="AC55" s="109" t="s">
        <v>48</v>
      </c>
      <c r="AD55" s="166" t="s">
        <v>48</v>
      </c>
      <c r="AE55" s="174" t="s">
        <v>48</v>
      </c>
      <c r="AF55" s="117" t="s">
        <v>48</v>
      </c>
      <c r="AG55" s="117" t="s">
        <v>48</v>
      </c>
      <c r="AH55" s="109" t="s">
        <v>48</v>
      </c>
      <c r="AI55" s="117" t="s">
        <v>48</v>
      </c>
      <c r="AJ55" s="117" t="s">
        <v>48</v>
      </c>
      <c r="AK55" s="182" t="s">
        <v>48</v>
      </c>
      <c r="AL55" s="165" t="s">
        <v>727</v>
      </c>
      <c r="AM55" s="109" t="s">
        <v>727</v>
      </c>
      <c r="AN55" s="109" t="s">
        <v>48</v>
      </c>
      <c r="AO55" s="109" t="s">
        <v>48</v>
      </c>
      <c r="AP55" s="109" t="s">
        <v>48</v>
      </c>
      <c r="AQ55" s="109" t="s">
        <v>48</v>
      </c>
      <c r="AR55" s="109" t="s">
        <v>48</v>
      </c>
      <c r="AS55" s="166" t="s">
        <v>48</v>
      </c>
      <c r="AT55" s="165" t="s">
        <v>48</v>
      </c>
      <c r="AU55" s="109" t="s">
        <v>48</v>
      </c>
      <c r="AV55" s="109" t="s">
        <v>48</v>
      </c>
      <c r="AW55" s="109" t="s">
        <v>48</v>
      </c>
      <c r="AX55" s="109" t="s">
        <v>48</v>
      </c>
      <c r="AY55" s="109" t="s">
        <v>48</v>
      </c>
      <c r="AZ55" s="166" t="s">
        <v>48</v>
      </c>
      <c r="BA55" s="162" t="s">
        <v>1841</v>
      </c>
      <c r="BB55" s="109" t="s">
        <v>82</v>
      </c>
      <c r="BC55" s="109" t="s">
        <v>1836</v>
      </c>
    </row>
    <row r="56" spans="1:55" ht="75" hidden="1" customHeight="1">
      <c r="A56" s="109" t="s">
        <v>1115</v>
      </c>
      <c r="B56" s="109" t="s">
        <v>2483</v>
      </c>
      <c r="C56" s="109" t="s">
        <v>787</v>
      </c>
      <c r="D56" s="109" t="s">
        <v>786</v>
      </c>
      <c r="E56" s="161">
        <v>15000</v>
      </c>
      <c r="F56" s="165" t="s">
        <v>1834</v>
      </c>
      <c r="G56" s="109" t="s">
        <v>1834</v>
      </c>
      <c r="H56" s="109" t="s">
        <v>1950</v>
      </c>
      <c r="I56" s="109" t="s">
        <v>1908</v>
      </c>
      <c r="J56" s="109" t="s">
        <v>1708</v>
      </c>
      <c r="K56" s="109" t="s">
        <v>1708</v>
      </c>
      <c r="L56" s="109" t="s">
        <v>1994</v>
      </c>
      <c r="M56" s="166" t="s">
        <v>1687</v>
      </c>
      <c r="N56" s="108" t="s">
        <v>48</v>
      </c>
      <c r="O56" s="109" t="s">
        <v>48</v>
      </c>
      <c r="P56" s="162" t="s">
        <v>48</v>
      </c>
      <c r="Q56" s="109" t="s">
        <v>48</v>
      </c>
      <c r="R56" s="109" t="s">
        <v>48</v>
      </c>
      <c r="S56" s="109" t="s">
        <v>48</v>
      </c>
      <c r="T56" s="109" t="s">
        <v>48</v>
      </c>
      <c r="U56" s="109" t="s">
        <v>48</v>
      </c>
      <c r="V56" s="166" t="s">
        <v>48</v>
      </c>
      <c r="W56" s="165" t="s">
        <v>786</v>
      </c>
      <c r="X56" s="109" t="s">
        <v>786</v>
      </c>
      <c r="Y56" s="109" t="s">
        <v>48</v>
      </c>
      <c r="Z56" s="109" t="s">
        <v>48</v>
      </c>
      <c r="AA56" s="109" t="s">
        <v>48</v>
      </c>
      <c r="AB56" s="109" t="s">
        <v>48</v>
      </c>
      <c r="AC56" s="109" t="s">
        <v>48</v>
      </c>
      <c r="AD56" s="166" t="s">
        <v>48</v>
      </c>
      <c r="AE56" s="174" t="s">
        <v>48</v>
      </c>
      <c r="AF56" s="117" t="s">
        <v>48</v>
      </c>
      <c r="AG56" s="117" t="s">
        <v>48</v>
      </c>
      <c r="AH56" s="109" t="s">
        <v>48</v>
      </c>
      <c r="AI56" s="117" t="s">
        <v>48</v>
      </c>
      <c r="AJ56" s="117" t="s">
        <v>48</v>
      </c>
      <c r="AK56" s="182" t="s">
        <v>48</v>
      </c>
      <c r="AL56" s="165" t="s">
        <v>786</v>
      </c>
      <c r="AM56" s="109" t="s">
        <v>786</v>
      </c>
      <c r="AN56" s="109" t="s">
        <v>48</v>
      </c>
      <c r="AO56" s="109" t="s">
        <v>48</v>
      </c>
      <c r="AP56" s="109" t="s">
        <v>48</v>
      </c>
      <c r="AQ56" s="109" t="s">
        <v>48</v>
      </c>
      <c r="AR56" s="109" t="s">
        <v>48</v>
      </c>
      <c r="AS56" s="166" t="s">
        <v>48</v>
      </c>
      <c r="AT56" s="165" t="s">
        <v>48</v>
      </c>
      <c r="AU56" s="109" t="s">
        <v>48</v>
      </c>
      <c r="AV56" s="109" t="s">
        <v>48</v>
      </c>
      <c r="AW56" s="109" t="s">
        <v>48</v>
      </c>
      <c r="AX56" s="109" t="s">
        <v>48</v>
      </c>
      <c r="AY56" s="109" t="s">
        <v>48</v>
      </c>
      <c r="AZ56" s="166" t="s">
        <v>48</v>
      </c>
      <c r="BA56" s="162" t="s">
        <v>1841</v>
      </c>
      <c r="BB56" s="109" t="s">
        <v>82</v>
      </c>
      <c r="BC56" s="109" t="s">
        <v>1836</v>
      </c>
    </row>
    <row r="57" spans="1:55" ht="75" customHeight="1">
      <c r="A57" s="109" t="s">
        <v>1118</v>
      </c>
      <c r="B57" s="109" t="s">
        <v>2030</v>
      </c>
      <c r="C57" s="109" t="s">
        <v>787</v>
      </c>
      <c r="D57" s="109" t="s">
        <v>786</v>
      </c>
      <c r="E57" s="161">
        <v>15000</v>
      </c>
      <c r="F57" s="165" t="s">
        <v>1834</v>
      </c>
      <c r="G57" s="109" t="s">
        <v>1834</v>
      </c>
      <c r="H57" s="109" t="s">
        <v>1950</v>
      </c>
      <c r="I57" s="109" t="s">
        <v>1908</v>
      </c>
      <c r="J57" s="109" t="s">
        <v>1708</v>
      </c>
      <c r="K57" s="109" t="s">
        <v>1708</v>
      </c>
      <c r="L57" s="109" t="s">
        <v>1994</v>
      </c>
      <c r="M57" s="166" t="s">
        <v>1687</v>
      </c>
      <c r="N57" s="108" t="s">
        <v>48</v>
      </c>
      <c r="O57" s="109" t="s">
        <v>48</v>
      </c>
      <c r="P57" s="162" t="s">
        <v>48</v>
      </c>
      <c r="Q57" s="109" t="s">
        <v>48</v>
      </c>
      <c r="R57" s="109" t="s">
        <v>48</v>
      </c>
      <c r="S57" s="109" t="s">
        <v>48</v>
      </c>
      <c r="T57" s="109" t="s">
        <v>48</v>
      </c>
      <c r="U57" s="109" t="s">
        <v>48</v>
      </c>
      <c r="V57" s="166" t="s">
        <v>48</v>
      </c>
      <c r="W57" s="165" t="s">
        <v>786</v>
      </c>
      <c r="X57" s="109" t="s">
        <v>786</v>
      </c>
      <c r="Y57" s="109" t="s">
        <v>48</v>
      </c>
      <c r="Z57" s="109" t="s">
        <v>48</v>
      </c>
      <c r="AA57" s="109" t="s">
        <v>48</v>
      </c>
      <c r="AB57" s="109" t="s">
        <v>48</v>
      </c>
      <c r="AC57" s="109" t="s">
        <v>48</v>
      </c>
      <c r="AD57" s="166" t="s">
        <v>48</v>
      </c>
      <c r="AE57" s="174" t="s">
        <v>48</v>
      </c>
      <c r="AF57" s="117" t="s">
        <v>48</v>
      </c>
      <c r="AG57" s="117" t="s">
        <v>48</v>
      </c>
      <c r="AH57" s="109" t="s">
        <v>48</v>
      </c>
      <c r="AI57" s="117" t="s">
        <v>48</v>
      </c>
      <c r="AJ57" s="117" t="s">
        <v>48</v>
      </c>
      <c r="AK57" s="182" t="s">
        <v>48</v>
      </c>
      <c r="AL57" s="165" t="s">
        <v>786</v>
      </c>
      <c r="AM57" s="109" t="s">
        <v>786</v>
      </c>
      <c r="AN57" s="109" t="s">
        <v>48</v>
      </c>
      <c r="AO57" s="109" t="s">
        <v>48</v>
      </c>
      <c r="AP57" s="109" t="s">
        <v>48</v>
      </c>
      <c r="AQ57" s="109" t="s">
        <v>48</v>
      </c>
      <c r="AR57" s="109" t="s">
        <v>48</v>
      </c>
      <c r="AS57" s="166" t="s">
        <v>48</v>
      </c>
      <c r="AT57" s="165" t="s">
        <v>48</v>
      </c>
      <c r="AU57" s="109" t="s">
        <v>48</v>
      </c>
      <c r="AV57" s="109" t="s">
        <v>48</v>
      </c>
      <c r="AW57" s="109" t="s">
        <v>48</v>
      </c>
      <c r="AX57" s="109" t="s">
        <v>48</v>
      </c>
      <c r="AY57" s="109" t="s">
        <v>48</v>
      </c>
      <c r="AZ57" s="166" t="s">
        <v>48</v>
      </c>
      <c r="BA57" s="162" t="s">
        <v>1841</v>
      </c>
      <c r="BB57" s="109" t="s">
        <v>82</v>
      </c>
      <c r="BC57" s="109" t="s">
        <v>1836</v>
      </c>
    </row>
    <row r="58" spans="1:55" ht="75" hidden="1" customHeight="1">
      <c r="A58" s="109" t="s">
        <v>1115</v>
      </c>
      <c r="B58" s="109" t="s">
        <v>2478</v>
      </c>
      <c r="C58" s="109" t="s">
        <v>1820</v>
      </c>
      <c r="D58" s="109" t="s">
        <v>1819</v>
      </c>
      <c r="E58" s="161">
        <v>15000</v>
      </c>
      <c r="F58" s="165" t="s">
        <v>1819</v>
      </c>
      <c r="G58" s="109" t="s">
        <v>1819</v>
      </c>
      <c r="H58" s="109" t="s">
        <v>48</v>
      </c>
      <c r="I58" s="109" t="s">
        <v>48</v>
      </c>
      <c r="J58" s="109" t="s">
        <v>48</v>
      </c>
      <c r="K58" s="109" t="s">
        <v>48</v>
      </c>
      <c r="L58" s="109" t="s">
        <v>48</v>
      </c>
      <c r="M58" s="166" t="s">
        <v>1687</v>
      </c>
      <c r="N58" s="108" t="s">
        <v>48</v>
      </c>
      <c r="O58" s="109" t="s">
        <v>48</v>
      </c>
      <c r="P58" s="162" t="s">
        <v>48</v>
      </c>
      <c r="Q58" s="109" t="s">
        <v>48</v>
      </c>
      <c r="R58" s="109" t="s">
        <v>48</v>
      </c>
      <c r="S58" s="109" t="s">
        <v>48</v>
      </c>
      <c r="T58" s="109" t="s">
        <v>48</v>
      </c>
      <c r="U58" s="109" t="s">
        <v>48</v>
      </c>
      <c r="V58" s="166" t="s">
        <v>48</v>
      </c>
      <c r="W58" s="165" t="s">
        <v>1819</v>
      </c>
      <c r="X58" s="109" t="s">
        <v>1819</v>
      </c>
      <c r="Y58" s="109" t="s">
        <v>48</v>
      </c>
      <c r="Z58" s="109" t="s">
        <v>48</v>
      </c>
      <c r="AA58" s="109" t="s">
        <v>48</v>
      </c>
      <c r="AB58" s="109" t="s">
        <v>48</v>
      </c>
      <c r="AC58" s="109" t="s">
        <v>48</v>
      </c>
      <c r="AD58" s="166" t="s">
        <v>48</v>
      </c>
      <c r="AE58" s="165" t="s">
        <v>48</v>
      </c>
      <c r="AF58" s="109" t="s">
        <v>48</v>
      </c>
      <c r="AG58" s="109" t="s">
        <v>48</v>
      </c>
      <c r="AH58" s="109" t="s">
        <v>48</v>
      </c>
      <c r="AI58" s="109" t="s">
        <v>48</v>
      </c>
      <c r="AJ58" s="109" t="s">
        <v>48</v>
      </c>
      <c r="AK58" s="166" t="s">
        <v>48</v>
      </c>
      <c r="AL58" s="165" t="s">
        <v>1819</v>
      </c>
      <c r="AM58" s="109" t="s">
        <v>1819</v>
      </c>
      <c r="AN58" s="109" t="s">
        <v>48</v>
      </c>
      <c r="AO58" s="109" t="s">
        <v>48</v>
      </c>
      <c r="AP58" s="109" t="s">
        <v>48</v>
      </c>
      <c r="AQ58" s="109" t="s">
        <v>48</v>
      </c>
      <c r="AR58" s="109" t="s">
        <v>48</v>
      </c>
      <c r="AS58" s="166" t="s">
        <v>1687</v>
      </c>
      <c r="AT58" s="165" t="s">
        <v>48</v>
      </c>
      <c r="AU58" s="109" t="s">
        <v>48</v>
      </c>
      <c r="AV58" s="109" t="s">
        <v>48</v>
      </c>
      <c r="AW58" s="109" t="s">
        <v>48</v>
      </c>
      <c r="AX58" s="109" t="s">
        <v>48</v>
      </c>
      <c r="AY58" s="109" t="s">
        <v>48</v>
      </c>
      <c r="AZ58" s="166" t="s">
        <v>48</v>
      </c>
      <c r="BA58" s="162" t="s">
        <v>48</v>
      </c>
      <c r="BB58" s="109" t="s">
        <v>82</v>
      </c>
      <c r="BC58" s="109" t="s">
        <v>1822</v>
      </c>
    </row>
    <row r="59" spans="1:55" ht="75" customHeight="1">
      <c r="A59" s="109" t="s">
        <v>1118</v>
      </c>
      <c r="B59" s="109" t="s">
        <v>2476</v>
      </c>
      <c r="C59" s="109" t="s">
        <v>1820</v>
      </c>
      <c r="D59" s="109" t="s">
        <v>1819</v>
      </c>
      <c r="E59" s="161">
        <v>15000</v>
      </c>
      <c r="F59" s="165" t="s">
        <v>1819</v>
      </c>
      <c r="G59" s="109" t="s">
        <v>1819</v>
      </c>
      <c r="H59" s="109" t="s">
        <v>48</v>
      </c>
      <c r="I59" s="109" t="s">
        <v>48</v>
      </c>
      <c r="J59" s="109" t="s">
        <v>48</v>
      </c>
      <c r="K59" s="109" t="s">
        <v>48</v>
      </c>
      <c r="L59" s="109" t="s">
        <v>48</v>
      </c>
      <c r="M59" s="166" t="s">
        <v>1687</v>
      </c>
      <c r="N59" s="108" t="s">
        <v>48</v>
      </c>
      <c r="O59" s="109" t="s">
        <v>48</v>
      </c>
      <c r="P59" s="162" t="s">
        <v>48</v>
      </c>
      <c r="Q59" s="109" t="s">
        <v>48</v>
      </c>
      <c r="R59" s="109" t="s">
        <v>48</v>
      </c>
      <c r="S59" s="109" t="s">
        <v>48</v>
      </c>
      <c r="T59" s="109" t="s">
        <v>48</v>
      </c>
      <c r="U59" s="109" t="s">
        <v>48</v>
      </c>
      <c r="V59" s="166" t="s">
        <v>48</v>
      </c>
      <c r="W59" s="165" t="s">
        <v>1819</v>
      </c>
      <c r="X59" s="109" t="s">
        <v>1819</v>
      </c>
      <c r="Y59" s="109" t="s">
        <v>48</v>
      </c>
      <c r="Z59" s="109" t="s">
        <v>48</v>
      </c>
      <c r="AA59" s="109" t="s">
        <v>48</v>
      </c>
      <c r="AB59" s="109" t="s">
        <v>48</v>
      </c>
      <c r="AC59" s="109" t="s">
        <v>48</v>
      </c>
      <c r="AD59" s="166" t="s">
        <v>48</v>
      </c>
      <c r="AE59" s="165" t="s">
        <v>48</v>
      </c>
      <c r="AF59" s="109" t="s">
        <v>48</v>
      </c>
      <c r="AG59" s="109" t="s">
        <v>48</v>
      </c>
      <c r="AH59" s="109" t="s">
        <v>48</v>
      </c>
      <c r="AI59" s="109" t="s">
        <v>48</v>
      </c>
      <c r="AJ59" s="109" t="s">
        <v>48</v>
      </c>
      <c r="AK59" s="166" t="s">
        <v>48</v>
      </c>
      <c r="AL59" s="165" t="s">
        <v>1819</v>
      </c>
      <c r="AM59" s="109" t="s">
        <v>1819</v>
      </c>
      <c r="AN59" s="109" t="s">
        <v>48</v>
      </c>
      <c r="AO59" s="109" t="s">
        <v>48</v>
      </c>
      <c r="AP59" s="109" t="s">
        <v>48</v>
      </c>
      <c r="AQ59" s="109" t="s">
        <v>48</v>
      </c>
      <c r="AR59" s="109" t="s">
        <v>48</v>
      </c>
      <c r="AS59" s="166" t="s">
        <v>1687</v>
      </c>
      <c r="AT59" s="165" t="s">
        <v>48</v>
      </c>
      <c r="AU59" s="109" t="s">
        <v>48</v>
      </c>
      <c r="AV59" s="109" t="s">
        <v>48</v>
      </c>
      <c r="AW59" s="109" t="s">
        <v>48</v>
      </c>
      <c r="AX59" s="109" t="s">
        <v>48</v>
      </c>
      <c r="AY59" s="109" t="s">
        <v>48</v>
      </c>
      <c r="AZ59" s="166" t="s">
        <v>48</v>
      </c>
      <c r="BA59" s="162" t="s">
        <v>48</v>
      </c>
      <c r="BB59" s="109" t="s">
        <v>82</v>
      </c>
      <c r="BC59" s="109" t="s">
        <v>1822</v>
      </c>
    </row>
    <row r="60" spans="1:55" ht="75" hidden="1" customHeight="1">
      <c r="A60" s="109" t="s">
        <v>1115</v>
      </c>
      <c r="B60" s="109" t="s">
        <v>2478</v>
      </c>
      <c r="C60" s="109" t="s">
        <v>1171</v>
      </c>
      <c r="D60" s="109" t="s">
        <v>448</v>
      </c>
      <c r="E60" s="161">
        <v>15000</v>
      </c>
      <c r="F60" s="165" t="s">
        <v>1819</v>
      </c>
      <c r="G60" s="109" t="s">
        <v>1819</v>
      </c>
      <c r="H60" s="109" t="s">
        <v>1952</v>
      </c>
      <c r="I60" s="109" t="s">
        <v>1908</v>
      </c>
      <c r="J60" s="109" t="s">
        <v>1708</v>
      </c>
      <c r="K60" s="109" t="s">
        <v>1708</v>
      </c>
      <c r="L60" s="109" t="s">
        <v>1995</v>
      </c>
      <c r="M60" s="166" t="s">
        <v>1687</v>
      </c>
      <c r="N60" s="108" t="s">
        <v>48</v>
      </c>
      <c r="O60" s="109" t="s">
        <v>48</v>
      </c>
      <c r="P60" s="162" t="s">
        <v>48</v>
      </c>
      <c r="Q60" s="109" t="s">
        <v>48</v>
      </c>
      <c r="R60" s="109" t="s">
        <v>48</v>
      </c>
      <c r="S60" s="109" t="s">
        <v>48</v>
      </c>
      <c r="T60" s="109" t="s">
        <v>48</v>
      </c>
      <c r="U60" s="109" t="s">
        <v>48</v>
      </c>
      <c r="V60" s="166" t="s">
        <v>48</v>
      </c>
      <c r="W60" s="165" t="s">
        <v>448</v>
      </c>
      <c r="X60" s="109" t="s">
        <v>448</v>
      </c>
      <c r="Y60" s="109" t="s">
        <v>48</v>
      </c>
      <c r="Z60" s="109" t="s">
        <v>48</v>
      </c>
      <c r="AA60" s="109" t="s">
        <v>48</v>
      </c>
      <c r="AB60" s="109" t="s">
        <v>48</v>
      </c>
      <c r="AC60" s="109" t="s">
        <v>48</v>
      </c>
      <c r="AD60" s="166" t="s">
        <v>48</v>
      </c>
      <c r="AE60" s="174" t="s">
        <v>48</v>
      </c>
      <c r="AF60" s="117" t="s">
        <v>48</v>
      </c>
      <c r="AG60" s="117" t="s">
        <v>48</v>
      </c>
      <c r="AH60" s="109" t="s">
        <v>48</v>
      </c>
      <c r="AI60" s="117" t="s">
        <v>48</v>
      </c>
      <c r="AJ60" s="117" t="s">
        <v>48</v>
      </c>
      <c r="AK60" s="182" t="s">
        <v>48</v>
      </c>
      <c r="AL60" s="165" t="s">
        <v>448</v>
      </c>
      <c r="AM60" s="109" t="s">
        <v>448</v>
      </c>
      <c r="AN60" s="109" t="s">
        <v>48</v>
      </c>
      <c r="AO60" s="109" t="s">
        <v>48</v>
      </c>
      <c r="AP60" s="109" t="s">
        <v>48</v>
      </c>
      <c r="AQ60" s="109" t="s">
        <v>48</v>
      </c>
      <c r="AR60" s="109" t="s">
        <v>48</v>
      </c>
      <c r="AS60" s="166" t="s">
        <v>48</v>
      </c>
      <c r="AT60" s="165" t="s">
        <v>48</v>
      </c>
      <c r="AU60" s="109" t="s">
        <v>48</v>
      </c>
      <c r="AV60" s="109" t="s">
        <v>48</v>
      </c>
      <c r="AW60" s="109" t="s">
        <v>48</v>
      </c>
      <c r="AX60" s="109" t="s">
        <v>48</v>
      </c>
      <c r="AY60" s="109" t="s">
        <v>48</v>
      </c>
      <c r="AZ60" s="166" t="s">
        <v>48</v>
      </c>
      <c r="BA60" s="162" t="s">
        <v>1816</v>
      </c>
      <c r="BB60" s="109" t="s">
        <v>82</v>
      </c>
      <c r="BC60" s="109" t="s">
        <v>1822</v>
      </c>
    </row>
    <row r="61" spans="1:55" ht="75" customHeight="1">
      <c r="A61" s="109" t="s">
        <v>1118</v>
      </c>
      <c r="B61" s="109" t="s">
        <v>2476</v>
      </c>
      <c r="C61" s="109" t="s">
        <v>1171</v>
      </c>
      <c r="D61" s="109" t="s">
        <v>448</v>
      </c>
      <c r="E61" s="161">
        <v>15000</v>
      </c>
      <c r="F61" s="165" t="s">
        <v>1819</v>
      </c>
      <c r="G61" s="109" t="s">
        <v>1819</v>
      </c>
      <c r="H61" s="109" t="s">
        <v>1952</v>
      </c>
      <c r="I61" s="109" t="s">
        <v>1908</v>
      </c>
      <c r="J61" s="109" t="s">
        <v>1708</v>
      </c>
      <c r="K61" s="109" t="s">
        <v>1708</v>
      </c>
      <c r="L61" s="109" t="s">
        <v>1995</v>
      </c>
      <c r="M61" s="166" t="s">
        <v>1687</v>
      </c>
      <c r="N61" s="108" t="s">
        <v>48</v>
      </c>
      <c r="O61" s="109" t="s">
        <v>48</v>
      </c>
      <c r="P61" s="162" t="s">
        <v>48</v>
      </c>
      <c r="Q61" s="109" t="s">
        <v>48</v>
      </c>
      <c r="R61" s="109" t="s">
        <v>48</v>
      </c>
      <c r="S61" s="109" t="s">
        <v>48</v>
      </c>
      <c r="T61" s="109" t="s">
        <v>48</v>
      </c>
      <c r="U61" s="109" t="s">
        <v>48</v>
      </c>
      <c r="V61" s="166" t="s">
        <v>48</v>
      </c>
      <c r="W61" s="165" t="s">
        <v>448</v>
      </c>
      <c r="X61" s="109" t="s">
        <v>448</v>
      </c>
      <c r="Y61" s="109" t="s">
        <v>48</v>
      </c>
      <c r="Z61" s="109" t="s">
        <v>48</v>
      </c>
      <c r="AA61" s="109" t="s">
        <v>48</v>
      </c>
      <c r="AB61" s="109" t="s">
        <v>48</v>
      </c>
      <c r="AC61" s="109" t="s">
        <v>48</v>
      </c>
      <c r="AD61" s="166" t="s">
        <v>48</v>
      </c>
      <c r="AE61" s="174" t="s">
        <v>48</v>
      </c>
      <c r="AF61" s="117" t="s">
        <v>48</v>
      </c>
      <c r="AG61" s="117" t="s">
        <v>48</v>
      </c>
      <c r="AH61" s="109" t="s">
        <v>48</v>
      </c>
      <c r="AI61" s="117" t="s">
        <v>48</v>
      </c>
      <c r="AJ61" s="117" t="s">
        <v>48</v>
      </c>
      <c r="AK61" s="182" t="s">
        <v>48</v>
      </c>
      <c r="AL61" s="165" t="s">
        <v>448</v>
      </c>
      <c r="AM61" s="109" t="s">
        <v>448</v>
      </c>
      <c r="AN61" s="109" t="s">
        <v>48</v>
      </c>
      <c r="AO61" s="109" t="s">
        <v>48</v>
      </c>
      <c r="AP61" s="109" t="s">
        <v>48</v>
      </c>
      <c r="AQ61" s="109" t="s">
        <v>48</v>
      </c>
      <c r="AR61" s="109" t="s">
        <v>48</v>
      </c>
      <c r="AS61" s="166" t="s">
        <v>48</v>
      </c>
      <c r="AT61" s="165" t="s">
        <v>48</v>
      </c>
      <c r="AU61" s="109" t="s">
        <v>48</v>
      </c>
      <c r="AV61" s="109" t="s">
        <v>48</v>
      </c>
      <c r="AW61" s="109" t="s">
        <v>48</v>
      </c>
      <c r="AX61" s="109" t="s">
        <v>48</v>
      </c>
      <c r="AY61" s="109" t="s">
        <v>48</v>
      </c>
      <c r="AZ61" s="166" t="s">
        <v>48</v>
      </c>
      <c r="BA61" s="162" t="s">
        <v>1816</v>
      </c>
      <c r="BB61" s="109" t="s">
        <v>82</v>
      </c>
      <c r="BC61" s="109" t="s">
        <v>1822</v>
      </c>
    </row>
    <row r="62" spans="1:55" ht="75" hidden="1" customHeight="1">
      <c r="A62" s="109" t="s">
        <v>1115</v>
      </c>
      <c r="B62" s="109" t="s">
        <v>2478</v>
      </c>
      <c r="C62" s="109" t="s">
        <v>1171</v>
      </c>
      <c r="D62" s="109" t="s">
        <v>725</v>
      </c>
      <c r="E62" s="161">
        <v>15000</v>
      </c>
      <c r="F62" s="165" t="s">
        <v>1819</v>
      </c>
      <c r="G62" s="109" t="s">
        <v>1819</v>
      </c>
      <c r="H62" s="109" t="s">
        <v>1952</v>
      </c>
      <c r="I62" s="109" t="s">
        <v>1908</v>
      </c>
      <c r="J62" s="109" t="s">
        <v>1708</v>
      </c>
      <c r="K62" s="109" t="s">
        <v>1708</v>
      </c>
      <c r="L62" s="109" t="s">
        <v>1995</v>
      </c>
      <c r="M62" s="166" t="s">
        <v>1687</v>
      </c>
      <c r="N62" s="108" t="s">
        <v>48</v>
      </c>
      <c r="O62" s="109" t="s">
        <v>48</v>
      </c>
      <c r="P62" s="162" t="s">
        <v>48</v>
      </c>
      <c r="Q62" s="109" t="s">
        <v>48</v>
      </c>
      <c r="R62" s="109" t="s">
        <v>48</v>
      </c>
      <c r="S62" s="109" t="s">
        <v>48</v>
      </c>
      <c r="T62" s="109" t="s">
        <v>48</v>
      </c>
      <c r="U62" s="109" t="s">
        <v>48</v>
      </c>
      <c r="V62" s="166" t="s">
        <v>48</v>
      </c>
      <c r="W62" s="165" t="s">
        <v>725</v>
      </c>
      <c r="X62" s="109" t="s">
        <v>725</v>
      </c>
      <c r="Y62" s="109" t="s">
        <v>48</v>
      </c>
      <c r="Z62" s="109" t="s">
        <v>48</v>
      </c>
      <c r="AA62" s="109" t="s">
        <v>48</v>
      </c>
      <c r="AB62" s="109" t="s">
        <v>48</v>
      </c>
      <c r="AC62" s="109" t="s">
        <v>48</v>
      </c>
      <c r="AD62" s="166" t="s">
        <v>48</v>
      </c>
      <c r="AE62" s="174" t="s">
        <v>48</v>
      </c>
      <c r="AF62" s="117" t="s">
        <v>48</v>
      </c>
      <c r="AG62" s="117" t="s">
        <v>48</v>
      </c>
      <c r="AH62" s="109" t="s">
        <v>48</v>
      </c>
      <c r="AI62" s="117" t="s">
        <v>48</v>
      </c>
      <c r="AJ62" s="117" t="s">
        <v>48</v>
      </c>
      <c r="AK62" s="182" t="s">
        <v>48</v>
      </c>
      <c r="AL62" s="165" t="s">
        <v>725</v>
      </c>
      <c r="AM62" s="109" t="s">
        <v>725</v>
      </c>
      <c r="AN62" s="109" t="s">
        <v>48</v>
      </c>
      <c r="AO62" s="109" t="s">
        <v>48</v>
      </c>
      <c r="AP62" s="109" t="s">
        <v>48</v>
      </c>
      <c r="AQ62" s="109" t="s">
        <v>48</v>
      </c>
      <c r="AR62" s="109" t="s">
        <v>48</v>
      </c>
      <c r="AS62" s="166" t="s">
        <v>48</v>
      </c>
      <c r="AT62" s="165" t="s">
        <v>48</v>
      </c>
      <c r="AU62" s="109" t="s">
        <v>48</v>
      </c>
      <c r="AV62" s="109" t="s">
        <v>48</v>
      </c>
      <c r="AW62" s="109" t="s">
        <v>48</v>
      </c>
      <c r="AX62" s="109" t="s">
        <v>48</v>
      </c>
      <c r="AY62" s="109" t="s">
        <v>48</v>
      </c>
      <c r="AZ62" s="166" t="s">
        <v>48</v>
      </c>
      <c r="BA62" s="162" t="s">
        <v>1816</v>
      </c>
      <c r="BB62" s="109" t="s">
        <v>82</v>
      </c>
      <c r="BC62" s="109" t="s">
        <v>1822</v>
      </c>
    </row>
    <row r="63" spans="1:55" ht="75" customHeight="1">
      <c r="A63" s="109" t="s">
        <v>1118</v>
      </c>
      <c r="B63" s="109" t="s">
        <v>2476</v>
      </c>
      <c r="C63" s="109" t="s">
        <v>1171</v>
      </c>
      <c r="D63" s="109" t="s">
        <v>725</v>
      </c>
      <c r="E63" s="161">
        <v>15000</v>
      </c>
      <c r="F63" s="165" t="s">
        <v>1819</v>
      </c>
      <c r="G63" s="109" t="s">
        <v>1819</v>
      </c>
      <c r="H63" s="109" t="s">
        <v>1952</v>
      </c>
      <c r="I63" s="109" t="s">
        <v>1908</v>
      </c>
      <c r="J63" s="109" t="s">
        <v>1708</v>
      </c>
      <c r="K63" s="109" t="s">
        <v>1708</v>
      </c>
      <c r="L63" s="109" t="s">
        <v>1995</v>
      </c>
      <c r="M63" s="166" t="s">
        <v>1687</v>
      </c>
      <c r="N63" s="108" t="s">
        <v>48</v>
      </c>
      <c r="O63" s="109" t="s">
        <v>48</v>
      </c>
      <c r="P63" s="162" t="s">
        <v>48</v>
      </c>
      <c r="Q63" s="109" t="s">
        <v>48</v>
      </c>
      <c r="R63" s="109" t="s">
        <v>48</v>
      </c>
      <c r="S63" s="109" t="s">
        <v>48</v>
      </c>
      <c r="T63" s="109" t="s">
        <v>48</v>
      </c>
      <c r="U63" s="109" t="s">
        <v>48</v>
      </c>
      <c r="V63" s="166" t="s">
        <v>48</v>
      </c>
      <c r="W63" s="165" t="s">
        <v>725</v>
      </c>
      <c r="X63" s="109" t="s">
        <v>725</v>
      </c>
      <c r="Y63" s="109" t="s">
        <v>48</v>
      </c>
      <c r="Z63" s="109" t="s">
        <v>48</v>
      </c>
      <c r="AA63" s="109" t="s">
        <v>48</v>
      </c>
      <c r="AB63" s="109" t="s">
        <v>48</v>
      </c>
      <c r="AC63" s="109" t="s">
        <v>48</v>
      </c>
      <c r="AD63" s="166" t="s">
        <v>48</v>
      </c>
      <c r="AE63" s="174" t="s">
        <v>48</v>
      </c>
      <c r="AF63" s="117" t="s">
        <v>48</v>
      </c>
      <c r="AG63" s="117" t="s">
        <v>48</v>
      </c>
      <c r="AH63" s="109" t="s">
        <v>48</v>
      </c>
      <c r="AI63" s="117" t="s">
        <v>48</v>
      </c>
      <c r="AJ63" s="117" t="s">
        <v>48</v>
      </c>
      <c r="AK63" s="182" t="s">
        <v>48</v>
      </c>
      <c r="AL63" s="165" t="s">
        <v>725</v>
      </c>
      <c r="AM63" s="109" t="s">
        <v>725</v>
      </c>
      <c r="AN63" s="109" t="s">
        <v>48</v>
      </c>
      <c r="AO63" s="109" t="s">
        <v>48</v>
      </c>
      <c r="AP63" s="109" t="s">
        <v>48</v>
      </c>
      <c r="AQ63" s="109" t="s">
        <v>48</v>
      </c>
      <c r="AR63" s="109" t="s">
        <v>48</v>
      </c>
      <c r="AS63" s="166" t="s">
        <v>48</v>
      </c>
      <c r="AT63" s="165" t="s">
        <v>48</v>
      </c>
      <c r="AU63" s="109" t="s">
        <v>48</v>
      </c>
      <c r="AV63" s="109" t="s">
        <v>48</v>
      </c>
      <c r="AW63" s="109" t="s">
        <v>48</v>
      </c>
      <c r="AX63" s="109" t="s">
        <v>48</v>
      </c>
      <c r="AY63" s="109" t="s">
        <v>48</v>
      </c>
      <c r="AZ63" s="166" t="s">
        <v>48</v>
      </c>
      <c r="BA63" s="162" t="s">
        <v>1816</v>
      </c>
      <c r="BB63" s="109" t="s">
        <v>82</v>
      </c>
      <c r="BC63" s="109" t="s">
        <v>1822</v>
      </c>
    </row>
    <row r="64" spans="1:55" ht="75" hidden="1" customHeight="1">
      <c r="A64" s="109" t="s">
        <v>1115</v>
      </c>
      <c r="B64" s="109" t="s">
        <v>2478</v>
      </c>
      <c r="C64" s="109" t="s">
        <v>1171</v>
      </c>
      <c r="D64" s="109" t="s">
        <v>531</v>
      </c>
      <c r="E64" s="161">
        <v>15000</v>
      </c>
      <c r="F64" s="165" t="s">
        <v>1819</v>
      </c>
      <c r="G64" s="109" t="s">
        <v>1819</v>
      </c>
      <c r="H64" s="109" t="s">
        <v>1952</v>
      </c>
      <c r="I64" s="109" t="s">
        <v>1908</v>
      </c>
      <c r="J64" s="109" t="s">
        <v>1708</v>
      </c>
      <c r="K64" s="109" t="s">
        <v>1708</v>
      </c>
      <c r="L64" s="109" t="s">
        <v>1995</v>
      </c>
      <c r="M64" s="166" t="s">
        <v>1687</v>
      </c>
      <c r="N64" s="108" t="s">
        <v>48</v>
      </c>
      <c r="O64" s="109" t="s">
        <v>48</v>
      </c>
      <c r="P64" s="162" t="s">
        <v>48</v>
      </c>
      <c r="Q64" s="109" t="s">
        <v>48</v>
      </c>
      <c r="R64" s="109" t="s">
        <v>48</v>
      </c>
      <c r="S64" s="109" t="s">
        <v>48</v>
      </c>
      <c r="T64" s="109" t="s">
        <v>48</v>
      </c>
      <c r="U64" s="109" t="s">
        <v>48</v>
      </c>
      <c r="V64" s="166" t="s">
        <v>48</v>
      </c>
      <c r="W64" s="165" t="s">
        <v>531</v>
      </c>
      <c r="X64" s="109" t="s">
        <v>531</v>
      </c>
      <c r="Y64" s="109" t="s">
        <v>48</v>
      </c>
      <c r="Z64" s="109" t="s">
        <v>48</v>
      </c>
      <c r="AA64" s="109" t="s">
        <v>48</v>
      </c>
      <c r="AB64" s="109" t="s">
        <v>48</v>
      </c>
      <c r="AC64" s="109" t="s">
        <v>48</v>
      </c>
      <c r="AD64" s="166" t="s">
        <v>48</v>
      </c>
      <c r="AE64" s="174" t="s">
        <v>48</v>
      </c>
      <c r="AF64" s="117" t="s">
        <v>48</v>
      </c>
      <c r="AG64" s="117" t="s">
        <v>48</v>
      </c>
      <c r="AH64" s="109" t="s">
        <v>48</v>
      </c>
      <c r="AI64" s="117" t="s">
        <v>48</v>
      </c>
      <c r="AJ64" s="117" t="s">
        <v>48</v>
      </c>
      <c r="AK64" s="182" t="s">
        <v>48</v>
      </c>
      <c r="AL64" s="165" t="s">
        <v>531</v>
      </c>
      <c r="AM64" s="109" t="s">
        <v>531</v>
      </c>
      <c r="AN64" s="109" t="s">
        <v>48</v>
      </c>
      <c r="AO64" s="109" t="s">
        <v>48</v>
      </c>
      <c r="AP64" s="109" t="s">
        <v>48</v>
      </c>
      <c r="AQ64" s="109" t="s">
        <v>48</v>
      </c>
      <c r="AR64" s="109" t="s">
        <v>48</v>
      </c>
      <c r="AS64" s="166" t="s">
        <v>48</v>
      </c>
      <c r="AT64" s="165" t="s">
        <v>48</v>
      </c>
      <c r="AU64" s="109" t="s">
        <v>48</v>
      </c>
      <c r="AV64" s="109" t="s">
        <v>48</v>
      </c>
      <c r="AW64" s="109" t="s">
        <v>48</v>
      </c>
      <c r="AX64" s="109" t="s">
        <v>48</v>
      </c>
      <c r="AY64" s="109" t="s">
        <v>48</v>
      </c>
      <c r="AZ64" s="166" t="s">
        <v>48</v>
      </c>
      <c r="BA64" s="162" t="s">
        <v>1816</v>
      </c>
      <c r="BB64" s="109" t="s">
        <v>82</v>
      </c>
      <c r="BC64" s="109" t="s">
        <v>1822</v>
      </c>
    </row>
    <row r="65" spans="1:55" ht="75" customHeight="1">
      <c r="A65" s="109" t="s">
        <v>1118</v>
      </c>
      <c r="B65" s="109" t="s">
        <v>2476</v>
      </c>
      <c r="C65" s="109" t="s">
        <v>1171</v>
      </c>
      <c r="D65" s="109" t="s">
        <v>531</v>
      </c>
      <c r="E65" s="161">
        <v>15000</v>
      </c>
      <c r="F65" s="165" t="s">
        <v>1819</v>
      </c>
      <c r="G65" s="109" t="s">
        <v>1819</v>
      </c>
      <c r="H65" s="109" t="s">
        <v>1952</v>
      </c>
      <c r="I65" s="109" t="s">
        <v>1908</v>
      </c>
      <c r="J65" s="109" t="s">
        <v>1708</v>
      </c>
      <c r="K65" s="109" t="s">
        <v>1708</v>
      </c>
      <c r="L65" s="109" t="s">
        <v>1995</v>
      </c>
      <c r="M65" s="166" t="s">
        <v>1687</v>
      </c>
      <c r="N65" s="108" t="s">
        <v>48</v>
      </c>
      <c r="O65" s="109" t="s">
        <v>48</v>
      </c>
      <c r="P65" s="162" t="s">
        <v>48</v>
      </c>
      <c r="Q65" s="109" t="s">
        <v>48</v>
      </c>
      <c r="R65" s="109" t="s">
        <v>48</v>
      </c>
      <c r="S65" s="109" t="s">
        <v>48</v>
      </c>
      <c r="T65" s="109" t="s">
        <v>48</v>
      </c>
      <c r="U65" s="109" t="s">
        <v>48</v>
      </c>
      <c r="V65" s="166" t="s">
        <v>48</v>
      </c>
      <c r="W65" s="165" t="s">
        <v>531</v>
      </c>
      <c r="X65" s="109" t="s">
        <v>531</v>
      </c>
      <c r="Y65" s="109" t="s">
        <v>48</v>
      </c>
      <c r="Z65" s="109" t="s">
        <v>48</v>
      </c>
      <c r="AA65" s="109" t="s">
        <v>48</v>
      </c>
      <c r="AB65" s="109" t="s">
        <v>48</v>
      </c>
      <c r="AC65" s="109" t="s">
        <v>48</v>
      </c>
      <c r="AD65" s="166" t="s">
        <v>48</v>
      </c>
      <c r="AE65" s="174" t="s">
        <v>48</v>
      </c>
      <c r="AF65" s="117" t="s">
        <v>48</v>
      </c>
      <c r="AG65" s="117" t="s">
        <v>48</v>
      </c>
      <c r="AH65" s="109" t="s">
        <v>48</v>
      </c>
      <c r="AI65" s="117" t="s">
        <v>48</v>
      </c>
      <c r="AJ65" s="117" t="s">
        <v>48</v>
      </c>
      <c r="AK65" s="182" t="s">
        <v>48</v>
      </c>
      <c r="AL65" s="165" t="s">
        <v>531</v>
      </c>
      <c r="AM65" s="109" t="s">
        <v>531</v>
      </c>
      <c r="AN65" s="109" t="s">
        <v>48</v>
      </c>
      <c r="AO65" s="109" t="s">
        <v>48</v>
      </c>
      <c r="AP65" s="109" t="s">
        <v>48</v>
      </c>
      <c r="AQ65" s="109" t="s">
        <v>48</v>
      </c>
      <c r="AR65" s="109" t="s">
        <v>48</v>
      </c>
      <c r="AS65" s="166" t="s">
        <v>48</v>
      </c>
      <c r="AT65" s="165" t="s">
        <v>48</v>
      </c>
      <c r="AU65" s="109" t="s">
        <v>48</v>
      </c>
      <c r="AV65" s="109" t="s">
        <v>48</v>
      </c>
      <c r="AW65" s="109" t="s">
        <v>48</v>
      </c>
      <c r="AX65" s="109" t="s">
        <v>48</v>
      </c>
      <c r="AY65" s="109" t="s">
        <v>48</v>
      </c>
      <c r="AZ65" s="166" t="s">
        <v>48</v>
      </c>
      <c r="BA65" s="162" t="s">
        <v>1816</v>
      </c>
      <c r="BB65" s="109" t="s">
        <v>82</v>
      </c>
      <c r="BC65" s="109" t="s">
        <v>1822</v>
      </c>
    </row>
    <row r="66" spans="1:55" ht="75" hidden="1" customHeight="1">
      <c r="A66" s="109" t="s">
        <v>1115</v>
      </c>
      <c r="B66" s="109" t="s">
        <v>2478</v>
      </c>
      <c r="C66" s="109" t="s">
        <v>1171</v>
      </c>
      <c r="D66" s="109" t="s">
        <v>1129</v>
      </c>
      <c r="E66" s="161">
        <v>15000</v>
      </c>
      <c r="F66" s="165" t="s">
        <v>1819</v>
      </c>
      <c r="G66" s="109" t="s">
        <v>1819</v>
      </c>
      <c r="H66" s="109" t="s">
        <v>1952</v>
      </c>
      <c r="I66" s="109" t="s">
        <v>1908</v>
      </c>
      <c r="J66" s="109" t="s">
        <v>1708</v>
      </c>
      <c r="K66" s="109" t="s">
        <v>1708</v>
      </c>
      <c r="L66" s="109" t="s">
        <v>1995</v>
      </c>
      <c r="M66" s="166" t="s">
        <v>1687</v>
      </c>
      <c r="N66" s="108" t="s">
        <v>48</v>
      </c>
      <c r="O66" s="109" t="s">
        <v>48</v>
      </c>
      <c r="P66" s="162" t="s">
        <v>48</v>
      </c>
      <c r="Q66" s="109" t="s">
        <v>48</v>
      </c>
      <c r="R66" s="109" t="s">
        <v>48</v>
      </c>
      <c r="S66" s="109" t="s">
        <v>48</v>
      </c>
      <c r="T66" s="109" t="s">
        <v>48</v>
      </c>
      <c r="U66" s="109" t="s">
        <v>48</v>
      </c>
      <c r="V66" s="166" t="s">
        <v>48</v>
      </c>
      <c r="W66" s="165" t="s">
        <v>1129</v>
      </c>
      <c r="X66" s="109" t="s">
        <v>1129</v>
      </c>
      <c r="Y66" s="109" t="s">
        <v>48</v>
      </c>
      <c r="Z66" s="109" t="s">
        <v>48</v>
      </c>
      <c r="AA66" s="109" t="s">
        <v>48</v>
      </c>
      <c r="AB66" s="109" t="s">
        <v>48</v>
      </c>
      <c r="AC66" s="109" t="s">
        <v>48</v>
      </c>
      <c r="AD66" s="166" t="s">
        <v>48</v>
      </c>
      <c r="AE66" s="174" t="s">
        <v>48</v>
      </c>
      <c r="AF66" s="117" t="s">
        <v>48</v>
      </c>
      <c r="AG66" s="117" t="s">
        <v>48</v>
      </c>
      <c r="AH66" s="109" t="s">
        <v>48</v>
      </c>
      <c r="AI66" s="117" t="s">
        <v>48</v>
      </c>
      <c r="AJ66" s="117" t="s">
        <v>48</v>
      </c>
      <c r="AK66" s="182" t="s">
        <v>48</v>
      </c>
      <c r="AL66" s="165" t="s">
        <v>1129</v>
      </c>
      <c r="AM66" s="109" t="s">
        <v>1129</v>
      </c>
      <c r="AN66" s="109" t="s">
        <v>48</v>
      </c>
      <c r="AO66" s="109" t="s">
        <v>48</v>
      </c>
      <c r="AP66" s="109" t="s">
        <v>48</v>
      </c>
      <c r="AQ66" s="109" t="s">
        <v>48</v>
      </c>
      <c r="AR66" s="109" t="s">
        <v>48</v>
      </c>
      <c r="AS66" s="166" t="s">
        <v>48</v>
      </c>
      <c r="AT66" s="165" t="s">
        <v>48</v>
      </c>
      <c r="AU66" s="109" t="s">
        <v>48</v>
      </c>
      <c r="AV66" s="109" t="s">
        <v>48</v>
      </c>
      <c r="AW66" s="109" t="s">
        <v>48</v>
      </c>
      <c r="AX66" s="109" t="s">
        <v>48</v>
      </c>
      <c r="AY66" s="109" t="s">
        <v>48</v>
      </c>
      <c r="AZ66" s="166" t="s">
        <v>48</v>
      </c>
      <c r="BA66" s="162" t="s">
        <v>1816</v>
      </c>
      <c r="BB66" s="109" t="s">
        <v>82</v>
      </c>
      <c r="BC66" s="109" t="s">
        <v>1822</v>
      </c>
    </row>
    <row r="67" spans="1:55" ht="75" customHeight="1">
      <c r="A67" s="109" t="s">
        <v>1118</v>
      </c>
      <c r="B67" s="109" t="s">
        <v>2476</v>
      </c>
      <c r="C67" s="109" t="s">
        <v>1171</v>
      </c>
      <c r="D67" s="109" t="s">
        <v>1129</v>
      </c>
      <c r="E67" s="161">
        <v>15000</v>
      </c>
      <c r="F67" s="165" t="s">
        <v>1819</v>
      </c>
      <c r="G67" s="109" t="s">
        <v>1819</v>
      </c>
      <c r="H67" s="109" t="s">
        <v>1952</v>
      </c>
      <c r="I67" s="109" t="s">
        <v>1908</v>
      </c>
      <c r="J67" s="109" t="s">
        <v>1708</v>
      </c>
      <c r="K67" s="109" t="s">
        <v>1708</v>
      </c>
      <c r="L67" s="109" t="s">
        <v>1995</v>
      </c>
      <c r="M67" s="166" t="s">
        <v>1687</v>
      </c>
      <c r="N67" s="108" t="s">
        <v>48</v>
      </c>
      <c r="O67" s="109" t="s">
        <v>48</v>
      </c>
      <c r="P67" s="162" t="s">
        <v>48</v>
      </c>
      <c r="Q67" s="109" t="s">
        <v>48</v>
      </c>
      <c r="R67" s="109" t="s">
        <v>48</v>
      </c>
      <c r="S67" s="109" t="s">
        <v>48</v>
      </c>
      <c r="T67" s="109" t="s">
        <v>48</v>
      </c>
      <c r="U67" s="109" t="s">
        <v>48</v>
      </c>
      <c r="V67" s="166" t="s">
        <v>48</v>
      </c>
      <c r="W67" s="165" t="s">
        <v>1129</v>
      </c>
      <c r="X67" s="109" t="s">
        <v>1129</v>
      </c>
      <c r="Y67" s="109" t="s">
        <v>48</v>
      </c>
      <c r="Z67" s="109" t="s">
        <v>48</v>
      </c>
      <c r="AA67" s="109" t="s">
        <v>48</v>
      </c>
      <c r="AB67" s="109" t="s">
        <v>48</v>
      </c>
      <c r="AC67" s="109" t="s">
        <v>48</v>
      </c>
      <c r="AD67" s="166" t="s">
        <v>48</v>
      </c>
      <c r="AE67" s="174" t="s">
        <v>48</v>
      </c>
      <c r="AF67" s="117" t="s">
        <v>48</v>
      </c>
      <c r="AG67" s="117" t="s">
        <v>48</v>
      </c>
      <c r="AH67" s="109" t="s">
        <v>48</v>
      </c>
      <c r="AI67" s="117" t="s">
        <v>48</v>
      </c>
      <c r="AJ67" s="117" t="s">
        <v>48</v>
      </c>
      <c r="AK67" s="182" t="s">
        <v>48</v>
      </c>
      <c r="AL67" s="165" t="s">
        <v>1129</v>
      </c>
      <c r="AM67" s="109" t="s">
        <v>1129</v>
      </c>
      <c r="AN67" s="109" t="s">
        <v>48</v>
      </c>
      <c r="AO67" s="109" t="s">
        <v>48</v>
      </c>
      <c r="AP67" s="109" t="s">
        <v>48</v>
      </c>
      <c r="AQ67" s="109" t="s">
        <v>48</v>
      </c>
      <c r="AR67" s="109" t="s">
        <v>48</v>
      </c>
      <c r="AS67" s="166" t="s">
        <v>48</v>
      </c>
      <c r="AT67" s="165" t="s">
        <v>48</v>
      </c>
      <c r="AU67" s="109" t="s">
        <v>48</v>
      </c>
      <c r="AV67" s="109" t="s">
        <v>48</v>
      </c>
      <c r="AW67" s="109" t="s">
        <v>48</v>
      </c>
      <c r="AX67" s="109" t="s">
        <v>48</v>
      </c>
      <c r="AY67" s="109" t="s">
        <v>48</v>
      </c>
      <c r="AZ67" s="166" t="s">
        <v>48</v>
      </c>
      <c r="BA67" s="162" t="s">
        <v>1816</v>
      </c>
      <c r="BB67" s="109" t="s">
        <v>82</v>
      </c>
      <c r="BC67" s="109" t="s">
        <v>1822</v>
      </c>
    </row>
    <row r="68" spans="1:55" ht="75" hidden="1" customHeight="1">
      <c r="A68" s="109" t="s">
        <v>1115</v>
      </c>
      <c r="B68" s="109" t="s">
        <v>2478</v>
      </c>
      <c r="C68" s="109" t="s">
        <v>1171</v>
      </c>
      <c r="D68" s="109" t="s">
        <v>1131</v>
      </c>
      <c r="E68" s="161">
        <v>15000</v>
      </c>
      <c r="F68" s="165" t="s">
        <v>1819</v>
      </c>
      <c r="G68" s="109" t="s">
        <v>1819</v>
      </c>
      <c r="H68" s="109" t="s">
        <v>1952</v>
      </c>
      <c r="I68" s="109" t="s">
        <v>1908</v>
      </c>
      <c r="J68" s="109" t="s">
        <v>1708</v>
      </c>
      <c r="K68" s="109" t="s">
        <v>1708</v>
      </c>
      <c r="L68" s="109" t="s">
        <v>1995</v>
      </c>
      <c r="M68" s="166" t="s">
        <v>1687</v>
      </c>
      <c r="N68" s="108" t="s">
        <v>48</v>
      </c>
      <c r="O68" s="109" t="s">
        <v>48</v>
      </c>
      <c r="P68" s="162" t="s">
        <v>48</v>
      </c>
      <c r="Q68" s="109" t="s">
        <v>48</v>
      </c>
      <c r="R68" s="109" t="s">
        <v>48</v>
      </c>
      <c r="S68" s="109" t="s">
        <v>48</v>
      </c>
      <c r="T68" s="109" t="s">
        <v>48</v>
      </c>
      <c r="U68" s="109" t="s">
        <v>48</v>
      </c>
      <c r="V68" s="166" t="s">
        <v>48</v>
      </c>
      <c r="W68" s="165" t="s">
        <v>1131</v>
      </c>
      <c r="X68" s="109" t="s">
        <v>1131</v>
      </c>
      <c r="Y68" s="109" t="s">
        <v>48</v>
      </c>
      <c r="Z68" s="109" t="s">
        <v>48</v>
      </c>
      <c r="AA68" s="109" t="s">
        <v>48</v>
      </c>
      <c r="AB68" s="109" t="s">
        <v>48</v>
      </c>
      <c r="AC68" s="109" t="s">
        <v>48</v>
      </c>
      <c r="AD68" s="166" t="s">
        <v>48</v>
      </c>
      <c r="AE68" s="174" t="s">
        <v>48</v>
      </c>
      <c r="AF68" s="117" t="s">
        <v>48</v>
      </c>
      <c r="AG68" s="117" t="s">
        <v>48</v>
      </c>
      <c r="AH68" s="109" t="s">
        <v>48</v>
      </c>
      <c r="AI68" s="117" t="s">
        <v>48</v>
      </c>
      <c r="AJ68" s="117" t="s">
        <v>48</v>
      </c>
      <c r="AK68" s="182" t="s">
        <v>48</v>
      </c>
      <c r="AL68" s="165" t="s">
        <v>1131</v>
      </c>
      <c r="AM68" s="109" t="s">
        <v>1131</v>
      </c>
      <c r="AN68" s="109" t="s">
        <v>48</v>
      </c>
      <c r="AO68" s="109" t="s">
        <v>48</v>
      </c>
      <c r="AP68" s="109" t="s">
        <v>48</v>
      </c>
      <c r="AQ68" s="109" t="s">
        <v>48</v>
      </c>
      <c r="AR68" s="109" t="s">
        <v>48</v>
      </c>
      <c r="AS68" s="166" t="s">
        <v>48</v>
      </c>
      <c r="AT68" s="165" t="s">
        <v>48</v>
      </c>
      <c r="AU68" s="109" t="s">
        <v>48</v>
      </c>
      <c r="AV68" s="109" t="s">
        <v>48</v>
      </c>
      <c r="AW68" s="109" t="s">
        <v>48</v>
      </c>
      <c r="AX68" s="109" t="s">
        <v>48</v>
      </c>
      <c r="AY68" s="109" t="s">
        <v>48</v>
      </c>
      <c r="AZ68" s="166" t="s">
        <v>48</v>
      </c>
      <c r="BA68" s="162" t="s">
        <v>1816</v>
      </c>
      <c r="BB68" s="109" t="s">
        <v>82</v>
      </c>
      <c r="BC68" s="109" t="s">
        <v>1822</v>
      </c>
    </row>
    <row r="69" spans="1:55" ht="75" customHeight="1">
      <c r="A69" s="109" t="s">
        <v>1118</v>
      </c>
      <c r="B69" s="109" t="s">
        <v>2476</v>
      </c>
      <c r="C69" s="109" t="s">
        <v>1171</v>
      </c>
      <c r="D69" s="109" t="s">
        <v>1131</v>
      </c>
      <c r="E69" s="161">
        <v>15000</v>
      </c>
      <c r="F69" s="165" t="s">
        <v>1819</v>
      </c>
      <c r="G69" s="109" t="s">
        <v>1819</v>
      </c>
      <c r="H69" s="109" t="s">
        <v>1952</v>
      </c>
      <c r="I69" s="109" t="s">
        <v>1908</v>
      </c>
      <c r="J69" s="109" t="s">
        <v>1708</v>
      </c>
      <c r="K69" s="109" t="s">
        <v>1708</v>
      </c>
      <c r="L69" s="109" t="s">
        <v>1995</v>
      </c>
      <c r="M69" s="166" t="s">
        <v>1687</v>
      </c>
      <c r="N69" s="108" t="s">
        <v>48</v>
      </c>
      <c r="O69" s="109" t="s">
        <v>48</v>
      </c>
      <c r="P69" s="162" t="s">
        <v>48</v>
      </c>
      <c r="Q69" s="109" t="s">
        <v>48</v>
      </c>
      <c r="R69" s="109" t="s">
        <v>48</v>
      </c>
      <c r="S69" s="109" t="s">
        <v>48</v>
      </c>
      <c r="T69" s="109" t="s">
        <v>48</v>
      </c>
      <c r="U69" s="109" t="s">
        <v>48</v>
      </c>
      <c r="V69" s="166" t="s">
        <v>48</v>
      </c>
      <c r="W69" s="165" t="s">
        <v>1131</v>
      </c>
      <c r="X69" s="109" t="s">
        <v>1131</v>
      </c>
      <c r="Y69" s="109" t="s">
        <v>48</v>
      </c>
      <c r="Z69" s="109" t="s">
        <v>48</v>
      </c>
      <c r="AA69" s="109" t="s">
        <v>48</v>
      </c>
      <c r="AB69" s="109" t="s">
        <v>48</v>
      </c>
      <c r="AC69" s="109" t="s">
        <v>48</v>
      </c>
      <c r="AD69" s="166" t="s">
        <v>48</v>
      </c>
      <c r="AE69" s="174" t="s">
        <v>48</v>
      </c>
      <c r="AF69" s="117" t="s">
        <v>48</v>
      </c>
      <c r="AG69" s="117" t="s">
        <v>48</v>
      </c>
      <c r="AH69" s="109" t="s">
        <v>48</v>
      </c>
      <c r="AI69" s="117" t="s">
        <v>48</v>
      </c>
      <c r="AJ69" s="117" t="s">
        <v>48</v>
      </c>
      <c r="AK69" s="182" t="s">
        <v>48</v>
      </c>
      <c r="AL69" s="165" t="s">
        <v>1131</v>
      </c>
      <c r="AM69" s="109" t="s">
        <v>1131</v>
      </c>
      <c r="AN69" s="109" t="s">
        <v>48</v>
      </c>
      <c r="AO69" s="109" t="s">
        <v>48</v>
      </c>
      <c r="AP69" s="109" t="s">
        <v>48</v>
      </c>
      <c r="AQ69" s="109" t="s">
        <v>48</v>
      </c>
      <c r="AR69" s="109" t="s">
        <v>48</v>
      </c>
      <c r="AS69" s="166" t="s">
        <v>48</v>
      </c>
      <c r="AT69" s="165" t="s">
        <v>48</v>
      </c>
      <c r="AU69" s="109" t="s">
        <v>48</v>
      </c>
      <c r="AV69" s="109" t="s">
        <v>48</v>
      </c>
      <c r="AW69" s="109" t="s">
        <v>48</v>
      </c>
      <c r="AX69" s="109" t="s">
        <v>48</v>
      </c>
      <c r="AY69" s="109" t="s">
        <v>48</v>
      </c>
      <c r="AZ69" s="166" t="s">
        <v>48</v>
      </c>
      <c r="BA69" s="162" t="s">
        <v>1816</v>
      </c>
      <c r="BB69" s="109" t="s">
        <v>82</v>
      </c>
      <c r="BC69" s="109" t="s">
        <v>1822</v>
      </c>
    </row>
    <row r="70" spans="1:55" ht="75" hidden="1" customHeight="1">
      <c r="A70" s="109" t="s">
        <v>1115</v>
      </c>
      <c r="B70" s="109" t="s">
        <v>2478</v>
      </c>
      <c r="C70" s="109" t="s">
        <v>1171</v>
      </c>
      <c r="D70" s="109" t="s">
        <v>1132</v>
      </c>
      <c r="E70" s="161">
        <v>15000</v>
      </c>
      <c r="F70" s="165" t="s">
        <v>1819</v>
      </c>
      <c r="G70" s="109" t="s">
        <v>1819</v>
      </c>
      <c r="H70" s="109" t="s">
        <v>1952</v>
      </c>
      <c r="I70" s="109" t="s">
        <v>1908</v>
      </c>
      <c r="J70" s="109" t="s">
        <v>1708</v>
      </c>
      <c r="K70" s="109" t="s">
        <v>1708</v>
      </c>
      <c r="L70" s="109" t="s">
        <v>1995</v>
      </c>
      <c r="M70" s="166" t="s">
        <v>1687</v>
      </c>
      <c r="N70" s="108" t="s">
        <v>48</v>
      </c>
      <c r="O70" s="109" t="s">
        <v>48</v>
      </c>
      <c r="P70" s="162" t="s">
        <v>48</v>
      </c>
      <c r="Q70" s="109" t="s">
        <v>48</v>
      </c>
      <c r="R70" s="109" t="s">
        <v>48</v>
      </c>
      <c r="S70" s="109" t="s">
        <v>48</v>
      </c>
      <c r="T70" s="109" t="s">
        <v>48</v>
      </c>
      <c r="U70" s="109" t="s">
        <v>48</v>
      </c>
      <c r="V70" s="166" t="s">
        <v>48</v>
      </c>
      <c r="W70" s="165" t="s">
        <v>1132</v>
      </c>
      <c r="X70" s="109" t="s">
        <v>1132</v>
      </c>
      <c r="Y70" s="109" t="s">
        <v>48</v>
      </c>
      <c r="Z70" s="109" t="s">
        <v>48</v>
      </c>
      <c r="AA70" s="109" t="s">
        <v>48</v>
      </c>
      <c r="AB70" s="109" t="s">
        <v>48</v>
      </c>
      <c r="AC70" s="109" t="s">
        <v>48</v>
      </c>
      <c r="AD70" s="166" t="s">
        <v>48</v>
      </c>
      <c r="AE70" s="174" t="s">
        <v>48</v>
      </c>
      <c r="AF70" s="117" t="s">
        <v>48</v>
      </c>
      <c r="AG70" s="117" t="s">
        <v>48</v>
      </c>
      <c r="AH70" s="109" t="s">
        <v>48</v>
      </c>
      <c r="AI70" s="117" t="s">
        <v>48</v>
      </c>
      <c r="AJ70" s="117" t="s">
        <v>48</v>
      </c>
      <c r="AK70" s="182" t="s">
        <v>48</v>
      </c>
      <c r="AL70" s="165" t="s">
        <v>1132</v>
      </c>
      <c r="AM70" s="109" t="s">
        <v>1132</v>
      </c>
      <c r="AN70" s="109" t="s">
        <v>48</v>
      </c>
      <c r="AO70" s="109" t="s">
        <v>48</v>
      </c>
      <c r="AP70" s="109" t="s">
        <v>48</v>
      </c>
      <c r="AQ70" s="109" t="s">
        <v>48</v>
      </c>
      <c r="AR70" s="109" t="s">
        <v>48</v>
      </c>
      <c r="AS70" s="166" t="s">
        <v>48</v>
      </c>
      <c r="AT70" s="165" t="s">
        <v>48</v>
      </c>
      <c r="AU70" s="109" t="s">
        <v>48</v>
      </c>
      <c r="AV70" s="109" t="s">
        <v>48</v>
      </c>
      <c r="AW70" s="109" t="s">
        <v>48</v>
      </c>
      <c r="AX70" s="109" t="s">
        <v>48</v>
      </c>
      <c r="AY70" s="109" t="s">
        <v>48</v>
      </c>
      <c r="AZ70" s="166" t="s">
        <v>48</v>
      </c>
      <c r="BA70" s="162" t="s">
        <v>1816</v>
      </c>
      <c r="BB70" s="109" t="s">
        <v>82</v>
      </c>
      <c r="BC70" s="109" t="s">
        <v>1822</v>
      </c>
    </row>
    <row r="71" spans="1:55" ht="75" customHeight="1">
      <c r="A71" s="109" t="s">
        <v>1118</v>
      </c>
      <c r="B71" s="109" t="s">
        <v>2476</v>
      </c>
      <c r="C71" s="109" t="s">
        <v>1171</v>
      </c>
      <c r="D71" s="109" t="s">
        <v>1132</v>
      </c>
      <c r="E71" s="161">
        <v>15000</v>
      </c>
      <c r="F71" s="165" t="s">
        <v>1819</v>
      </c>
      <c r="G71" s="109" t="s">
        <v>1819</v>
      </c>
      <c r="H71" s="109" t="s">
        <v>1952</v>
      </c>
      <c r="I71" s="109" t="s">
        <v>1908</v>
      </c>
      <c r="J71" s="109" t="s">
        <v>1708</v>
      </c>
      <c r="K71" s="109" t="s">
        <v>1708</v>
      </c>
      <c r="L71" s="109" t="s">
        <v>1995</v>
      </c>
      <c r="M71" s="166" t="s">
        <v>1687</v>
      </c>
      <c r="N71" s="108" t="s">
        <v>48</v>
      </c>
      <c r="O71" s="109" t="s">
        <v>48</v>
      </c>
      <c r="P71" s="162" t="s">
        <v>48</v>
      </c>
      <c r="Q71" s="109" t="s">
        <v>48</v>
      </c>
      <c r="R71" s="109" t="s">
        <v>48</v>
      </c>
      <c r="S71" s="109" t="s">
        <v>48</v>
      </c>
      <c r="T71" s="109" t="s">
        <v>48</v>
      </c>
      <c r="U71" s="109" t="s">
        <v>48</v>
      </c>
      <c r="V71" s="166" t="s">
        <v>48</v>
      </c>
      <c r="W71" s="165" t="s">
        <v>1132</v>
      </c>
      <c r="X71" s="109" t="s">
        <v>1132</v>
      </c>
      <c r="Y71" s="109" t="s">
        <v>48</v>
      </c>
      <c r="Z71" s="109" t="s">
        <v>48</v>
      </c>
      <c r="AA71" s="109" t="s">
        <v>48</v>
      </c>
      <c r="AB71" s="109" t="s">
        <v>48</v>
      </c>
      <c r="AC71" s="109" t="s">
        <v>48</v>
      </c>
      <c r="AD71" s="166" t="s">
        <v>48</v>
      </c>
      <c r="AE71" s="174" t="s">
        <v>48</v>
      </c>
      <c r="AF71" s="117" t="s">
        <v>48</v>
      </c>
      <c r="AG71" s="117" t="s">
        <v>48</v>
      </c>
      <c r="AH71" s="109" t="s">
        <v>48</v>
      </c>
      <c r="AI71" s="117" t="s">
        <v>48</v>
      </c>
      <c r="AJ71" s="117" t="s">
        <v>48</v>
      </c>
      <c r="AK71" s="182" t="s">
        <v>48</v>
      </c>
      <c r="AL71" s="165" t="s">
        <v>1132</v>
      </c>
      <c r="AM71" s="109" t="s">
        <v>1132</v>
      </c>
      <c r="AN71" s="109" t="s">
        <v>48</v>
      </c>
      <c r="AO71" s="109" t="s">
        <v>48</v>
      </c>
      <c r="AP71" s="109" t="s">
        <v>48</v>
      </c>
      <c r="AQ71" s="109" t="s">
        <v>48</v>
      </c>
      <c r="AR71" s="109" t="s">
        <v>48</v>
      </c>
      <c r="AS71" s="166" t="s">
        <v>48</v>
      </c>
      <c r="AT71" s="165" t="s">
        <v>48</v>
      </c>
      <c r="AU71" s="109" t="s">
        <v>48</v>
      </c>
      <c r="AV71" s="109" t="s">
        <v>48</v>
      </c>
      <c r="AW71" s="109" t="s">
        <v>48</v>
      </c>
      <c r="AX71" s="109" t="s">
        <v>48</v>
      </c>
      <c r="AY71" s="109" t="s">
        <v>48</v>
      </c>
      <c r="AZ71" s="166" t="s">
        <v>48</v>
      </c>
      <c r="BA71" s="162" t="s">
        <v>1816</v>
      </c>
      <c r="BB71" s="109" t="s">
        <v>82</v>
      </c>
      <c r="BC71" s="109" t="s">
        <v>1822</v>
      </c>
    </row>
    <row r="72" spans="1:55" ht="75" hidden="1" customHeight="1">
      <c r="A72" s="109" t="s">
        <v>1115</v>
      </c>
      <c r="B72" s="109" t="s">
        <v>2478</v>
      </c>
      <c r="C72" s="109" t="s">
        <v>1171</v>
      </c>
      <c r="D72" s="109" t="s">
        <v>1133</v>
      </c>
      <c r="E72" s="161">
        <v>15000</v>
      </c>
      <c r="F72" s="165" t="s">
        <v>1819</v>
      </c>
      <c r="G72" s="109" t="s">
        <v>1819</v>
      </c>
      <c r="H72" s="109" t="s">
        <v>1952</v>
      </c>
      <c r="I72" s="109" t="s">
        <v>1908</v>
      </c>
      <c r="J72" s="109" t="s">
        <v>1708</v>
      </c>
      <c r="K72" s="109" t="s">
        <v>1708</v>
      </c>
      <c r="L72" s="109" t="s">
        <v>1995</v>
      </c>
      <c r="M72" s="166" t="s">
        <v>1687</v>
      </c>
      <c r="N72" s="108" t="s">
        <v>48</v>
      </c>
      <c r="O72" s="109" t="s">
        <v>48</v>
      </c>
      <c r="P72" s="162" t="s">
        <v>48</v>
      </c>
      <c r="Q72" s="109" t="s">
        <v>48</v>
      </c>
      <c r="R72" s="109" t="s">
        <v>48</v>
      </c>
      <c r="S72" s="109" t="s">
        <v>48</v>
      </c>
      <c r="T72" s="109" t="s">
        <v>48</v>
      </c>
      <c r="U72" s="109" t="s">
        <v>48</v>
      </c>
      <c r="V72" s="166" t="s">
        <v>48</v>
      </c>
      <c r="W72" s="165" t="s">
        <v>1133</v>
      </c>
      <c r="X72" s="109" t="s">
        <v>1133</v>
      </c>
      <c r="Y72" s="109" t="s">
        <v>48</v>
      </c>
      <c r="Z72" s="109" t="s">
        <v>48</v>
      </c>
      <c r="AA72" s="109" t="s">
        <v>48</v>
      </c>
      <c r="AB72" s="109" t="s">
        <v>48</v>
      </c>
      <c r="AC72" s="109" t="s">
        <v>48</v>
      </c>
      <c r="AD72" s="166" t="s">
        <v>48</v>
      </c>
      <c r="AE72" s="174" t="s">
        <v>48</v>
      </c>
      <c r="AF72" s="117" t="s">
        <v>48</v>
      </c>
      <c r="AG72" s="117">
        <v>67926</v>
      </c>
      <c r="AH72" s="109" t="s">
        <v>48</v>
      </c>
      <c r="AI72" s="117" t="s">
        <v>48</v>
      </c>
      <c r="AJ72" s="117" t="s">
        <v>267</v>
      </c>
      <c r="AK72" s="182" t="s">
        <v>519</v>
      </c>
      <c r="AL72" s="165" t="s">
        <v>1133</v>
      </c>
      <c r="AM72" s="109" t="s">
        <v>1133</v>
      </c>
      <c r="AN72" s="109" t="s">
        <v>48</v>
      </c>
      <c r="AO72" s="109" t="s">
        <v>48</v>
      </c>
      <c r="AP72" s="109" t="s">
        <v>48</v>
      </c>
      <c r="AQ72" s="109" t="s">
        <v>48</v>
      </c>
      <c r="AR72" s="109" t="s">
        <v>48</v>
      </c>
      <c r="AS72" s="166" t="s">
        <v>48</v>
      </c>
      <c r="AT72" s="165" t="s">
        <v>48</v>
      </c>
      <c r="AU72" s="109" t="s">
        <v>48</v>
      </c>
      <c r="AV72" s="109" t="s">
        <v>48</v>
      </c>
      <c r="AW72" s="109" t="s">
        <v>48</v>
      </c>
      <c r="AX72" s="109" t="s">
        <v>48</v>
      </c>
      <c r="AY72" s="109" t="s">
        <v>48</v>
      </c>
      <c r="AZ72" s="166" t="s">
        <v>48</v>
      </c>
      <c r="BA72" s="162" t="s">
        <v>1816</v>
      </c>
      <c r="BB72" s="109" t="s">
        <v>82</v>
      </c>
      <c r="BC72" s="109" t="s">
        <v>1822</v>
      </c>
    </row>
    <row r="73" spans="1:55" ht="75" customHeight="1">
      <c r="A73" s="109" t="s">
        <v>1118</v>
      </c>
      <c r="B73" s="109" t="s">
        <v>2476</v>
      </c>
      <c r="C73" s="109" t="s">
        <v>1171</v>
      </c>
      <c r="D73" s="109" t="s">
        <v>1133</v>
      </c>
      <c r="E73" s="161">
        <v>15000</v>
      </c>
      <c r="F73" s="165" t="s">
        <v>1819</v>
      </c>
      <c r="G73" s="109" t="s">
        <v>1819</v>
      </c>
      <c r="H73" s="109" t="s">
        <v>1952</v>
      </c>
      <c r="I73" s="109" t="s">
        <v>1908</v>
      </c>
      <c r="J73" s="109" t="s">
        <v>1708</v>
      </c>
      <c r="K73" s="109" t="s">
        <v>1708</v>
      </c>
      <c r="L73" s="109" t="s">
        <v>1995</v>
      </c>
      <c r="M73" s="166" t="s">
        <v>1687</v>
      </c>
      <c r="N73" s="108" t="s">
        <v>48</v>
      </c>
      <c r="O73" s="109" t="s">
        <v>48</v>
      </c>
      <c r="P73" s="162" t="s">
        <v>48</v>
      </c>
      <c r="Q73" s="109" t="s">
        <v>48</v>
      </c>
      <c r="R73" s="109" t="s">
        <v>48</v>
      </c>
      <c r="S73" s="109" t="s">
        <v>48</v>
      </c>
      <c r="T73" s="109" t="s">
        <v>48</v>
      </c>
      <c r="U73" s="109" t="s">
        <v>48</v>
      </c>
      <c r="V73" s="166" t="s">
        <v>48</v>
      </c>
      <c r="W73" s="165" t="s">
        <v>1133</v>
      </c>
      <c r="X73" s="109" t="s">
        <v>1133</v>
      </c>
      <c r="Y73" s="109" t="s">
        <v>48</v>
      </c>
      <c r="Z73" s="109" t="s">
        <v>48</v>
      </c>
      <c r="AA73" s="109" t="s">
        <v>48</v>
      </c>
      <c r="AB73" s="109" t="s">
        <v>48</v>
      </c>
      <c r="AC73" s="109" t="s">
        <v>48</v>
      </c>
      <c r="AD73" s="166" t="s">
        <v>48</v>
      </c>
      <c r="AE73" s="174" t="s">
        <v>48</v>
      </c>
      <c r="AF73" s="117" t="s">
        <v>48</v>
      </c>
      <c r="AG73" s="117">
        <v>67926</v>
      </c>
      <c r="AH73" s="109" t="s">
        <v>48</v>
      </c>
      <c r="AI73" s="117" t="s">
        <v>48</v>
      </c>
      <c r="AJ73" s="117" t="s">
        <v>267</v>
      </c>
      <c r="AK73" s="182" t="s">
        <v>519</v>
      </c>
      <c r="AL73" s="165" t="s">
        <v>1133</v>
      </c>
      <c r="AM73" s="109" t="s">
        <v>1133</v>
      </c>
      <c r="AN73" s="109" t="s">
        <v>48</v>
      </c>
      <c r="AO73" s="109" t="s">
        <v>48</v>
      </c>
      <c r="AP73" s="109" t="s">
        <v>48</v>
      </c>
      <c r="AQ73" s="109" t="s">
        <v>48</v>
      </c>
      <c r="AR73" s="109" t="s">
        <v>48</v>
      </c>
      <c r="AS73" s="166" t="s">
        <v>48</v>
      </c>
      <c r="AT73" s="165" t="s">
        <v>48</v>
      </c>
      <c r="AU73" s="109" t="s">
        <v>48</v>
      </c>
      <c r="AV73" s="109" t="s">
        <v>48</v>
      </c>
      <c r="AW73" s="109" t="s">
        <v>48</v>
      </c>
      <c r="AX73" s="109" t="s">
        <v>48</v>
      </c>
      <c r="AY73" s="109" t="s">
        <v>48</v>
      </c>
      <c r="AZ73" s="166" t="s">
        <v>48</v>
      </c>
      <c r="BA73" s="162" t="s">
        <v>1816</v>
      </c>
      <c r="BB73" s="109" t="s">
        <v>82</v>
      </c>
      <c r="BC73" s="109" t="s">
        <v>1822</v>
      </c>
    </row>
    <row r="74" spans="1:55" ht="75" hidden="1" customHeight="1">
      <c r="A74" s="109" t="s">
        <v>1115</v>
      </c>
      <c r="B74" s="109" t="s">
        <v>2478</v>
      </c>
      <c r="C74" s="109" t="s">
        <v>1171</v>
      </c>
      <c r="D74" s="109" t="s">
        <v>1130</v>
      </c>
      <c r="E74" s="161">
        <v>15000</v>
      </c>
      <c r="F74" s="165" t="s">
        <v>1819</v>
      </c>
      <c r="G74" s="109" t="s">
        <v>1819</v>
      </c>
      <c r="H74" s="109" t="s">
        <v>1952</v>
      </c>
      <c r="I74" s="109" t="s">
        <v>1908</v>
      </c>
      <c r="J74" s="109" t="s">
        <v>1708</v>
      </c>
      <c r="K74" s="109" t="s">
        <v>1708</v>
      </c>
      <c r="L74" s="109" t="s">
        <v>1995</v>
      </c>
      <c r="M74" s="166" t="s">
        <v>1687</v>
      </c>
      <c r="N74" s="108" t="s">
        <v>48</v>
      </c>
      <c r="O74" s="109" t="s">
        <v>48</v>
      </c>
      <c r="P74" s="162" t="s">
        <v>48</v>
      </c>
      <c r="Q74" s="109" t="s">
        <v>48</v>
      </c>
      <c r="R74" s="109" t="s">
        <v>48</v>
      </c>
      <c r="S74" s="109" t="s">
        <v>48</v>
      </c>
      <c r="T74" s="109" t="s">
        <v>48</v>
      </c>
      <c r="U74" s="109" t="s">
        <v>48</v>
      </c>
      <c r="V74" s="166" t="s">
        <v>48</v>
      </c>
      <c r="W74" s="165" t="s">
        <v>1130</v>
      </c>
      <c r="X74" s="109" t="s">
        <v>1130</v>
      </c>
      <c r="Y74" s="109" t="s">
        <v>48</v>
      </c>
      <c r="Z74" s="109" t="s">
        <v>48</v>
      </c>
      <c r="AA74" s="109" t="s">
        <v>48</v>
      </c>
      <c r="AB74" s="109" t="s">
        <v>48</v>
      </c>
      <c r="AC74" s="109" t="s">
        <v>48</v>
      </c>
      <c r="AD74" s="166" t="s">
        <v>48</v>
      </c>
      <c r="AE74" s="174" t="s">
        <v>48</v>
      </c>
      <c r="AF74" s="117" t="s">
        <v>48</v>
      </c>
      <c r="AG74" s="117" t="s">
        <v>48</v>
      </c>
      <c r="AH74" s="109" t="s">
        <v>48</v>
      </c>
      <c r="AI74" s="117" t="s">
        <v>48</v>
      </c>
      <c r="AJ74" s="117" t="s">
        <v>48</v>
      </c>
      <c r="AK74" s="182" t="s">
        <v>48</v>
      </c>
      <c r="AL74" s="165" t="s">
        <v>1130</v>
      </c>
      <c r="AM74" s="109" t="s">
        <v>1130</v>
      </c>
      <c r="AN74" s="109" t="s">
        <v>48</v>
      </c>
      <c r="AO74" s="109" t="s">
        <v>48</v>
      </c>
      <c r="AP74" s="109" t="s">
        <v>48</v>
      </c>
      <c r="AQ74" s="109" t="s">
        <v>48</v>
      </c>
      <c r="AR74" s="109" t="s">
        <v>48</v>
      </c>
      <c r="AS74" s="166" t="s">
        <v>48</v>
      </c>
      <c r="AT74" s="165" t="s">
        <v>48</v>
      </c>
      <c r="AU74" s="109" t="s">
        <v>48</v>
      </c>
      <c r="AV74" s="109" t="s">
        <v>48</v>
      </c>
      <c r="AW74" s="109" t="s">
        <v>48</v>
      </c>
      <c r="AX74" s="109" t="s">
        <v>48</v>
      </c>
      <c r="AY74" s="109" t="s">
        <v>48</v>
      </c>
      <c r="AZ74" s="166" t="s">
        <v>48</v>
      </c>
      <c r="BA74" s="162" t="s">
        <v>1816</v>
      </c>
      <c r="BB74" s="109" t="s">
        <v>82</v>
      </c>
      <c r="BC74" s="109" t="s">
        <v>1822</v>
      </c>
    </row>
    <row r="75" spans="1:55" ht="75" customHeight="1">
      <c r="A75" s="109" t="s">
        <v>1118</v>
      </c>
      <c r="B75" s="109" t="s">
        <v>2476</v>
      </c>
      <c r="C75" s="109" t="s">
        <v>1171</v>
      </c>
      <c r="D75" s="109" t="s">
        <v>1130</v>
      </c>
      <c r="E75" s="161">
        <v>15000</v>
      </c>
      <c r="F75" s="165" t="s">
        <v>1819</v>
      </c>
      <c r="G75" s="109" t="s">
        <v>1819</v>
      </c>
      <c r="H75" s="109" t="s">
        <v>1952</v>
      </c>
      <c r="I75" s="109" t="s">
        <v>1908</v>
      </c>
      <c r="J75" s="109" t="s">
        <v>1708</v>
      </c>
      <c r="K75" s="109" t="s">
        <v>1708</v>
      </c>
      <c r="L75" s="109" t="s">
        <v>1995</v>
      </c>
      <c r="M75" s="166" t="s">
        <v>1687</v>
      </c>
      <c r="N75" s="108" t="s">
        <v>48</v>
      </c>
      <c r="O75" s="109" t="s">
        <v>48</v>
      </c>
      <c r="P75" s="162" t="s">
        <v>48</v>
      </c>
      <c r="Q75" s="109" t="s">
        <v>48</v>
      </c>
      <c r="R75" s="109" t="s">
        <v>48</v>
      </c>
      <c r="S75" s="109" t="s">
        <v>48</v>
      </c>
      <c r="T75" s="109" t="s">
        <v>48</v>
      </c>
      <c r="U75" s="109" t="s">
        <v>48</v>
      </c>
      <c r="V75" s="166" t="s">
        <v>48</v>
      </c>
      <c r="W75" s="165" t="s">
        <v>1130</v>
      </c>
      <c r="X75" s="109" t="s">
        <v>1130</v>
      </c>
      <c r="Y75" s="109" t="s">
        <v>48</v>
      </c>
      <c r="Z75" s="109" t="s">
        <v>48</v>
      </c>
      <c r="AA75" s="109" t="s">
        <v>48</v>
      </c>
      <c r="AB75" s="109" t="s">
        <v>48</v>
      </c>
      <c r="AC75" s="109" t="s">
        <v>48</v>
      </c>
      <c r="AD75" s="166" t="s">
        <v>48</v>
      </c>
      <c r="AE75" s="174" t="s">
        <v>48</v>
      </c>
      <c r="AF75" s="117" t="s">
        <v>48</v>
      </c>
      <c r="AG75" s="117" t="s">
        <v>48</v>
      </c>
      <c r="AH75" s="109" t="s">
        <v>48</v>
      </c>
      <c r="AI75" s="117" t="s">
        <v>48</v>
      </c>
      <c r="AJ75" s="117" t="s">
        <v>48</v>
      </c>
      <c r="AK75" s="182" t="s">
        <v>48</v>
      </c>
      <c r="AL75" s="165" t="s">
        <v>1130</v>
      </c>
      <c r="AM75" s="109" t="s">
        <v>1130</v>
      </c>
      <c r="AN75" s="109" t="s">
        <v>48</v>
      </c>
      <c r="AO75" s="109" t="s">
        <v>48</v>
      </c>
      <c r="AP75" s="109" t="s">
        <v>48</v>
      </c>
      <c r="AQ75" s="109" t="s">
        <v>48</v>
      </c>
      <c r="AR75" s="109" t="s">
        <v>48</v>
      </c>
      <c r="AS75" s="166" t="s">
        <v>48</v>
      </c>
      <c r="AT75" s="165" t="s">
        <v>48</v>
      </c>
      <c r="AU75" s="109" t="s">
        <v>48</v>
      </c>
      <c r="AV75" s="109" t="s">
        <v>48</v>
      </c>
      <c r="AW75" s="109" t="s">
        <v>48</v>
      </c>
      <c r="AX75" s="109" t="s">
        <v>48</v>
      </c>
      <c r="AY75" s="109" t="s">
        <v>48</v>
      </c>
      <c r="AZ75" s="166" t="s">
        <v>48</v>
      </c>
      <c r="BA75" s="162" t="s">
        <v>1816</v>
      </c>
      <c r="BB75" s="109" t="s">
        <v>82</v>
      </c>
      <c r="BC75" s="109" t="s">
        <v>1822</v>
      </c>
    </row>
    <row r="76" spans="1:55" ht="75" customHeight="1">
      <c r="A76" s="109" t="s">
        <v>35</v>
      </c>
      <c r="B76" s="109" t="s">
        <v>2017</v>
      </c>
      <c r="C76" s="117" t="s">
        <v>1341</v>
      </c>
      <c r="D76" s="109" t="s">
        <v>1318</v>
      </c>
      <c r="E76" s="161">
        <v>15000</v>
      </c>
      <c r="F76" s="165" t="s">
        <v>1318</v>
      </c>
      <c r="G76" s="109" t="s">
        <v>1318</v>
      </c>
      <c r="H76" s="109" t="s">
        <v>48</v>
      </c>
      <c r="I76" s="109" t="s">
        <v>48</v>
      </c>
      <c r="J76" s="109" t="s">
        <v>48</v>
      </c>
      <c r="K76" s="109" t="s">
        <v>48</v>
      </c>
      <c r="L76" s="109" t="s">
        <v>48</v>
      </c>
      <c r="M76" s="166" t="s">
        <v>1119</v>
      </c>
      <c r="N76" s="108" t="s">
        <v>48</v>
      </c>
      <c r="O76" s="109" t="s">
        <v>48</v>
      </c>
      <c r="P76" s="162" t="s">
        <v>48</v>
      </c>
      <c r="Q76" s="109" t="s">
        <v>48</v>
      </c>
      <c r="R76" s="109" t="s">
        <v>48</v>
      </c>
      <c r="S76" s="109" t="s">
        <v>48</v>
      </c>
      <c r="T76" s="109" t="s">
        <v>48</v>
      </c>
      <c r="U76" s="109" t="s">
        <v>48</v>
      </c>
      <c r="V76" s="166" t="s">
        <v>48</v>
      </c>
      <c r="W76" s="165" t="s">
        <v>1318</v>
      </c>
      <c r="X76" s="109" t="s">
        <v>1318</v>
      </c>
      <c r="Y76" s="109" t="s">
        <v>48</v>
      </c>
      <c r="Z76" s="109" t="s">
        <v>48</v>
      </c>
      <c r="AA76" s="109" t="s">
        <v>48</v>
      </c>
      <c r="AB76" s="109" t="s">
        <v>48</v>
      </c>
      <c r="AC76" s="109" t="s">
        <v>48</v>
      </c>
      <c r="AD76" s="166" t="s">
        <v>48</v>
      </c>
      <c r="AE76" s="174" t="s">
        <v>48</v>
      </c>
      <c r="AF76" s="117" t="s">
        <v>48</v>
      </c>
      <c r="AG76" s="117" t="s">
        <v>48</v>
      </c>
      <c r="AH76" s="109" t="s">
        <v>48</v>
      </c>
      <c r="AI76" s="117" t="s">
        <v>48</v>
      </c>
      <c r="AJ76" s="117" t="s">
        <v>48</v>
      </c>
      <c r="AK76" s="182" t="s">
        <v>48</v>
      </c>
      <c r="AL76" s="165" t="s">
        <v>1318</v>
      </c>
      <c r="AM76" s="109" t="s">
        <v>1318</v>
      </c>
      <c r="AN76" s="109" t="s">
        <v>48</v>
      </c>
      <c r="AO76" s="109" t="s">
        <v>48</v>
      </c>
      <c r="AP76" s="109" t="s">
        <v>48</v>
      </c>
      <c r="AQ76" s="109" t="s">
        <v>48</v>
      </c>
      <c r="AR76" s="109" t="s">
        <v>48</v>
      </c>
      <c r="AS76" s="166" t="s">
        <v>1119</v>
      </c>
      <c r="AT76" s="165" t="s">
        <v>48</v>
      </c>
      <c r="AU76" s="109" t="s">
        <v>48</v>
      </c>
      <c r="AV76" s="109" t="s">
        <v>48</v>
      </c>
      <c r="AW76" s="109" t="s">
        <v>48</v>
      </c>
      <c r="AX76" s="109" t="s">
        <v>48</v>
      </c>
      <c r="AY76" s="109" t="s">
        <v>48</v>
      </c>
      <c r="AZ76" s="166" t="s">
        <v>48</v>
      </c>
      <c r="BA76" s="162" t="s">
        <v>48</v>
      </c>
      <c r="BB76" s="109" t="s">
        <v>82</v>
      </c>
      <c r="BC76" s="109"/>
    </row>
    <row r="77" spans="1:55" ht="75" customHeight="1">
      <c r="A77" s="109" t="s">
        <v>35</v>
      </c>
      <c r="B77" s="109" t="s">
        <v>2017</v>
      </c>
      <c r="C77" s="117" t="s">
        <v>1341</v>
      </c>
      <c r="D77" s="109" t="s">
        <v>1319</v>
      </c>
      <c r="E77" s="161">
        <v>15000</v>
      </c>
      <c r="F77" s="165" t="s">
        <v>1319</v>
      </c>
      <c r="G77" s="109" t="s">
        <v>1319</v>
      </c>
      <c r="H77" s="109" t="s">
        <v>48</v>
      </c>
      <c r="I77" s="109" t="s">
        <v>48</v>
      </c>
      <c r="J77" s="109" t="s">
        <v>48</v>
      </c>
      <c r="K77" s="109" t="s">
        <v>48</v>
      </c>
      <c r="L77" s="109" t="s">
        <v>48</v>
      </c>
      <c r="M77" s="166" t="s">
        <v>1119</v>
      </c>
      <c r="N77" s="108" t="s">
        <v>48</v>
      </c>
      <c r="O77" s="109" t="s">
        <v>48</v>
      </c>
      <c r="P77" s="162" t="s">
        <v>48</v>
      </c>
      <c r="Q77" s="109" t="s">
        <v>48</v>
      </c>
      <c r="R77" s="109" t="s">
        <v>48</v>
      </c>
      <c r="S77" s="109" t="s">
        <v>48</v>
      </c>
      <c r="T77" s="109" t="s">
        <v>48</v>
      </c>
      <c r="U77" s="109" t="s">
        <v>48</v>
      </c>
      <c r="V77" s="166" t="s">
        <v>48</v>
      </c>
      <c r="W77" s="165" t="s">
        <v>1319</v>
      </c>
      <c r="X77" s="109" t="s">
        <v>1319</v>
      </c>
      <c r="Y77" s="109" t="s">
        <v>48</v>
      </c>
      <c r="Z77" s="109" t="s">
        <v>48</v>
      </c>
      <c r="AA77" s="109" t="s">
        <v>48</v>
      </c>
      <c r="AB77" s="109" t="s">
        <v>48</v>
      </c>
      <c r="AC77" s="109" t="s">
        <v>48</v>
      </c>
      <c r="AD77" s="166" t="s">
        <v>48</v>
      </c>
      <c r="AE77" s="174" t="s">
        <v>48</v>
      </c>
      <c r="AF77" s="117" t="s">
        <v>48</v>
      </c>
      <c r="AG77" s="117" t="s">
        <v>48</v>
      </c>
      <c r="AH77" s="109" t="s">
        <v>48</v>
      </c>
      <c r="AI77" s="117" t="s">
        <v>48</v>
      </c>
      <c r="AJ77" s="117" t="s">
        <v>48</v>
      </c>
      <c r="AK77" s="182" t="s">
        <v>48</v>
      </c>
      <c r="AL77" s="165" t="s">
        <v>1319</v>
      </c>
      <c r="AM77" s="109" t="s">
        <v>1319</v>
      </c>
      <c r="AN77" s="109" t="s">
        <v>48</v>
      </c>
      <c r="AO77" s="109" t="s">
        <v>48</v>
      </c>
      <c r="AP77" s="109" t="s">
        <v>48</v>
      </c>
      <c r="AQ77" s="109" t="s">
        <v>48</v>
      </c>
      <c r="AR77" s="109" t="s">
        <v>48</v>
      </c>
      <c r="AS77" s="166" t="s">
        <v>1119</v>
      </c>
      <c r="AT77" s="165" t="s">
        <v>48</v>
      </c>
      <c r="AU77" s="109" t="s">
        <v>48</v>
      </c>
      <c r="AV77" s="109" t="s">
        <v>48</v>
      </c>
      <c r="AW77" s="109" t="s">
        <v>48</v>
      </c>
      <c r="AX77" s="109" t="s">
        <v>48</v>
      </c>
      <c r="AY77" s="109" t="s">
        <v>48</v>
      </c>
      <c r="AZ77" s="166" t="s">
        <v>48</v>
      </c>
      <c r="BA77" s="162" t="s">
        <v>48</v>
      </c>
      <c r="BB77" s="109" t="s">
        <v>82</v>
      </c>
      <c r="BC77" s="109"/>
    </row>
    <row r="78" spans="1:55" ht="75" hidden="1" customHeight="1">
      <c r="A78" s="109" t="s">
        <v>1115</v>
      </c>
      <c r="B78" s="109" t="s">
        <v>2478</v>
      </c>
      <c r="C78" s="109" t="s">
        <v>449</v>
      </c>
      <c r="D78" s="109" t="s">
        <v>450</v>
      </c>
      <c r="E78" s="161">
        <v>15000</v>
      </c>
      <c r="F78" s="165" t="s">
        <v>450</v>
      </c>
      <c r="G78" s="109" t="s">
        <v>450</v>
      </c>
      <c r="H78" s="109" t="s">
        <v>48</v>
      </c>
      <c r="I78" s="109" t="s">
        <v>48</v>
      </c>
      <c r="J78" s="109" t="s">
        <v>48</v>
      </c>
      <c r="K78" s="109" t="s">
        <v>48</v>
      </c>
      <c r="L78" s="109" t="s">
        <v>48</v>
      </c>
      <c r="M78" s="166" t="s">
        <v>48</v>
      </c>
      <c r="N78" s="108" t="s">
        <v>48</v>
      </c>
      <c r="O78" s="109" t="s">
        <v>48</v>
      </c>
      <c r="P78" s="162" t="s">
        <v>48</v>
      </c>
      <c r="Q78" s="109" t="s">
        <v>48</v>
      </c>
      <c r="R78" s="109" t="s">
        <v>48</v>
      </c>
      <c r="S78" s="109" t="s">
        <v>48</v>
      </c>
      <c r="T78" s="109" t="s">
        <v>48</v>
      </c>
      <c r="U78" s="109" t="s">
        <v>48</v>
      </c>
      <c r="V78" s="166" t="s">
        <v>48</v>
      </c>
      <c r="W78" s="165" t="s">
        <v>450</v>
      </c>
      <c r="X78" s="109" t="s">
        <v>450</v>
      </c>
      <c r="Y78" s="109" t="s">
        <v>48</v>
      </c>
      <c r="Z78" s="109" t="s">
        <v>48</v>
      </c>
      <c r="AA78" s="109" t="s">
        <v>48</v>
      </c>
      <c r="AB78" s="109" t="s">
        <v>48</v>
      </c>
      <c r="AC78" s="109" t="s">
        <v>48</v>
      </c>
      <c r="AD78" s="166" t="s">
        <v>48</v>
      </c>
      <c r="AE78" s="174" t="s">
        <v>48</v>
      </c>
      <c r="AF78" s="117" t="s">
        <v>48</v>
      </c>
      <c r="AG78" s="117" t="s">
        <v>48</v>
      </c>
      <c r="AH78" s="109" t="s">
        <v>48</v>
      </c>
      <c r="AI78" s="117" t="s">
        <v>48</v>
      </c>
      <c r="AJ78" s="117" t="s">
        <v>48</v>
      </c>
      <c r="AK78" s="182" t="s">
        <v>48</v>
      </c>
      <c r="AL78" s="165" t="s">
        <v>1117</v>
      </c>
      <c r="AM78" s="109" t="s">
        <v>450</v>
      </c>
      <c r="AN78" s="109" t="s">
        <v>1135</v>
      </c>
      <c r="AO78" s="109" t="s">
        <v>1908</v>
      </c>
      <c r="AP78" s="109" t="s">
        <v>1921</v>
      </c>
      <c r="AQ78" s="109" t="s">
        <v>1921</v>
      </c>
      <c r="AR78" s="109" t="s">
        <v>1926</v>
      </c>
      <c r="AS78" s="166" t="s">
        <v>1119</v>
      </c>
      <c r="AT78" s="165" t="s">
        <v>48</v>
      </c>
      <c r="AU78" s="109" t="s">
        <v>48</v>
      </c>
      <c r="AV78" s="109" t="s">
        <v>48</v>
      </c>
      <c r="AW78" s="109" t="s">
        <v>48</v>
      </c>
      <c r="AX78" s="109" t="s">
        <v>48</v>
      </c>
      <c r="AY78" s="109" t="s">
        <v>48</v>
      </c>
      <c r="AZ78" s="166" t="s">
        <v>48</v>
      </c>
      <c r="BA78" s="162" t="s">
        <v>1242</v>
      </c>
      <c r="BB78" s="109" t="s">
        <v>82</v>
      </c>
      <c r="BC78" s="109" t="s">
        <v>451</v>
      </c>
    </row>
    <row r="79" spans="1:55" ht="75" hidden="1" customHeight="1">
      <c r="A79" s="109" t="s">
        <v>1115</v>
      </c>
      <c r="B79" s="109" t="s">
        <v>2478</v>
      </c>
      <c r="C79" s="109" t="s">
        <v>449</v>
      </c>
      <c r="D79" s="109" t="s">
        <v>450</v>
      </c>
      <c r="E79" s="161">
        <v>15000</v>
      </c>
      <c r="F79" s="165" t="s">
        <v>945</v>
      </c>
      <c r="G79" s="109" t="s">
        <v>945</v>
      </c>
      <c r="H79" s="109" t="s">
        <v>1918</v>
      </c>
      <c r="I79" s="109" t="s">
        <v>2091</v>
      </c>
      <c r="J79" s="109" t="s">
        <v>1904</v>
      </c>
      <c r="K79" s="109" t="s">
        <v>1904</v>
      </c>
      <c r="L79" s="109" t="s">
        <v>1919</v>
      </c>
      <c r="M79" s="166" t="s">
        <v>1920</v>
      </c>
      <c r="N79" s="108" t="s">
        <v>48</v>
      </c>
      <c r="O79" s="109" t="s">
        <v>48</v>
      </c>
      <c r="P79" s="162" t="s">
        <v>48</v>
      </c>
      <c r="Q79" s="109" t="s">
        <v>48</v>
      </c>
      <c r="R79" s="109" t="s">
        <v>48</v>
      </c>
      <c r="S79" s="109" t="s">
        <v>48</v>
      </c>
      <c r="T79" s="109" t="s">
        <v>48</v>
      </c>
      <c r="U79" s="109" t="s">
        <v>48</v>
      </c>
      <c r="V79" s="166" t="s">
        <v>48</v>
      </c>
      <c r="W79" s="165" t="s">
        <v>1117</v>
      </c>
      <c r="X79" s="109" t="s">
        <v>450</v>
      </c>
      <c r="Y79" s="109" t="s">
        <v>1925</v>
      </c>
      <c r="Z79" s="109" t="s">
        <v>1908</v>
      </c>
      <c r="AA79" s="109" t="s">
        <v>1921</v>
      </c>
      <c r="AB79" s="109" t="s">
        <v>1921</v>
      </c>
      <c r="AC79" s="109" t="s">
        <v>1926</v>
      </c>
      <c r="AD79" s="166" t="s">
        <v>1119</v>
      </c>
      <c r="AE79" s="174" t="s">
        <v>48</v>
      </c>
      <c r="AF79" s="117" t="s">
        <v>48</v>
      </c>
      <c r="AG79" s="117" t="s">
        <v>48</v>
      </c>
      <c r="AH79" s="109" t="s">
        <v>48</v>
      </c>
      <c r="AI79" s="117" t="s">
        <v>48</v>
      </c>
      <c r="AJ79" s="117" t="s">
        <v>48</v>
      </c>
      <c r="AK79" s="182" t="s">
        <v>48</v>
      </c>
      <c r="AL79" s="165" t="s">
        <v>450</v>
      </c>
      <c r="AM79" s="109" t="s">
        <v>450</v>
      </c>
      <c r="AN79" s="109" t="s">
        <v>48</v>
      </c>
      <c r="AO79" s="109" t="s">
        <v>48</v>
      </c>
      <c r="AP79" s="109" t="s">
        <v>48</v>
      </c>
      <c r="AQ79" s="109" t="s">
        <v>48</v>
      </c>
      <c r="AR79" s="109" t="s">
        <v>48</v>
      </c>
      <c r="AS79" s="166" t="s">
        <v>48</v>
      </c>
      <c r="AT79" s="165" t="s">
        <v>48</v>
      </c>
      <c r="AU79" s="109" t="s">
        <v>48</v>
      </c>
      <c r="AV79" s="109" t="s">
        <v>48</v>
      </c>
      <c r="AW79" s="109" t="s">
        <v>48</v>
      </c>
      <c r="AX79" s="109" t="s">
        <v>48</v>
      </c>
      <c r="AY79" s="109" t="s">
        <v>48</v>
      </c>
      <c r="AZ79" s="166" t="s">
        <v>48</v>
      </c>
      <c r="BA79" s="162" t="s">
        <v>1243</v>
      </c>
      <c r="BB79" s="109" t="s">
        <v>82</v>
      </c>
      <c r="BC79" s="109" t="s">
        <v>451</v>
      </c>
    </row>
    <row r="80" spans="1:55" ht="75" customHeight="1">
      <c r="A80" s="109" t="s">
        <v>1118</v>
      </c>
      <c r="B80" s="109" t="s">
        <v>2476</v>
      </c>
      <c r="C80" s="109" t="s">
        <v>449</v>
      </c>
      <c r="D80" s="109" t="s">
        <v>450</v>
      </c>
      <c r="E80" s="161">
        <v>15000</v>
      </c>
      <c r="F80" s="165" t="s">
        <v>450</v>
      </c>
      <c r="G80" s="109" t="s">
        <v>450</v>
      </c>
      <c r="H80" s="109" t="s">
        <v>48</v>
      </c>
      <c r="I80" s="109" t="s">
        <v>48</v>
      </c>
      <c r="J80" s="109" t="s">
        <v>48</v>
      </c>
      <c r="K80" s="109" t="s">
        <v>48</v>
      </c>
      <c r="L80" s="109" t="s">
        <v>48</v>
      </c>
      <c r="M80" s="166" t="s">
        <v>48</v>
      </c>
      <c r="N80" s="108" t="s">
        <v>48</v>
      </c>
      <c r="O80" s="109" t="s">
        <v>48</v>
      </c>
      <c r="P80" s="162" t="s">
        <v>48</v>
      </c>
      <c r="Q80" s="109" t="s">
        <v>48</v>
      </c>
      <c r="R80" s="109" t="s">
        <v>48</v>
      </c>
      <c r="S80" s="109" t="s">
        <v>48</v>
      </c>
      <c r="T80" s="109" t="s">
        <v>48</v>
      </c>
      <c r="U80" s="109" t="s">
        <v>48</v>
      </c>
      <c r="V80" s="166" t="s">
        <v>48</v>
      </c>
      <c r="W80" s="165" t="s">
        <v>450</v>
      </c>
      <c r="X80" s="109" t="s">
        <v>450</v>
      </c>
      <c r="Y80" s="109" t="s">
        <v>48</v>
      </c>
      <c r="Z80" s="109" t="s">
        <v>48</v>
      </c>
      <c r="AA80" s="109" t="s">
        <v>48</v>
      </c>
      <c r="AB80" s="109" t="s">
        <v>48</v>
      </c>
      <c r="AC80" s="109" t="s">
        <v>48</v>
      </c>
      <c r="AD80" s="166" t="s">
        <v>48</v>
      </c>
      <c r="AE80" s="174" t="s">
        <v>48</v>
      </c>
      <c r="AF80" s="117" t="s">
        <v>48</v>
      </c>
      <c r="AG80" s="117" t="s">
        <v>48</v>
      </c>
      <c r="AH80" s="109" t="s">
        <v>48</v>
      </c>
      <c r="AI80" s="117" t="s">
        <v>48</v>
      </c>
      <c r="AJ80" s="117" t="s">
        <v>48</v>
      </c>
      <c r="AK80" s="182" t="s">
        <v>48</v>
      </c>
      <c r="AL80" s="165" t="s">
        <v>1117</v>
      </c>
      <c r="AM80" s="109" t="s">
        <v>450</v>
      </c>
      <c r="AN80" s="109" t="s">
        <v>1135</v>
      </c>
      <c r="AO80" s="109" t="s">
        <v>1908</v>
      </c>
      <c r="AP80" s="109" t="s">
        <v>1921</v>
      </c>
      <c r="AQ80" s="109" t="s">
        <v>1921</v>
      </c>
      <c r="AR80" s="109" t="s">
        <v>1926</v>
      </c>
      <c r="AS80" s="166" t="s">
        <v>1119</v>
      </c>
      <c r="AT80" s="165" t="s">
        <v>48</v>
      </c>
      <c r="AU80" s="109" t="s">
        <v>48</v>
      </c>
      <c r="AV80" s="109" t="s">
        <v>48</v>
      </c>
      <c r="AW80" s="109" t="s">
        <v>48</v>
      </c>
      <c r="AX80" s="109" t="s">
        <v>48</v>
      </c>
      <c r="AY80" s="109" t="s">
        <v>48</v>
      </c>
      <c r="AZ80" s="166" t="s">
        <v>48</v>
      </c>
      <c r="BA80" s="162" t="s">
        <v>1242</v>
      </c>
      <c r="BB80" s="109" t="s">
        <v>82</v>
      </c>
      <c r="BC80" s="109" t="s">
        <v>451</v>
      </c>
    </row>
    <row r="81" spans="1:55" ht="75" customHeight="1">
      <c r="A81" s="109" t="s">
        <v>35</v>
      </c>
      <c r="B81" s="109" t="s">
        <v>2017</v>
      </c>
      <c r="C81" s="109" t="s">
        <v>449</v>
      </c>
      <c r="D81" s="109" t="s">
        <v>981</v>
      </c>
      <c r="E81" s="161">
        <v>15000</v>
      </c>
      <c r="F81" s="165" t="s">
        <v>907</v>
      </c>
      <c r="G81" s="109" t="s">
        <v>907</v>
      </c>
      <c r="H81" s="109" t="s">
        <v>1916</v>
      </c>
      <c r="I81" s="109" t="s">
        <v>2091</v>
      </c>
      <c r="J81" s="109" t="s">
        <v>1904</v>
      </c>
      <c r="K81" s="109" t="s">
        <v>1904</v>
      </c>
      <c r="L81" s="109" t="s">
        <v>1917</v>
      </c>
      <c r="M81" s="166" t="s">
        <v>1905</v>
      </c>
      <c r="N81" s="108" t="s">
        <v>48</v>
      </c>
      <c r="O81" s="109" t="s">
        <v>48</v>
      </c>
      <c r="P81" s="162" t="s">
        <v>48</v>
      </c>
      <c r="Q81" s="109" t="s">
        <v>48</v>
      </c>
      <c r="R81" s="109" t="s">
        <v>48</v>
      </c>
      <c r="S81" s="109" t="s">
        <v>48</v>
      </c>
      <c r="T81" s="109" t="s">
        <v>48</v>
      </c>
      <c r="U81" s="109" t="s">
        <v>48</v>
      </c>
      <c r="V81" s="166" t="s">
        <v>48</v>
      </c>
      <c r="W81" s="165" t="s">
        <v>907</v>
      </c>
      <c r="X81" s="109" t="s">
        <v>981</v>
      </c>
      <c r="Y81" s="109" t="s">
        <v>1956</v>
      </c>
      <c r="Z81" s="109" t="s">
        <v>1908</v>
      </c>
      <c r="AA81" s="109" t="s">
        <v>1921</v>
      </c>
      <c r="AB81" s="109" t="s">
        <v>1921</v>
      </c>
      <c r="AC81" s="109" t="s">
        <v>1323</v>
      </c>
      <c r="AD81" s="166" t="s">
        <v>1119</v>
      </c>
      <c r="AE81" s="174" t="s">
        <v>48</v>
      </c>
      <c r="AF81" s="117" t="s">
        <v>48</v>
      </c>
      <c r="AG81" s="117" t="s">
        <v>48</v>
      </c>
      <c r="AH81" s="109" t="s">
        <v>48</v>
      </c>
      <c r="AI81" s="117" t="s">
        <v>48</v>
      </c>
      <c r="AJ81" s="117" t="s">
        <v>48</v>
      </c>
      <c r="AK81" s="182" t="s">
        <v>48</v>
      </c>
      <c r="AL81" s="165" t="s">
        <v>907</v>
      </c>
      <c r="AM81" s="109" t="s">
        <v>981</v>
      </c>
      <c r="AN81" s="109" t="s">
        <v>1951</v>
      </c>
      <c r="AO81" s="109" t="s">
        <v>1908</v>
      </c>
      <c r="AP81" s="109" t="s">
        <v>1921</v>
      </c>
      <c r="AQ81" s="109" t="s">
        <v>1921</v>
      </c>
      <c r="AR81" s="109" t="s">
        <v>1323</v>
      </c>
      <c r="AS81" s="166" t="s">
        <v>1119</v>
      </c>
      <c r="AT81" s="165" t="s">
        <v>48</v>
      </c>
      <c r="AU81" s="109" t="s">
        <v>48</v>
      </c>
      <c r="AV81" s="109" t="s">
        <v>48</v>
      </c>
      <c r="AW81" s="109" t="s">
        <v>48</v>
      </c>
      <c r="AX81" s="109" t="s">
        <v>48</v>
      </c>
      <c r="AY81" s="109" t="s">
        <v>48</v>
      </c>
      <c r="AZ81" s="166" t="s">
        <v>48</v>
      </c>
      <c r="BA81" s="162" t="s">
        <v>1243</v>
      </c>
      <c r="BB81" s="109" t="s">
        <v>82</v>
      </c>
      <c r="BC81" s="109"/>
    </row>
    <row r="82" spans="1:55" ht="75" customHeight="1">
      <c r="A82" s="109" t="s">
        <v>35</v>
      </c>
      <c r="B82" s="109" t="s">
        <v>2017</v>
      </c>
      <c r="C82" s="109" t="s">
        <v>449</v>
      </c>
      <c r="D82" s="109" t="s">
        <v>981</v>
      </c>
      <c r="E82" s="161">
        <v>15000</v>
      </c>
      <c r="F82" s="165" t="s">
        <v>907</v>
      </c>
      <c r="G82" s="109" t="s">
        <v>907</v>
      </c>
      <c r="H82" s="109" t="s">
        <v>1916</v>
      </c>
      <c r="I82" s="109" t="s">
        <v>2091</v>
      </c>
      <c r="J82" s="109" t="s">
        <v>1904</v>
      </c>
      <c r="K82" s="109" t="s">
        <v>1904</v>
      </c>
      <c r="L82" s="109" t="s">
        <v>1917</v>
      </c>
      <c r="M82" s="166" t="s">
        <v>1905</v>
      </c>
      <c r="N82" s="108" t="s">
        <v>48</v>
      </c>
      <c r="O82" s="109" t="s">
        <v>48</v>
      </c>
      <c r="P82" s="162" t="s">
        <v>48</v>
      </c>
      <c r="Q82" s="109" t="s">
        <v>48</v>
      </c>
      <c r="R82" s="109" t="s">
        <v>48</v>
      </c>
      <c r="S82" s="109" t="s">
        <v>48</v>
      </c>
      <c r="T82" s="109" t="s">
        <v>48</v>
      </c>
      <c r="U82" s="109" t="s">
        <v>48</v>
      </c>
      <c r="V82" s="166" t="s">
        <v>48</v>
      </c>
      <c r="W82" s="165" t="s">
        <v>907</v>
      </c>
      <c r="X82" s="109" t="s">
        <v>981</v>
      </c>
      <c r="Y82" s="109" t="s">
        <v>1956</v>
      </c>
      <c r="Z82" s="109" t="s">
        <v>1908</v>
      </c>
      <c r="AA82" s="109" t="s">
        <v>1921</v>
      </c>
      <c r="AB82" s="109" t="s">
        <v>1921</v>
      </c>
      <c r="AC82" s="109" t="s">
        <v>1323</v>
      </c>
      <c r="AD82" s="166" t="s">
        <v>1119</v>
      </c>
      <c r="AE82" s="174" t="s">
        <v>48</v>
      </c>
      <c r="AF82" s="117" t="s">
        <v>48</v>
      </c>
      <c r="AG82" s="117" t="s">
        <v>48</v>
      </c>
      <c r="AH82" s="109" t="s">
        <v>48</v>
      </c>
      <c r="AI82" s="117" t="s">
        <v>48</v>
      </c>
      <c r="AJ82" s="117" t="s">
        <v>48</v>
      </c>
      <c r="AK82" s="182" t="s">
        <v>48</v>
      </c>
      <c r="AL82" s="165" t="s">
        <v>1319</v>
      </c>
      <c r="AM82" s="109" t="s">
        <v>981</v>
      </c>
      <c r="AN82" s="109" t="s">
        <v>1947</v>
      </c>
      <c r="AO82" s="109" t="s">
        <v>2039</v>
      </c>
      <c r="AP82" s="109" t="s">
        <v>1921</v>
      </c>
      <c r="AQ82" s="109" t="s">
        <v>1921</v>
      </c>
      <c r="AR82" s="109" t="s">
        <v>1927</v>
      </c>
      <c r="AS82" s="166" t="s">
        <v>1119</v>
      </c>
      <c r="AT82" s="165" t="s">
        <v>48</v>
      </c>
      <c r="AU82" s="109" t="s">
        <v>48</v>
      </c>
      <c r="AV82" s="109" t="s">
        <v>48</v>
      </c>
      <c r="AW82" s="109" t="s">
        <v>48</v>
      </c>
      <c r="AX82" s="109" t="s">
        <v>48</v>
      </c>
      <c r="AY82" s="109" t="s">
        <v>48</v>
      </c>
      <c r="AZ82" s="166" t="s">
        <v>48</v>
      </c>
      <c r="BA82" s="162" t="s">
        <v>1243</v>
      </c>
      <c r="BB82" s="109" t="s">
        <v>82</v>
      </c>
      <c r="BC82" s="109"/>
    </row>
    <row r="83" spans="1:55" ht="75" customHeight="1">
      <c r="A83" s="109" t="s">
        <v>34</v>
      </c>
      <c r="B83" s="109" t="s">
        <v>2025</v>
      </c>
      <c r="C83" s="109" t="s">
        <v>449</v>
      </c>
      <c r="D83" s="109" t="s">
        <v>981</v>
      </c>
      <c r="E83" s="161">
        <v>15000</v>
      </c>
      <c r="F83" s="165" t="s">
        <v>981</v>
      </c>
      <c r="G83" s="109" t="s">
        <v>981</v>
      </c>
      <c r="H83" s="109" t="s">
        <v>48</v>
      </c>
      <c r="I83" s="109" t="s">
        <v>48</v>
      </c>
      <c r="J83" s="109" t="s">
        <v>48</v>
      </c>
      <c r="K83" s="109" t="s">
        <v>48</v>
      </c>
      <c r="L83" s="109" t="s">
        <v>48</v>
      </c>
      <c r="M83" s="166" t="s">
        <v>48</v>
      </c>
      <c r="N83" s="108" t="s">
        <v>48</v>
      </c>
      <c r="O83" s="109" t="s">
        <v>48</v>
      </c>
      <c r="P83" s="162" t="s">
        <v>48</v>
      </c>
      <c r="Q83" s="109" t="s">
        <v>48</v>
      </c>
      <c r="R83" s="109" t="s">
        <v>48</v>
      </c>
      <c r="S83" s="109" t="s">
        <v>48</v>
      </c>
      <c r="T83" s="109" t="s">
        <v>48</v>
      </c>
      <c r="U83" s="109" t="s">
        <v>48</v>
      </c>
      <c r="V83" s="166" t="s">
        <v>48</v>
      </c>
      <c r="W83" s="165" t="s">
        <v>981</v>
      </c>
      <c r="X83" s="109" t="s">
        <v>981</v>
      </c>
      <c r="Y83" s="109" t="s">
        <v>48</v>
      </c>
      <c r="Z83" s="109" t="s">
        <v>48</v>
      </c>
      <c r="AA83" s="109" t="s">
        <v>48</v>
      </c>
      <c r="AB83" s="109" t="s">
        <v>48</v>
      </c>
      <c r="AC83" s="109" t="s">
        <v>48</v>
      </c>
      <c r="AD83" s="166" t="s">
        <v>48</v>
      </c>
      <c r="AE83" s="174" t="s">
        <v>48</v>
      </c>
      <c r="AF83" s="117" t="s">
        <v>48</v>
      </c>
      <c r="AG83" s="117" t="s">
        <v>48</v>
      </c>
      <c r="AH83" s="109" t="s">
        <v>48</v>
      </c>
      <c r="AI83" s="117" t="s">
        <v>48</v>
      </c>
      <c r="AJ83" s="117" t="s">
        <v>48</v>
      </c>
      <c r="AK83" s="182" t="s">
        <v>48</v>
      </c>
      <c r="AL83" s="165" t="s">
        <v>907</v>
      </c>
      <c r="AM83" s="109" t="s">
        <v>981</v>
      </c>
      <c r="AN83" s="109" t="s">
        <v>1951</v>
      </c>
      <c r="AO83" s="109" t="s">
        <v>1908</v>
      </c>
      <c r="AP83" s="109" t="s">
        <v>1921</v>
      </c>
      <c r="AQ83" s="109" t="s">
        <v>1921</v>
      </c>
      <c r="AR83" s="109" t="s">
        <v>1323</v>
      </c>
      <c r="AS83" s="166" t="s">
        <v>1119</v>
      </c>
      <c r="AT83" s="165" t="s">
        <v>48</v>
      </c>
      <c r="AU83" s="109" t="s">
        <v>48</v>
      </c>
      <c r="AV83" s="109" t="s">
        <v>48</v>
      </c>
      <c r="AW83" s="109" t="s">
        <v>48</v>
      </c>
      <c r="AX83" s="109" t="s">
        <v>48</v>
      </c>
      <c r="AY83" s="109" t="s">
        <v>48</v>
      </c>
      <c r="AZ83" s="166" t="s">
        <v>48</v>
      </c>
      <c r="BA83" s="162" t="s">
        <v>1242</v>
      </c>
      <c r="BB83" s="109" t="s">
        <v>82</v>
      </c>
      <c r="BC83" s="109"/>
    </row>
    <row r="84" spans="1:55" ht="75" customHeight="1">
      <c r="A84" s="109" t="s">
        <v>35</v>
      </c>
      <c r="B84" s="109" t="s">
        <v>2017</v>
      </c>
      <c r="C84" s="109" t="s">
        <v>449</v>
      </c>
      <c r="D84" s="109" t="s">
        <v>980</v>
      </c>
      <c r="E84" s="161">
        <v>15000</v>
      </c>
      <c r="F84" s="165" t="s">
        <v>980</v>
      </c>
      <c r="G84" s="109" t="s">
        <v>980</v>
      </c>
      <c r="H84" s="109" t="s">
        <v>48</v>
      </c>
      <c r="I84" s="109" t="s">
        <v>48</v>
      </c>
      <c r="J84" s="109" t="s">
        <v>48</v>
      </c>
      <c r="K84" s="109" t="s">
        <v>48</v>
      </c>
      <c r="L84" s="109" t="s">
        <v>48</v>
      </c>
      <c r="M84" s="166" t="s">
        <v>48</v>
      </c>
      <c r="N84" s="108" t="s">
        <v>48</v>
      </c>
      <c r="O84" s="109" t="s">
        <v>48</v>
      </c>
      <c r="P84" s="162" t="s">
        <v>48</v>
      </c>
      <c r="Q84" s="109" t="s">
        <v>48</v>
      </c>
      <c r="R84" s="109" t="s">
        <v>48</v>
      </c>
      <c r="S84" s="109" t="s">
        <v>48</v>
      </c>
      <c r="T84" s="109" t="s">
        <v>48</v>
      </c>
      <c r="U84" s="109" t="s">
        <v>48</v>
      </c>
      <c r="V84" s="166" t="s">
        <v>48</v>
      </c>
      <c r="W84" s="165" t="s">
        <v>1318</v>
      </c>
      <c r="X84" s="109" t="s">
        <v>980</v>
      </c>
      <c r="Y84" s="109" t="s">
        <v>1955</v>
      </c>
      <c r="Z84" s="117" t="s">
        <v>2039</v>
      </c>
      <c r="AA84" s="109" t="s">
        <v>1921</v>
      </c>
      <c r="AB84" s="109" t="s">
        <v>1921</v>
      </c>
      <c r="AC84" s="109" t="s">
        <v>1924</v>
      </c>
      <c r="AD84" s="166" t="s">
        <v>1119</v>
      </c>
      <c r="AE84" s="174" t="s">
        <v>48</v>
      </c>
      <c r="AF84" s="117" t="s">
        <v>48</v>
      </c>
      <c r="AG84" s="117" t="s">
        <v>48</v>
      </c>
      <c r="AH84" s="109" t="s">
        <v>48</v>
      </c>
      <c r="AI84" s="117" t="s">
        <v>48</v>
      </c>
      <c r="AJ84" s="117" t="s">
        <v>48</v>
      </c>
      <c r="AK84" s="182" t="s">
        <v>48</v>
      </c>
      <c r="AL84" s="165" t="s">
        <v>1318</v>
      </c>
      <c r="AM84" s="109" t="s">
        <v>980</v>
      </c>
      <c r="AN84" s="109" t="s">
        <v>1949</v>
      </c>
      <c r="AO84" s="109" t="s">
        <v>2039</v>
      </c>
      <c r="AP84" s="109" t="s">
        <v>1921</v>
      </c>
      <c r="AQ84" s="109" t="s">
        <v>1921</v>
      </c>
      <c r="AR84" s="109" t="s">
        <v>1924</v>
      </c>
      <c r="AS84" s="166" t="s">
        <v>1119</v>
      </c>
      <c r="AT84" s="165" t="s">
        <v>48</v>
      </c>
      <c r="AU84" s="109" t="s">
        <v>48</v>
      </c>
      <c r="AV84" s="109" t="s">
        <v>48</v>
      </c>
      <c r="AW84" s="109" t="s">
        <v>48</v>
      </c>
      <c r="AX84" s="109" t="s">
        <v>48</v>
      </c>
      <c r="AY84" s="109" t="s">
        <v>48</v>
      </c>
      <c r="AZ84" s="166" t="s">
        <v>48</v>
      </c>
      <c r="BA84" s="162" t="s">
        <v>1372</v>
      </c>
      <c r="BB84" s="109" t="s">
        <v>82</v>
      </c>
      <c r="BC84" s="109"/>
    </row>
    <row r="85" spans="1:55" ht="75" customHeight="1">
      <c r="A85" s="109" t="s">
        <v>34</v>
      </c>
      <c r="B85" s="109" t="s">
        <v>2025</v>
      </c>
      <c r="C85" s="109" t="s">
        <v>449</v>
      </c>
      <c r="D85" s="109" t="s">
        <v>980</v>
      </c>
      <c r="E85" s="161">
        <v>15000</v>
      </c>
      <c r="F85" s="165" t="s">
        <v>980</v>
      </c>
      <c r="G85" s="109" t="s">
        <v>980</v>
      </c>
      <c r="H85" s="109" t="s">
        <v>48</v>
      </c>
      <c r="I85" s="109" t="s">
        <v>48</v>
      </c>
      <c r="J85" s="109" t="s">
        <v>48</v>
      </c>
      <c r="K85" s="109" t="s">
        <v>48</v>
      </c>
      <c r="L85" s="109" t="s">
        <v>48</v>
      </c>
      <c r="M85" s="166" t="s">
        <v>48</v>
      </c>
      <c r="N85" s="108" t="s">
        <v>48</v>
      </c>
      <c r="O85" s="109" t="s">
        <v>48</v>
      </c>
      <c r="P85" s="162" t="s">
        <v>48</v>
      </c>
      <c r="Q85" s="109" t="s">
        <v>48</v>
      </c>
      <c r="R85" s="109" t="s">
        <v>48</v>
      </c>
      <c r="S85" s="109" t="s">
        <v>48</v>
      </c>
      <c r="T85" s="109" t="s">
        <v>48</v>
      </c>
      <c r="U85" s="109" t="s">
        <v>48</v>
      </c>
      <c r="V85" s="166" t="s">
        <v>48</v>
      </c>
      <c r="W85" s="165" t="s">
        <v>980</v>
      </c>
      <c r="X85" s="109" t="s">
        <v>980</v>
      </c>
      <c r="Y85" s="109" t="s">
        <v>48</v>
      </c>
      <c r="Z85" s="109" t="s">
        <v>48</v>
      </c>
      <c r="AA85" s="109" t="s">
        <v>48</v>
      </c>
      <c r="AB85" s="109" t="s">
        <v>48</v>
      </c>
      <c r="AC85" s="109" t="s">
        <v>48</v>
      </c>
      <c r="AD85" s="166" t="s">
        <v>48</v>
      </c>
      <c r="AE85" s="174" t="s">
        <v>48</v>
      </c>
      <c r="AF85" s="117" t="s">
        <v>48</v>
      </c>
      <c r="AG85" s="117" t="s">
        <v>48</v>
      </c>
      <c r="AH85" s="109" t="s">
        <v>48</v>
      </c>
      <c r="AI85" s="117" t="s">
        <v>48</v>
      </c>
      <c r="AJ85" s="117" t="s">
        <v>48</v>
      </c>
      <c r="AK85" s="182" t="s">
        <v>48</v>
      </c>
      <c r="AL85" s="165" t="s">
        <v>1318</v>
      </c>
      <c r="AM85" s="109" t="s">
        <v>980</v>
      </c>
      <c r="AN85" s="109" t="s">
        <v>1949</v>
      </c>
      <c r="AO85" s="109" t="s">
        <v>2039</v>
      </c>
      <c r="AP85" s="109" t="s">
        <v>1921</v>
      </c>
      <c r="AQ85" s="109" t="s">
        <v>1921</v>
      </c>
      <c r="AR85" s="109" t="s">
        <v>1924</v>
      </c>
      <c r="AS85" s="166" t="s">
        <v>1119</v>
      </c>
      <c r="AT85" s="165" t="s">
        <v>48</v>
      </c>
      <c r="AU85" s="109" t="s">
        <v>48</v>
      </c>
      <c r="AV85" s="109" t="s">
        <v>48</v>
      </c>
      <c r="AW85" s="109" t="s">
        <v>48</v>
      </c>
      <c r="AX85" s="109" t="s">
        <v>48</v>
      </c>
      <c r="AY85" s="109" t="s">
        <v>48</v>
      </c>
      <c r="AZ85" s="166" t="s">
        <v>48</v>
      </c>
      <c r="BA85" s="162" t="s">
        <v>1242</v>
      </c>
      <c r="BB85" s="109" t="s">
        <v>82</v>
      </c>
      <c r="BC85" s="109"/>
    </row>
    <row r="86" spans="1:55" ht="75" customHeight="1">
      <c r="A86" s="109" t="s">
        <v>35</v>
      </c>
      <c r="B86" s="109" t="s">
        <v>2017</v>
      </c>
      <c r="C86" s="109" t="s">
        <v>449</v>
      </c>
      <c r="D86" s="109" t="s">
        <v>979</v>
      </c>
      <c r="E86" s="161">
        <v>15000</v>
      </c>
      <c r="F86" s="165" t="s">
        <v>979</v>
      </c>
      <c r="G86" s="109" t="s">
        <v>979</v>
      </c>
      <c r="H86" s="109" t="s">
        <v>48</v>
      </c>
      <c r="I86" s="109" t="s">
        <v>48</v>
      </c>
      <c r="J86" s="109" t="s">
        <v>48</v>
      </c>
      <c r="K86" s="109" t="s">
        <v>48</v>
      </c>
      <c r="L86" s="109" t="s">
        <v>48</v>
      </c>
      <c r="M86" s="166" t="s">
        <v>48</v>
      </c>
      <c r="N86" s="108" t="s">
        <v>48</v>
      </c>
      <c r="O86" s="109" t="s">
        <v>48</v>
      </c>
      <c r="P86" s="162" t="s">
        <v>48</v>
      </c>
      <c r="Q86" s="109" t="s">
        <v>48</v>
      </c>
      <c r="R86" s="109" t="s">
        <v>48</v>
      </c>
      <c r="S86" s="109" t="s">
        <v>48</v>
      </c>
      <c r="T86" s="109" t="s">
        <v>48</v>
      </c>
      <c r="U86" s="109" t="s">
        <v>48</v>
      </c>
      <c r="V86" s="166" t="s">
        <v>48</v>
      </c>
      <c r="W86" s="165" t="s">
        <v>979</v>
      </c>
      <c r="X86" s="109" t="s">
        <v>979</v>
      </c>
      <c r="Y86" s="109" t="s">
        <v>48</v>
      </c>
      <c r="Z86" s="109" t="s">
        <v>48</v>
      </c>
      <c r="AA86" s="109" t="s">
        <v>48</v>
      </c>
      <c r="AB86" s="109" t="s">
        <v>48</v>
      </c>
      <c r="AC86" s="109" t="s">
        <v>48</v>
      </c>
      <c r="AD86" s="166" t="s">
        <v>48</v>
      </c>
      <c r="AE86" s="174" t="s">
        <v>48</v>
      </c>
      <c r="AF86" s="117" t="s">
        <v>48</v>
      </c>
      <c r="AG86" s="117" t="s">
        <v>48</v>
      </c>
      <c r="AH86" s="109" t="s">
        <v>48</v>
      </c>
      <c r="AI86" s="117" t="s">
        <v>48</v>
      </c>
      <c r="AJ86" s="117" t="s">
        <v>48</v>
      </c>
      <c r="AK86" s="182" t="s">
        <v>48</v>
      </c>
      <c r="AL86" s="165" t="s">
        <v>1319</v>
      </c>
      <c r="AM86" s="109" t="s">
        <v>979</v>
      </c>
      <c r="AN86" s="109" t="s">
        <v>1947</v>
      </c>
      <c r="AO86" s="109" t="s">
        <v>2039</v>
      </c>
      <c r="AP86" s="109" t="s">
        <v>1921</v>
      </c>
      <c r="AQ86" s="109" t="s">
        <v>1921</v>
      </c>
      <c r="AR86" s="109" t="s">
        <v>1927</v>
      </c>
      <c r="AS86" s="166" t="s">
        <v>1119</v>
      </c>
      <c r="AT86" s="165" t="s">
        <v>48</v>
      </c>
      <c r="AU86" s="109" t="s">
        <v>48</v>
      </c>
      <c r="AV86" s="109" t="s">
        <v>48</v>
      </c>
      <c r="AW86" s="109" t="s">
        <v>48</v>
      </c>
      <c r="AX86" s="109" t="s">
        <v>48</v>
      </c>
      <c r="AY86" s="109" t="s">
        <v>48</v>
      </c>
      <c r="AZ86" s="166" t="s">
        <v>48</v>
      </c>
      <c r="BA86" s="162" t="s">
        <v>1242</v>
      </c>
      <c r="BB86" s="109" t="s">
        <v>82</v>
      </c>
      <c r="BC86" s="109"/>
    </row>
    <row r="87" spans="1:55" ht="75" customHeight="1">
      <c r="A87" s="109" t="s">
        <v>34</v>
      </c>
      <c r="B87" s="109" t="s">
        <v>2025</v>
      </c>
      <c r="C87" s="109" t="s">
        <v>449</v>
      </c>
      <c r="D87" s="109" t="s">
        <v>979</v>
      </c>
      <c r="E87" s="161">
        <v>15000</v>
      </c>
      <c r="F87" s="165" t="s">
        <v>979</v>
      </c>
      <c r="G87" s="109" t="s">
        <v>979</v>
      </c>
      <c r="H87" s="109" t="s">
        <v>48</v>
      </c>
      <c r="I87" s="109" t="s">
        <v>48</v>
      </c>
      <c r="J87" s="109" t="s">
        <v>48</v>
      </c>
      <c r="K87" s="109" t="s">
        <v>48</v>
      </c>
      <c r="L87" s="109" t="s">
        <v>48</v>
      </c>
      <c r="M87" s="166" t="s">
        <v>48</v>
      </c>
      <c r="N87" s="108" t="s">
        <v>48</v>
      </c>
      <c r="O87" s="109" t="s">
        <v>48</v>
      </c>
      <c r="P87" s="162" t="s">
        <v>48</v>
      </c>
      <c r="Q87" s="109" t="s">
        <v>48</v>
      </c>
      <c r="R87" s="109" t="s">
        <v>48</v>
      </c>
      <c r="S87" s="109" t="s">
        <v>48</v>
      </c>
      <c r="T87" s="109" t="s">
        <v>48</v>
      </c>
      <c r="U87" s="109" t="s">
        <v>48</v>
      </c>
      <c r="V87" s="166" t="s">
        <v>48</v>
      </c>
      <c r="W87" s="165" t="s">
        <v>979</v>
      </c>
      <c r="X87" s="109" t="s">
        <v>979</v>
      </c>
      <c r="Y87" s="109" t="s">
        <v>48</v>
      </c>
      <c r="Z87" s="109" t="s">
        <v>48</v>
      </c>
      <c r="AA87" s="109" t="s">
        <v>48</v>
      </c>
      <c r="AB87" s="109" t="s">
        <v>48</v>
      </c>
      <c r="AC87" s="109" t="s">
        <v>48</v>
      </c>
      <c r="AD87" s="166" t="s">
        <v>48</v>
      </c>
      <c r="AE87" s="174" t="s">
        <v>48</v>
      </c>
      <c r="AF87" s="117" t="s">
        <v>48</v>
      </c>
      <c r="AG87" s="117" t="s">
        <v>48</v>
      </c>
      <c r="AH87" s="109" t="s">
        <v>48</v>
      </c>
      <c r="AI87" s="117" t="s">
        <v>48</v>
      </c>
      <c r="AJ87" s="117" t="s">
        <v>48</v>
      </c>
      <c r="AK87" s="182" t="s">
        <v>48</v>
      </c>
      <c r="AL87" s="165" t="s">
        <v>1319</v>
      </c>
      <c r="AM87" s="109" t="s">
        <v>979</v>
      </c>
      <c r="AN87" s="109" t="s">
        <v>1947</v>
      </c>
      <c r="AO87" s="109" t="s">
        <v>2039</v>
      </c>
      <c r="AP87" s="109" t="s">
        <v>1921</v>
      </c>
      <c r="AQ87" s="109" t="s">
        <v>1921</v>
      </c>
      <c r="AR87" s="109" t="s">
        <v>1927</v>
      </c>
      <c r="AS87" s="166" t="s">
        <v>1119</v>
      </c>
      <c r="AT87" s="165" t="s">
        <v>48</v>
      </c>
      <c r="AU87" s="109" t="s">
        <v>48</v>
      </c>
      <c r="AV87" s="109" t="s">
        <v>48</v>
      </c>
      <c r="AW87" s="109" t="s">
        <v>48</v>
      </c>
      <c r="AX87" s="109" t="s">
        <v>48</v>
      </c>
      <c r="AY87" s="109" t="s">
        <v>48</v>
      </c>
      <c r="AZ87" s="166" t="s">
        <v>48</v>
      </c>
      <c r="BA87" s="162" t="s">
        <v>1242</v>
      </c>
      <c r="BB87" s="109" t="s">
        <v>82</v>
      </c>
      <c r="BC87" s="109"/>
    </row>
    <row r="88" spans="1:55" ht="75" hidden="1" customHeight="1">
      <c r="A88" s="109" t="s">
        <v>1115</v>
      </c>
      <c r="B88" s="109" t="s">
        <v>2478</v>
      </c>
      <c r="C88" s="109" t="s">
        <v>1170</v>
      </c>
      <c r="D88" s="109" t="s">
        <v>1125</v>
      </c>
      <c r="E88" s="161">
        <v>15000</v>
      </c>
      <c r="F88" s="165" t="s">
        <v>1125</v>
      </c>
      <c r="G88" s="109" t="s">
        <v>1125</v>
      </c>
      <c r="H88" s="109" t="s">
        <v>48</v>
      </c>
      <c r="I88" s="109" t="s">
        <v>48</v>
      </c>
      <c r="J88" s="109" t="s">
        <v>48</v>
      </c>
      <c r="K88" s="109" t="s">
        <v>48</v>
      </c>
      <c r="L88" s="109" t="s">
        <v>48</v>
      </c>
      <c r="M88" s="166" t="s">
        <v>48</v>
      </c>
      <c r="N88" s="108" t="s">
        <v>48</v>
      </c>
      <c r="O88" s="109" t="s">
        <v>48</v>
      </c>
      <c r="P88" s="162" t="s">
        <v>48</v>
      </c>
      <c r="Q88" s="109" t="s">
        <v>48</v>
      </c>
      <c r="R88" s="109" t="s">
        <v>48</v>
      </c>
      <c r="S88" s="109" t="s">
        <v>48</v>
      </c>
      <c r="T88" s="109" t="s">
        <v>48</v>
      </c>
      <c r="U88" s="109" t="s">
        <v>48</v>
      </c>
      <c r="V88" s="166" t="s">
        <v>48</v>
      </c>
      <c r="W88" s="165" t="s">
        <v>1125</v>
      </c>
      <c r="X88" s="109" t="s">
        <v>1125</v>
      </c>
      <c r="Y88" s="109" t="s">
        <v>48</v>
      </c>
      <c r="Z88" s="109" t="s">
        <v>48</v>
      </c>
      <c r="AA88" s="109" t="s">
        <v>48</v>
      </c>
      <c r="AB88" s="109" t="s">
        <v>48</v>
      </c>
      <c r="AC88" s="109" t="s">
        <v>48</v>
      </c>
      <c r="AD88" s="166" t="s">
        <v>48</v>
      </c>
      <c r="AE88" s="174" t="s">
        <v>48</v>
      </c>
      <c r="AF88" s="117" t="s">
        <v>48</v>
      </c>
      <c r="AG88" s="117" t="s">
        <v>48</v>
      </c>
      <c r="AH88" s="109" t="s">
        <v>48</v>
      </c>
      <c r="AI88" s="117" t="s">
        <v>48</v>
      </c>
      <c r="AJ88" s="117" t="s">
        <v>48</v>
      </c>
      <c r="AK88" s="182" t="s">
        <v>48</v>
      </c>
      <c r="AL88" s="165" t="s">
        <v>1117</v>
      </c>
      <c r="AM88" s="109" t="s">
        <v>1125</v>
      </c>
      <c r="AN88" s="109" t="s">
        <v>1135</v>
      </c>
      <c r="AO88" s="109" t="s">
        <v>1908</v>
      </c>
      <c r="AP88" s="109" t="s">
        <v>1921</v>
      </c>
      <c r="AQ88" s="109" t="s">
        <v>1921</v>
      </c>
      <c r="AR88" s="109" t="s">
        <v>1926</v>
      </c>
      <c r="AS88" s="166" t="s">
        <v>1119</v>
      </c>
      <c r="AT88" s="165" t="s">
        <v>48</v>
      </c>
      <c r="AU88" s="109" t="s">
        <v>48</v>
      </c>
      <c r="AV88" s="109" t="s">
        <v>48</v>
      </c>
      <c r="AW88" s="109" t="s">
        <v>48</v>
      </c>
      <c r="AX88" s="109" t="s">
        <v>48</v>
      </c>
      <c r="AY88" s="109" t="s">
        <v>48</v>
      </c>
      <c r="AZ88" s="166" t="s">
        <v>48</v>
      </c>
      <c r="BA88" s="162" t="s">
        <v>1242</v>
      </c>
      <c r="BB88" s="109" t="s">
        <v>82</v>
      </c>
      <c r="BC88" s="109"/>
    </row>
    <row r="89" spans="1:55" ht="75" hidden="1" customHeight="1">
      <c r="A89" s="109" t="s">
        <v>1115</v>
      </c>
      <c r="B89" s="109" t="s">
        <v>2478</v>
      </c>
      <c r="C89" s="109" t="s">
        <v>1170</v>
      </c>
      <c r="D89" s="109" t="s">
        <v>1125</v>
      </c>
      <c r="E89" s="161">
        <v>15000</v>
      </c>
      <c r="F89" s="165" t="s">
        <v>945</v>
      </c>
      <c r="G89" s="109" t="s">
        <v>945</v>
      </c>
      <c r="H89" s="109" t="s">
        <v>1918</v>
      </c>
      <c r="I89" s="109" t="s">
        <v>2091</v>
      </c>
      <c r="J89" s="109" t="s">
        <v>1904</v>
      </c>
      <c r="K89" s="109" t="s">
        <v>1904</v>
      </c>
      <c r="L89" s="109" t="s">
        <v>1919</v>
      </c>
      <c r="M89" s="166" t="s">
        <v>1920</v>
      </c>
      <c r="N89" s="108" t="s">
        <v>48</v>
      </c>
      <c r="O89" s="109" t="s">
        <v>48</v>
      </c>
      <c r="P89" s="162" t="s">
        <v>48</v>
      </c>
      <c r="Q89" s="109" t="s">
        <v>48</v>
      </c>
      <c r="R89" s="109" t="s">
        <v>48</v>
      </c>
      <c r="S89" s="109" t="s">
        <v>48</v>
      </c>
      <c r="T89" s="109" t="s">
        <v>48</v>
      </c>
      <c r="U89" s="109" t="s">
        <v>48</v>
      </c>
      <c r="V89" s="166" t="s">
        <v>48</v>
      </c>
      <c r="W89" s="165" t="s">
        <v>1117</v>
      </c>
      <c r="X89" s="109" t="s">
        <v>1125</v>
      </c>
      <c r="Y89" s="109" t="s">
        <v>1925</v>
      </c>
      <c r="Z89" s="109" t="s">
        <v>1908</v>
      </c>
      <c r="AA89" s="109" t="s">
        <v>1921</v>
      </c>
      <c r="AB89" s="109" t="s">
        <v>1921</v>
      </c>
      <c r="AC89" s="109" t="s">
        <v>1926</v>
      </c>
      <c r="AD89" s="166" t="s">
        <v>1119</v>
      </c>
      <c r="AE89" s="174" t="s">
        <v>48</v>
      </c>
      <c r="AF89" s="117" t="s">
        <v>48</v>
      </c>
      <c r="AG89" s="117" t="s">
        <v>48</v>
      </c>
      <c r="AH89" s="109" t="s">
        <v>48</v>
      </c>
      <c r="AI89" s="117" t="s">
        <v>48</v>
      </c>
      <c r="AJ89" s="117" t="s">
        <v>48</v>
      </c>
      <c r="AK89" s="182" t="s">
        <v>48</v>
      </c>
      <c r="AL89" s="165" t="s">
        <v>1125</v>
      </c>
      <c r="AM89" s="109" t="s">
        <v>1125</v>
      </c>
      <c r="AN89" s="109" t="s">
        <v>48</v>
      </c>
      <c r="AO89" s="109" t="s">
        <v>48</v>
      </c>
      <c r="AP89" s="109" t="s">
        <v>48</v>
      </c>
      <c r="AQ89" s="109" t="s">
        <v>48</v>
      </c>
      <c r="AR89" s="109" t="s">
        <v>48</v>
      </c>
      <c r="AS89" s="166" t="s">
        <v>48</v>
      </c>
      <c r="AT89" s="165" t="s">
        <v>48</v>
      </c>
      <c r="AU89" s="109" t="s">
        <v>48</v>
      </c>
      <c r="AV89" s="109" t="s">
        <v>48</v>
      </c>
      <c r="AW89" s="109" t="s">
        <v>48</v>
      </c>
      <c r="AX89" s="109" t="s">
        <v>48</v>
      </c>
      <c r="AY89" s="109" t="s">
        <v>48</v>
      </c>
      <c r="AZ89" s="166" t="s">
        <v>48</v>
      </c>
      <c r="BA89" s="162" t="s">
        <v>1243</v>
      </c>
      <c r="BB89" s="109" t="s">
        <v>82</v>
      </c>
      <c r="BC89" s="109"/>
    </row>
    <row r="90" spans="1:55" ht="75" customHeight="1">
      <c r="A90" s="109" t="s">
        <v>1118</v>
      </c>
      <c r="B90" s="109" t="s">
        <v>2476</v>
      </c>
      <c r="C90" s="109" t="s">
        <v>1170</v>
      </c>
      <c r="D90" s="109" t="s">
        <v>1125</v>
      </c>
      <c r="E90" s="161">
        <v>15000</v>
      </c>
      <c r="F90" s="165" t="s">
        <v>1125</v>
      </c>
      <c r="G90" s="109" t="s">
        <v>1125</v>
      </c>
      <c r="H90" s="109" t="s">
        <v>48</v>
      </c>
      <c r="I90" s="109" t="s">
        <v>48</v>
      </c>
      <c r="J90" s="109" t="s">
        <v>48</v>
      </c>
      <c r="K90" s="109" t="s">
        <v>48</v>
      </c>
      <c r="L90" s="109" t="s">
        <v>48</v>
      </c>
      <c r="M90" s="166" t="s">
        <v>48</v>
      </c>
      <c r="N90" s="108" t="s">
        <v>48</v>
      </c>
      <c r="O90" s="109" t="s">
        <v>48</v>
      </c>
      <c r="P90" s="162" t="s">
        <v>48</v>
      </c>
      <c r="Q90" s="109" t="s">
        <v>48</v>
      </c>
      <c r="R90" s="109" t="s">
        <v>48</v>
      </c>
      <c r="S90" s="109" t="s">
        <v>48</v>
      </c>
      <c r="T90" s="109" t="s">
        <v>48</v>
      </c>
      <c r="U90" s="109" t="s">
        <v>48</v>
      </c>
      <c r="V90" s="166" t="s">
        <v>48</v>
      </c>
      <c r="W90" s="165" t="s">
        <v>1125</v>
      </c>
      <c r="X90" s="109" t="s">
        <v>1125</v>
      </c>
      <c r="Y90" s="109" t="s">
        <v>48</v>
      </c>
      <c r="Z90" s="109" t="s">
        <v>48</v>
      </c>
      <c r="AA90" s="109" t="s">
        <v>48</v>
      </c>
      <c r="AB90" s="109" t="s">
        <v>48</v>
      </c>
      <c r="AC90" s="109" t="s">
        <v>48</v>
      </c>
      <c r="AD90" s="166" t="s">
        <v>48</v>
      </c>
      <c r="AE90" s="174" t="s">
        <v>48</v>
      </c>
      <c r="AF90" s="117" t="s">
        <v>48</v>
      </c>
      <c r="AG90" s="117" t="s">
        <v>48</v>
      </c>
      <c r="AH90" s="109" t="s">
        <v>48</v>
      </c>
      <c r="AI90" s="117" t="s">
        <v>48</v>
      </c>
      <c r="AJ90" s="117" t="s">
        <v>48</v>
      </c>
      <c r="AK90" s="182" t="s">
        <v>48</v>
      </c>
      <c r="AL90" s="165" t="s">
        <v>1117</v>
      </c>
      <c r="AM90" s="109" t="s">
        <v>1125</v>
      </c>
      <c r="AN90" s="109" t="s">
        <v>1135</v>
      </c>
      <c r="AO90" s="109" t="s">
        <v>1908</v>
      </c>
      <c r="AP90" s="109" t="s">
        <v>1921</v>
      </c>
      <c r="AQ90" s="109" t="s">
        <v>1921</v>
      </c>
      <c r="AR90" s="109" t="s">
        <v>1926</v>
      </c>
      <c r="AS90" s="166" t="s">
        <v>1119</v>
      </c>
      <c r="AT90" s="165" t="s">
        <v>48</v>
      </c>
      <c r="AU90" s="109" t="s">
        <v>48</v>
      </c>
      <c r="AV90" s="109" t="s">
        <v>48</v>
      </c>
      <c r="AW90" s="109" t="s">
        <v>48</v>
      </c>
      <c r="AX90" s="109" t="s">
        <v>48</v>
      </c>
      <c r="AY90" s="109" t="s">
        <v>48</v>
      </c>
      <c r="AZ90" s="166" t="s">
        <v>48</v>
      </c>
      <c r="BA90" s="162" t="s">
        <v>1242</v>
      </c>
      <c r="BB90" s="109" t="s">
        <v>82</v>
      </c>
      <c r="BC90" s="109"/>
    </row>
    <row r="91" spans="1:55" ht="75" customHeight="1">
      <c r="A91" s="109" t="s">
        <v>35</v>
      </c>
      <c r="B91" s="109" t="s">
        <v>2017</v>
      </c>
      <c r="C91" s="109" t="s">
        <v>1170</v>
      </c>
      <c r="D91" s="109" t="s">
        <v>1126</v>
      </c>
      <c r="E91" s="161">
        <v>15000</v>
      </c>
      <c r="F91" s="165" t="s">
        <v>907</v>
      </c>
      <c r="G91" s="109" t="s">
        <v>907</v>
      </c>
      <c r="H91" s="109" t="s">
        <v>1916</v>
      </c>
      <c r="I91" s="109" t="s">
        <v>2091</v>
      </c>
      <c r="J91" s="109" t="s">
        <v>1904</v>
      </c>
      <c r="K91" s="109" t="s">
        <v>1904</v>
      </c>
      <c r="L91" s="109" t="s">
        <v>1917</v>
      </c>
      <c r="M91" s="166" t="s">
        <v>1905</v>
      </c>
      <c r="N91" s="108" t="s">
        <v>48</v>
      </c>
      <c r="O91" s="109" t="s">
        <v>48</v>
      </c>
      <c r="P91" s="162" t="s">
        <v>48</v>
      </c>
      <c r="Q91" s="109" t="s">
        <v>48</v>
      </c>
      <c r="R91" s="109" t="s">
        <v>48</v>
      </c>
      <c r="S91" s="109" t="s">
        <v>48</v>
      </c>
      <c r="T91" s="109" t="s">
        <v>48</v>
      </c>
      <c r="U91" s="109" t="s">
        <v>48</v>
      </c>
      <c r="V91" s="166" t="s">
        <v>48</v>
      </c>
      <c r="W91" s="165" t="s">
        <v>907</v>
      </c>
      <c r="X91" s="109" t="s">
        <v>1126</v>
      </c>
      <c r="Y91" s="109" t="s">
        <v>1956</v>
      </c>
      <c r="Z91" s="109" t="s">
        <v>1908</v>
      </c>
      <c r="AA91" s="109" t="s">
        <v>1921</v>
      </c>
      <c r="AB91" s="109" t="s">
        <v>1921</v>
      </c>
      <c r="AC91" s="109" t="s">
        <v>1323</v>
      </c>
      <c r="AD91" s="166" t="s">
        <v>1119</v>
      </c>
      <c r="AE91" s="174" t="s">
        <v>48</v>
      </c>
      <c r="AF91" s="117" t="s">
        <v>48</v>
      </c>
      <c r="AG91" s="117" t="s">
        <v>48</v>
      </c>
      <c r="AH91" s="109" t="s">
        <v>48</v>
      </c>
      <c r="AI91" s="117" t="s">
        <v>48</v>
      </c>
      <c r="AJ91" s="117" t="s">
        <v>48</v>
      </c>
      <c r="AK91" s="182" t="s">
        <v>48</v>
      </c>
      <c r="AL91" s="165" t="s">
        <v>907</v>
      </c>
      <c r="AM91" s="109" t="s">
        <v>1126</v>
      </c>
      <c r="AN91" s="109" t="s">
        <v>1951</v>
      </c>
      <c r="AO91" s="109" t="s">
        <v>1908</v>
      </c>
      <c r="AP91" s="109" t="s">
        <v>1921</v>
      </c>
      <c r="AQ91" s="109" t="s">
        <v>1921</v>
      </c>
      <c r="AR91" s="109" t="s">
        <v>1323</v>
      </c>
      <c r="AS91" s="166" t="s">
        <v>1119</v>
      </c>
      <c r="AT91" s="165" t="s">
        <v>48</v>
      </c>
      <c r="AU91" s="109" t="s">
        <v>48</v>
      </c>
      <c r="AV91" s="109" t="s">
        <v>48</v>
      </c>
      <c r="AW91" s="109" t="s">
        <v>48</v>
      </c>
      <c r="AX91" s="109" t="s">
        <v>48</v>
      </c>
      <c r="AY91" s="109" t="s">
        <v>48</v>
      </c>
      <c r="AZ91" s="166" t="s">
        <v>48</v>
      </c>
      <c r="BA91" s="162" t="s">
        <v>1243</v>
      </c>
      <c r="BB91" s="109" t="s">
        <v>82</v>
      </c>
      <c r="BC91" s="109"/>
    </row>
    <row r="92" spans="1:55" ht="75" customHeight="1">
      <c r="A92" s="109" t="s">
        <v>35</v>
      </c>
      <c r="B92" s="109" t="s">
        <v>2017</v>
      </c>
      <c r="C92" s="109" t="s">
        <v>1170</v>
      </c>
      <c r="D92" s="109" t="s">
        <v>1126</v>
      </c>
      <c r="E92" s="161">
        <v>15000</v>
      </c>
      <c r="F92" s="165" t="s">
        <v>907</v>
      </c>
      <c r="G92" s="109" t="s">
        <v>907</v>
      </c>
      <c r="H92" s="109" t="s">
        <v>1916</v>
      </c>
      <c r="I92" s="109" t="s">
        <v>2091</v>
      </c>
      <c r="J92" s="109" t="s">
        <v>1904</v>
      </c>
      <c r="K92" s="109" t="s">
        <v>1904</v>
      </c>
      <c r="L92" s="109" t="s">
        <v>1917</v>
      </c>
      <c r="M92" s="166" t="s">
        <v>1905</v>
      </c>
      <c r="N92" s="108" t="s">
        <v>48</v>
      </c>
      <c r="O92" s="109" t="s">
        <v>48</v>
      </c>
      <c r="P92" s="162" t="s">
        <v>48</v>
      </c>
      <c r="Q92" s="109" t="s">
        <v>48</v>
      </c>
      <c r="R92" s="109" t="s">
        <v>48</v>
      </c>
      <c r="S92" s="109" t="s">
        <v>48</v>
      </c>
      <c r="T92" s="109" t="s">
        <v>48</v>
      </c>
      <c r="U92" s="109" t="s">
        <v>48</v>
      </c>
      <c r="V92" s="166" t="s">
        <v>48</v>
      </c>
      <c r="W92" s="165" t="s">
        <v>907</v>
      </c>
      <c r="X92" s="109" t="s">
        <v>1126</v>
      </c>
      <c r="Y92" s="109" t="s">
        <v>1956</v>
      </c>
      <c r="Z92" s="109" t="s">
        <v>1908</v>
      </c>
      <c r="AA92" s="109" t="s">
        <v>1921</v>
      </c>
      <c r="AB92" s="109" t="s">
        <v>1921</v>
      </c>
      <c r="AC92" s="109" t="s">
        <v>1323</v>
      </c>
      <c r="AD92" s="166" t="s">
        <v>1119</v>
      </c>
      <c r="AE92" s="174" t="s">
        <v>48</v>
      </c>
      <c r="AF92" s="117" t="s">
        <v>48</v>
      </c>
      <c r="AG92" s="117" t="s">
        <v>48</v>
      </c>
      <c r="AH92" s="109" t="s">
        <v>48</v>
      </c>
      <c r="AI92" s="117" t="s">
        <v>48</v>
      </c>
      <c r="AJ92" s="117" t="s">
        <v>48</v>
      </c>
      <c r="AK92" s="182" t="s">
        <v>48</v>
      </c>
      <c r="AL92" s="165" t="s">
        <v>1319</v>
      </c>
      <c r="AM92" s="109" t="s">
        <v>1126</v>
      </c>
      <c r="AN92" s="109" t="s">
        <v>1947</v>
      </c>
      <c r="AO92" s="109" t="s">
        <v>2039</v>
      </c>
      <c r="AP92" s="109" t="s">
        <v>1921</v>
      </c>
      <c r="AQ92" s="109" t="s">
        <v>1921</v>
      </c>
      <c r="AR92" s="109" t="s">
        <v>1927</v>
      </c>
      <c r="AS92" s="166" t="s">
        <v>1119</v>
      </c>
      <c r="AT92" s="165" t="s">
        <v>48</v>
      </c>
      <c r="AU92" s="109" t="s">
        <v>48</v>
      </c>
      <c r="AV92" s="109" t="s">
        <v>48</v>
      </c>
      <c r="AW92" s="109" t="s">
        <v>48</v>
      </c>
      <c r="AX92" s="109" t="s">
        <v>48</v>
      </c>
      <c r="AY92" s="109" t="s">
        <v>48</v>
      </c>
      <c r="AZ92" s="166" t="s">
        <v>48</v>
      </c>
      <c r="BA92" s="162" t="s">
        <v>1243</v>
      </c>
      <c r="BB92" s="109" t="s">
        <v>82</v>
      </c>
      <c r="BC92" s="109"/>
    </row>
    <row r="93" spans="1:55" ht="75" customHeight="1">
      <c r="A93" s="109" t="s">
        <v>34</v>
      </c>
      <c r="B93" s="109" t="s">
        <v>2025</v>
      </c>
      <c r="C93" s="109" t="s">
        <v>1170</v>
      </c>
      <c r="D93" s="109" t="s">
        <v>1126</v>
      </c>
      <c r="E93" s="161">
        <v>15000</v>
      </c>
      <c r="F93" s="165" t="s">
        <v>1126</v>
      </c>
      <c r="G93" s="109" t="s">
        <v>1126</v>
      </c>
      <c r="H93" s="109" t="s">
        <v>48</v>
      </c>
      <c r="I93" s="109" t="s">
        <v>48</v>
      </c>
      <c r="J93" s="109" t="s">
        <v>48</v>
      </c>
      <c r="K93" s="109" t="s">
        <v>48</v>
      </c>
      <c r="L93" s="109" t="s">
        <v>48</v>
      </c>
      <c r="M93" s="166" t="s">
        <v>48</v>
      </c>
      <c r="N93" s="108" t="s">
        <v>48</v>
      </c>
      <c r="O93" s="109" t="s">
        <v>48</v>
      </c>
      <c r="P93" s="162" t="s">
        <v>48</v>
      </c>
      <c r="Q93" s="109" t="s">
        <v>48</v>
      </c>
      <c r="R93" s="109" t="s">
        <v>48</v>
      </c>
      <c r="S93" s="109" t="s">
        <v>48</v>
      </c>
      <c r="T93" s="109" t="s">
        <v>48</v>
      </c>
      <c r="U93" s="109" t="s">
        <v>48</v>
      </c>
      <c r="V93" s="166" t="s">
        <v>48</v>
      </c>
      <c r="W93" s="165" t="s">
        <v>1126</v>
      </c>
      <c r="X93" s="109" t="s">
        <v>1126</v>
      </c>
      <c r="Y93" s="109" t="s">
        <v>48</v>
      </c>
      <c r="Z93" s="109" t="s">
        <v>48</v>
      </c>
      <c r="AA93" s="109" t="s">
        <v>48</v>
      </c>
      <c r="AB93" s="109" t="s">
        <v>48</v>
      </c>
      <c r="AC93" s="109" t="s">
        <v>48</v>
      </c>
      <c r="AD93" s="166" t="s">
        <v>48</v>
      </c>
      <c r="AE93" s="174" t="s">
        <v>48</v>
      </c>
      <c r="AF93" s="117" t="s">
        <v>48</v>
      </c>
      <c r="AG93" s="117" t="s">
        <v>48</v>
      </c>
      <c r="AH93" s="109" t="s">
        <v>48</v>
      </c>
      <c r="AI93" s="117" t="s">
        <v>48</v>
      </c>
      <c r="AJ93" s="117" t="s">
        <v>48</v>
      </c>
      <c r="AK93" s="182" t="s">
        <v>48</v>
      </c>
      <c r="AL93" s="165" t="s">
        <v>907</v>
      </c>
      <c r="AM93" s="109" t="s">
        <v>1126</v>
      </c>
      <c r="AN93" s="109" t="s">
        <v>1951</v>
      </c>
      <c r="AO93" s="109" t="s">
        <v>1908</v>
      </c>
      <c r="AP93" s="109" t="s">
        <v>1921</v>
      </c>
      <c r="AQ93" s="109" t="s">
        <v>1921</v>
      </c>
      <c r="AR93" s="109" t="s">
        <v>1323</v>
      </c>
      <c r="AS93" s="166" t="s">
        <v>1119</v>
      </c>
      <c r="AT93" s="165" t="s">
        <v>48</v>
      </c>
      <c r="AU93" s="109" t="s">
        <v>48</v>
      </c>
      <c r="AV93" s="109" t="s">
        <v>48</v>
      </c>
      <c r="AW93" s="109" t="s">
        <v>48</v>
      </c>
      <c r="AX93" s="109" t="s">
        <v>48</v>
      </c>
      <c r="AY93" s="109" t="s">
        <v>48</v>
      </c>
      <c r="AZ93" s="166" t="s">
        <v>48</v>
      </c>
      <c r="BA93" s="162" t="s">
        <v>1242</v>
      </c>
      <c r="BB93" s="109" t="s">
        <v>82</v>
      </c>
      <c r="BC93" s="109"/>
    </row>
    <row r="94" spans="1:55" ht="75" customHeight="1">
      <c r="A94" s="109" t="s">
        <v>35</v>
      </c>
      <c r="B94" s="109" t="s">
        <v>2017</v>
      </c>
      <c r="C94" s="109" t="s">
        <v>1170</v>
      </c>
      <c r="D94" s="109" t="s">
        <v>1127</v>
      </c>
      <c r="E94" s="161">
        <v>15000</v>
      </c>
      <c r="F94" s="165" t="s">
        <v>1127</v>
      </c>
      <c r="G94" s="109" t="s">
        <v>1127</v>
      </c>
      <c r="H94" s="109" t="s">
        <v>48</v>
      </c>
      <c r="I94" s="109" t="s">
        <v>48</v>
      </c>
      <c r="J94" s="109" t="s">
        <v>48</v>
      </c>
      <c r="K94" s="109" t="s">
        <v>48</v>
      </c>
      <c r="L94" s="109" t="s">
        <v>48</v>
      </c>
      <c r="M94" s="166" t="s">
        <v>48</v>
      </c>
      <c r="N94" s="108" t="s">
        <v>48</v>
      </c>
      <c r="O94" s="109" t="s">
        <v>48</v>
      </c>
      <c r="P94" s="162" t="s">
        <v>48</v>
      </c>
      <c r="Q94" s="109" t="s">
        <v>48</v>
      </c>
      <c r="R94" s="109" t="s">
        <v>48</v>
      </c>
      <c r="S94" s="109" t="s">
        <v>48</v>
      </c>
      <c r="T94" s="109" t="s">
        <v>48</v>
      </c>
      <c r="U94" s="109" t="s">
        <v>48</v>
      </c>
      <c r="V94" s="166" t="s">
        <v>48</v>
      </c>
      <c r="W94" s="165" t="s">
        <v>1318</v>
      </c>
      <c r="X94" s="109" t="s">
        <v>1127</v>
      </c>
      <c r="Y94" s="109" t="s">
        <v>1955</v>
      </c>
      <c r="Z94" s="117" t="s">
        <v>2039</v>
      </c>
      <c r="AA94" s="109" t="s">
        <v>1921</v>
      </c>
      <c r="AB94" s="109" t="s">
        <v>1921</v>
      </c>
      <c r="AC94" s="109" t="s">
        <v>1924</v>
      </c>
      <c r="AD94" s="166" t="s">
        <v>1119</v>
      </c>
      <c r="AE94" s="174" t="s">
        <v>48</v>
      </c>
      <c r="AF94" s="117" t="s">
        <v>48</v>
      </c>
      <c r="AG94" s="117" t="s">
        <v>48</v>
      </c>
      <c r="AH94" s="109" t="s">
        <v>48</v>
      </c>
      <c r="AI94" s="117" t="s">
        <v>48</v>
      </c>
      <c r="AJ94" s="117" t="s">
        <v>48</v>
      </c>
      <c r="AK94" s="182" t="s">
        <v>48</v>
      </c>
      <c r="AL94" s="165" t="s">
        <v>1318</v>
      </c>
      <c r="AM94" s="109" t="s">
        <v>1127</v>
      </c>
      <c r="AN94" s="109" t="s">
        <v>1949</v>
      </c>
      <c r="AO94" s="109" t="s">
        <v>2039</v>
      </c>
      <c r="AP94" s="109" t="s">
        <v>1921</v>
      </c>
      <c r="AQ94" s="109" t="s">
        <v>1921</v>
      </c>
      <c r="AR94" s="109" t="s">
        <v>1924</v>
      </c>
      <c r="AS94" s="166" t="s">
        <v>1119</v>
      </c>
      <c r="AT94" s="165" t="s">
        <v>48</v>
      </c>
      <c r="AU94" s="109" t="s">
        <v>48</v>
      </c>
      <c r="AV94" s="109" t="s">
        <v>48</v>
      </c>
      <c r="AW94" s="109" t="s">
        <v>48</v>
      </c>
      <c r="AX94" s="109" t="s">
        <v>48</v>
      </c>
      <c r="AY94" s="109" t="s">
        <v>48</v>
      </c>
      <c r="AZ94" s="166" t="s">
        <v>48</v>
      </c>
      <c r="BA94" s="162" t="s">
        <v>1372</v>
      </c>
      <c r="BB94" s="109" t="s">
        <v>82</v>
      </c>
      <c r="BC94" s="109"/>
    </row>
    <row r="95" spans="1:55" ht="75" customHeight="1">
      <c r="A95" s="109" t="s">
        <v>34</v>
      </c>
      <c r="B95" s="109" t="s">
        <v>2025</v>
      </c>
      <c r="C95" s="109" t="s">
        <v>1170</v>
      </c>
      <c r="D95" s="109" t="s">
        <v>1127</v>
      </c>
      <c r="E95" s="161">
        <v>15000</v>
      </c>
      <c r="F95" s="165" t="s">
        <v>1127</v>
      </c>
      <c r="G95" s="109" t="s">
        <v>1127</v>
      </c>
      <c r="H95" s="109" t="s">
        <v>48</v>
      </c>
      <c r="I95" s="109" t="s">
        <v>48</v>
      </c>
      <c r="J95" s="109" t="s">
        <v>48</v>
      </c>
      <c r="K95" s="109" t="s">
        <v>48</v>
      </c>
      <c r="L95" s="109" t="s">
        <v>48</v>
      </c>
      <c r="M95" s="166" t="s">
        <v>48</v>
      </c>
      <c r="N95" s="108" t="s">
        <v>48</v>
      </c>
      <c r="O95" s="109" t="s">
        <v>48</v>
      </c>
      <c r="P95" s="162" t="s">
        <v>48</v>
      </c>
      <c r="Q95" s="109" t="s">
        <v>48</v>
      </c>
      <c r="R95" s="109" t="s">
        <v>48</v>
      </c>
      <c r="S95" s="109" t="s">
        <v>48</v>
      </c>
      <c r="T95" s="109" t="s">
        <v>48</v>
      </c>
      <c r="U95" s="109" t="s">
        <v>48</v>
      </c>
      <c r="V95" s="166" t="s">
        <v>48</v>
      </c>
      <c r="W95" s="165" t="s">
        <v>1127</v>
      </c>
      <c r="X95" s="109" t="s">
        <v>1127</v>
      </c>
      <c r="Y95" s="109" t="s">
        <v>48</v>
      </c>
      <c r="Z95" s="109" t="s">
        <v>48</v>
      </c>
      <c r="AA95" s="109" t="s">
        <v>48</v>
      </c>
      <c r="AB95" s="109" t="s">
        <v>48</v>
      </c>
      <c r="AC95" s="109" t="s">
        <v>48</v>
      </c>
      <c r="AD95" s="166" t="s">
        <v>48</v>
      </c>
      <c r="AE95" s="174" t="s">
        <v>48</v>
      </c>
      <c r="AF95" s="117" t="s">
        <v>48</v>
      </c>
      <c r="AG95" s="117" t="s">
        <v>48</v>
      </c>
      <c r="AH95" s="109" t="s">
        <v>48</v>
      </c>
      <c r="AI95" s="117" t="s">
        <v>48</v>
      </c>
      <c r="AJ95" s="117" t="s">
        <v>48</v>
      </c>
      <c r="AK95" s="182" t="s">
        <v>48</v>
      </c>
      <c r="AL95" s="165" t="s">
        <v>1318</v>
      </c>
      <c r="AM95" s="109" t="s">
        <v>1127</v>
      </c>
      <c r="AN95" s="109" t="s">
        <v>1949</v>
      </c>
      <c r="AO95" s="109" t="s">
        <v>2039</v>
      </c>
      <c r="AP95" s="109" t="s">
        <v>1921</v>
      </c>
      <c r="AQ95" s="109" t="s">
        <v>1921</v>
      </c>
      <c r="AR95" s="109" t="s">
        <v>1924</v>
      </c>
      <c r="AS95" s="166" t="s">
        <v>1119</v>
      </c>
      <c r="AT95" s="165" t="s">
        <v>48</v>
      </c>
      <c r="AU95" s="109" t="s">
        <v>48</v>
      </c>
      <c r="AV95" s="109" t="s">
        <v>48</v>
      </c>
      <c r="AW95" s="109" t="s">
        <v>48</v>
      </c>
      <c r="AX95" s="109" t="s">
        <v>48</v>
      </c>
      <c r="AY95" s="109" t="s">
        <v>48</v>
      </c>
      <c r="AZ95" s="166" t="s">
        <v>48</v>
      </c>
      <c r="BA95" s="162" t="s">
        <v>1242</v>
      </c>
      <c r="BB95" s="109" t="s">
        <v>82</v>
      </c>
      <c r="BC95" s="109"/>
    </row>
    <row r="96" spans="1:55" ht="75" customHeight="1">
      <c r="A96" s="109" t="s">
        <v>35</v>
      </c>
      <c r="B96" s="109" t="s">
        <v>2017</v>
      </c>
      <c r="C96" s="109" t="s">
        <v>1170</v>
      </c>
      <c r="D96" s="109" t="s">
        <v>1128</v>
      </c>
      <c r="E96" s="161">
        <v>15000</v>
      </c>
      <c r="F96" s="165" t="s">
        <v>1128</v>
      </c>
      <c r="G96" s="109" t="s">
        <v>1128</v>
      </c>
      <c r="H96" s="109" t="s">
        <v>48</v>
      </c>
      <c r="I96" s="109" t="s">
        <v>48</v>
      </c>
      <c r="J96" s="109" t="s">
        <v>48</v>
      </c>
      <c r="K96" s="109" t="s">
        <v>48</v>
      </c>
      <c r="L96" s="109" t="s">
        <v>48</v>
      </c>
      <c r="M96" s="166" t="s">
        <v>48</v>
      </c>
      <c r="N96" s="108" t="s">
        <v>48</v>
      </c>
      <c r="O96" s="109" t="s">
        <v>48</v>
      </c>
      <c r="P96" s="162" t="s">
        <v>48</v>
      </c>
      <c r="Q96" s="109" t="s">
        <v>48</v>
      </c>
      <c r="R96" s="109" t="s">
        <v>48</v>
      </c>
      <c r="S96" s="109" t="s">
        <v>48</v>
      </c>
      <c r="T96" s="109" t="s">
        <v>48</v>
      </c>
      <c r="U96" s="109" t="s">
        <v>48</v>
      </c>
      <c r="V96" s="166" t="s">
        <v>48</v>
      </c>
      <c r="W96" s="165" t="s">
        <v>1128</v>
      </c>
      <c r="X96" s="109" t="s">
        <v>1128</v>
      </c>
      <c r="Y96" s="109" t="s">
        <v>48</v>
      </c>
      <c r="Z96" s="109" t="s">
        <v>48</v>
      </c>
      <c r="AA96" s="109" t="s">
        <v>48</v>
      </c>
      <c r="AB96" s="109" t="s">
        <v>48</v>
      </c>
      <c r="AC96" s="109" t="s">
        <v>48</v>
      </c>
      <c r="AD96" s="166" t="s">
        <v>48</v>
      </c>
      <c r="AE96" s="174" t="s">
        <v>48</v>
      </c>
      <c r="AF96" s="117" t="s">
        <v>48</v>
      </c>
      <c r="AG96" s="117" t="s">
        <v>48</v>
      </c>
      <c r="AH96" s="109" t="s">
        <v>48</v>
      </c>
      <c r="AI96" s="117" t="s">
        <v>48</v>
      </c>
      <c r="AJ96" s="117" t="s">
        <v>48</v>
      </c>
      <c r="AK96" s="182" t="s">
        <v>48</v>
      </c>
      <c r="AL96" s="165" t="s">
        <v>1319</v>
      </c>
      <c r="AM96" s="109" t="s">
        <v>1128</v>
      </c>
      <c r="AN96" s="109" t="s">
        <v>1947</v>
      </c>
      <c r="AO96" s="109" t="s">
        <v>2039</v>
      </c>
      <c r="AP96" s="109" t="s">
        <v>1921</v>
      </c>
      <c r="AQ96" s="109" t="s">
        <v>1921</v>
      </c>
      <c r="AR96" s="109" t="s">
        <v>1927</v>
      </c>
      <c r="AS96" s="166" t="s">
        <v>1119</v>
      </c>
      <c r="AT96" s="165" t="s">
        <v>48</v>
      </c>
      <c r="AU96" s="109" t="s">
        <v>48</v>
      </c>
      <c r="AV96" s="109" t="s">
        <v>48</v>
      </c>
      <c r="AW96" s="109" t="s">
        <v>48</v>
      </c>
      <c r="AX96" s="109" t="s">
        <v>48</v>
      </c>
      <c r="AY96" s="109" t="s">
        <v>48</v>
      </c>
      <c r="AZ96" s="166" t="s">
        <v>48</v>
      </c>
      <c r="BA96" s="162" t="s">
        <v>1242</v>
      </c>
      <c r="BB96" s="109" t="s">
        <v>82</v>
      </c>
      <c r="BC96" s="109"/>
    </row>
    <row r="97" spans="1:55" ht="75" customHeight="1">
      <c r="A97" s="109" t="s">
        <v>34</v>
      </c>
      <c r="B97" s="109" t="s">
        <v>2025</v>
      </c>
      <c r="C97" s="109" t="s">
        <v>1170</v>
      </c>
      <c r="D97" s="109" t="s">
        <v>1128</v>
      </c>
      <c r="E97" s="161">
        <v>15000</v>
      </c>
      <c r="F97" s="165" t="s">
        <v>1128</v>
      </c>
      <c r="G97" s="109" t="s">
        <v>1128</v>
      </c>
      <c r="H97" s="109" t="s">
        <v>48</v>
      </c>
      <c r="I97" s="109" t="s">
        <v>48</v>
      </c>
      <c r="J97" s="109" t="s">
        <v>48</v>
      </c>
      <c r="K97" s="109" t="s">
        <v>48</v>
      </c>
      <c r="L97" s="109" t="s">
        <v>48</v>
      </c>
      <c r="M97" s="166" t="s">
        <v>48</v>
      </c>
      <c r="N97" s="108" t="s">
        <v>48</v>
      </c>
      <c r="O97" s="109" t="s">
        <v>48</v>
      </c>
      <c r="P97" s="162" t="s">
        <v>48</v>
      </c>
      <c r="Q97" s="109" t="s">
        <v>48</v>
      </c>
      <c r="R97" s="109" t="s">
        <v>48</v>
      </c>
      <c r="S97" s="109" t="s">
        <v>48</v>
      </c>
      <c r="T97" s="109" t="s">
        <v>48</v>
      </c>
      <c r="U97" s="109" t="s">
        <v>48</v>
      </c>
      <c r="V97" s="166" t="s">
        <v>48</v>
      </c>
      <c r="W97" s="165" t="s">
        <v>1128</v>
      </c>
      <c r="X97" s="109" t="s">
        <v>1128</v>
      </c>
      <c r="Y97" s="109" t="s">
        <v>48</v>
      </c>
      <c r="Z97" s="109" t="s">
        <v>48</v>
      </c>
      <c r="AA97" s="109" t="s">
        <v>48</v>
      </c>
      <c r="AB97" s="109" t="s">
        <v>48</v>
      </c>
      <c r="AC97" s="109" t="s">
        <v>48</v>
      </c>
      <c r="AD97" s="166" t="s">
        <v>48</v>
      </c>
      <c r="AE97" s="174" t="s">
        <v>48</v>
      </c>
      <c r="AF97" s="117" t="s">
        <v>48</v>
      </c>
      <c r="AG97" s="117" t="s">
        <v>48</v>
      </c>
      <c r="AH97" s="109" t="s">
        <v>48</v>
      </c>
      <c r="AI97" s="117" t="s">
        <v>48</v>
      </c>
      <c r="AJ97" s="117" t="s">
        <v>48</v>
      </c>
      <c r="AK97" s="182" t="s">
        <v>48</v>
      </c>
      <c r="AL97" s="165" t="s">
        <v>1319</v>
      </c>
      <c r="AM97" s="109" t="s">
        <v>1128</v>
      </c>
      <c r="AN97" s="109" t="s">
        <v>1947</v>
      </c>
      <c r="AO97" s="109" t="s">
        <v>2039</v>
      </c>
      <c r="AP97" s="109" t="s">
        <v>1921</v>
      </c>
      <c r="AQ97" s="109" t="s">
        <v>1921</v>
      </c>
      <c r="AR97" s="109" t="s">
        <v>1927</v>
      </c>
      <c r="AS97" s="166" t="s">
        <v>1119</v>
      </c>
      <c r="AT97" s="165" t="s">
        <v>48</v>
      </c>
      <c r="AU97" s="109" t="s">
        <v>48</v>
      </c>
      <c r="AV97" s="109" t="s">
        <v>48</v>
      </c>
      <c r="AW97" s="109" t="s">
        <v>48</v>
      </c>
      <c r="AX97" s="109" t="s">
        <v>48</v>
      </c>
      <c r="AY97" s="109" t="s">
        <v>48</v>
      </c>
      <c r="AZ97" s="166" t="s">
        <v>48</v>
      </c>
      <c r="BA97" s="162" t="s">
        <v>1242</v>
      </c>
      <c r="BB97" s="109" t="s">
        <v>82</v>
      </c>
      <c r="BC97" s="109"/>
    </row>
    <row r="98" spans="1:55" ht="75" hidden="1" customHeight="1">
      <c r="A98" s="109" t="s">
        <v>1115</v>
      </c>
      <c r="B98" s="109" t="s">
        <v>2478</v>
      </c>
      <c r="C98" s="109" t="s">
        <v>1168</v>
      </c>
      <c r="D98" s="109" t="s">
        <v>532</v>
      </c>
      <c r="E98" s="161">
        <v>15000</v>
      </c>
      <c r="F98" s="165" t="s">
        <v>532</v>
      </c>
      <c r="G98" s="109" t="s">
        <v>532</v>
      </c>
      <c r="H98" s="109" t="s">
        <v>48</v>
      </c>
      <c r="I98" s="109" t="s">
        <v>48</v>
      </c>
      <c r="J98" s="109" t="s">
        <v>48</v>
      </c>
      <c r="K98" s="109" t="s">
        <v>48</v>
      </c>
      <c r="L98" s="109" t="s">
        <v>48</v>
      </c>
      <c r="M98" s="166" t="s">
        <v>48</v>
      </c>
      <c r="N98" s="108" t="s">
        <v>48</v>
      </c>
      <c r="O98" s="109" t="s">
        <v>48</v>
      </c>
      <c r="P98" s="162" t="s">
        <v>48</v>
      </c>
      <c r="Q98" s="109" t="s">
        <v>48</v>
      </c>
      <c r="R98" s="109" t="s">
        <v>48</v>
      </c>
      <c r="S98" s="109" t="s">
        <v>48</v>
      </c>
      <c r="T98" s="109" t="s">
        <v>48</v>
      </c>
      <c r="U98" s="109" t="s">
        <v>48</v>
      </c>
      <c r="V98" s="166" t="s">
        <v>48</v>
      </c>
      <c r="W98" s="165" t="s">
        <v>532</v>
      </c>
      <c r="X98" s="109" t="s">
        <v>532</v>
      </c>
      <c r="Y98" s="109" t="s">
        <v>48</v>
      </c>
      <c r="Z98" s="109" t="s">
        <v>48</v>
      </c>
      <c r="AA98" s="109" t="s">
        <v>48</v>
      </c>
      <c r="AB98" s="109" t="s">
        <v>48</v>
      </c>
      <c r="AC98" s="109" t="s">
        <v>48</v>
      </c>
      <c r="AD98" s="166" t="s">
        <v>48</v>
      </c>
      <c r="AE98" s="174" t="s">
        <v>48</v>
      </c>
      <c r="AF98" s="117" t="s">
        <v>48</v>
      </c>
      <c r="AG98" s="117" t="s">
        <v>48</v>
      </c>
      <c r="AH98" s="109" t="s">
        <v>48</v>
      </c>
      <c r="AI98" s="117" t="s">
        <v>48</v>
      </c>
      <c r="AJ98" s="117" t="s">
        <v>48</v>
      </c>
      <c r="AK98" s="182" t="s">
        <v>48</v>
      </c>
      <c r="AL98" s="165" t="s">
        <v>1117</v>
      </c>
      <c r="AM98" s="109" t="s">
        <v>532</v>
      </c>
      <c r="AN98" s="109" t="s">
        <v>1135</v>
      </c>
      <c r="AO98" s="109" t="s">
        <v>1908</v>
      </c>
      <c r="AP98" s="109" t="s">
        <v>1921</v>
      </c>
      <c r="AQ98" s="109" t="s">
        <v>1921</v>
      </c>
      <c r="AR98" s="109" t="s">
        <v>1926</v>
      </c>
      <c r="AS98" s="166" t="s">
        <v>1119</v>
      </c>
      <c r="AT98" s="165" t="s">
        <v>48</v>
      </c>
      <c r="AU98" s="109" t="s">
        <v>48</v>
      </c>
      <c r="AV98" s="109" t="s">
        <v>48</v>
      </c>
      <c r="AW98" s="109" t="s">
        <v>48</v>
      </c>
      <c r="AX98" s="109" t="s">
        <v>48</v>
      </c>
      <c r="AY98" s="109" t="s">
        <v>48</v>
      </c>
      <c r="AZ98" s="166" t="s">
        <v>48</v>
      </c>
      <c r="BA98" s="162" t="s">
        <v>1242</v>
      </c>
      <c r="BB98" s="109" t="s">
        <v>82</v>
      </c>
      <c r="BC98" s="109" t="s">
        <v>947</v>
      </c>
    </row>
    <row r="99" spans="1:55" ht="75" hidden="1" customHeight="1">
      <c r="A99" s="109" t="s">
        <v>1115</v>
      </c>
      <c r="B99" s="109" t="s">
        <v>2478</v>
      </c>
      <c r="C99" s="109" t="s">
        <v>1168</v>
      </c>
      <c r="D99" s="109" t="s">
        <v>532</v>
      </c>
      <c r="E99" s="161">
        <v>15000</v>
      </c>
      <c r="F99" s="165" t="s">
        <v>945</v>
      </c>
      <c r="G99" s="109" t="s">
        <v>945</v>
      </c>
      <c r="H99" s="109" t="s">
        <v>1918</v>
      </c>
      <c r="I99" s="109" t="s">
        <v>2091</v>
      </c>
      <c r="J99" s="109" t="s">
        <v>1904</v>
      </c>
      <c r="K99" s="109" t="s">
        <v>1904</v>
      </c>
      <c r="L99" s="109" t="s">
        <v>1919</v>
      </c>
      <c r="M99" s="166" t="s">
        <v>1920</v>
      </c>
      <c r="N99" s="108" t="s">
        <v>48</v>
      </c>
      <c r="O99" s="109" t="s">
        <v>48</v>
      </c>
      <c r="P99" s="162" t="s">
        <v>48</v>
      </c>
      <c r="Q99" s="109" t="s">
        <v>48</v>
      </c>
      <c r="R99" s="109" t="s">
        <v>48</v>
      </c>
      <c r="S99" s="109" t="s">
        <v>48</v>
      </c>
      <c r="T99" s="109" t="s">
        <v>48</v>
      </c>
      <c r="U99" s="109" t="s">
        <v>48</v>
      </c>
      <c r="V99" s="166" t="s">
        <v>48</v>
      </c>
      <c r="W99" s="165" t="s">
        <v>1117</v>
      </c>
      <c r="X99" s="109" t="s">
        <v>532</v>
      </c>
      <c r="Y99" s="109" t="s">
        <v>1925</v>
      </c>
      <c r="Z99" s="109" t="s">
        <v>1908</v>
      </c>
      <c r="AA99" s="109" t="s">
        <v>1921</v>
      </c>
      <c r="AB99" s="109" t="s">
        <v>1921</v>
      </c>
      <c r="AC99" s="109" t="s">
        <v>1926</v>
      </c>
      <c r="AD99" s="166" t="s">
        <v>1119</v>
      </c>
      <c r="AE99" s="174" t="s">
        <v>48</v>
      </c>
      <c r="AF99" s="117" t="s">
        <v>48</v>
      </c>
      <c r="AG99" s="117" t="s">
        <v>48</v>
      </c>
      <c r="AH99" s="109" t="s">
        <v>48</v>
      </c>
      <c r="AI99" s="117" t="s">
        <v>48</v>
      </c>
      <c r="AJ99" s="117" t="s">
        <v>48</v>
      </c>
      <c r="AK99" s="182" t="s">
        <v>48</v>
      </c>
      <c r="AL99" s="165" t="s">
        <v>532</v>
      </c>
      <c r="AM99" s="109" t="s">
        <v>532</v>
      </c>
      <c r="AN99" s="109" t="s">
        <v>48</v>
      </c>
      <c r="AO99" s="109" t="s">
        <v>48</v>
      </c>
      <c r="AP99" s="109" t="s">
        <v>48</v>
      </c>
      <c r="AQ99" s="109" t="s">
        <v>48</v>
      </c>
      <c r="AR99" s="109" t="s">
        <v>48</v>
      </c>
      <c r="AS99" s="166" t="s">
        <v>48</v>
      </c>
      <c r="AT99" s="165" t="s">
        <v>48</v>
      </c>
      <c r="AU99" s="109" t="s">
        <v>48</v>
      </c>
      <c r="AV99" s="109" t="s">
        <v>48</v>
      </c>
      <c r="AW99" s="109" t="s">
        <v>48</v>
      </c>
      <c r="AX99" s="109" t="s">
        <v>48</v>
      </c>
      <c r="AY99" s="109" t="s">
        <v>48</v>
      </c>
      <c r="AZ99" s="166" t="s">
        <v>48</v>
      </c>
      <c r="BA99" s="162" t="s">
        <v>1243</v>
      </c>
      <c r="BB99" s="109" t="s">
        <v>82</v>
      </c>
      <c r="BC99" s="109" t="s">
        <v>947</v>
      </c>
    </row>
    <row r="100" spans="1:55" ht="75" customHeight="1">
      <c r="A100" s="109" t="s">
        <v>1118</v>
      </c>
      <c r="B100" s="109" t="s">
        <v>2476</v>
      </c>
      <c r="C100" s="109" t="s">
        <v>1168</v>
      </c>
      <c r="D100" s="109" t="s">
        <v>532</v>
      </c>
      <c r="E100" s="161">
        <v>15000</v>
      </c>
      <c r="F100" s="165" t="s">
        <v>532</v>
      </c>
      <c r="G100" s="109" t="s">
        <v>532</v>
      </c>
      <c r="H100" s="109" t="s">
        <v>48</v>
      </c>
      <c r="I100" s="109" t="s">
        <v>48</v>
      </c>
      <c r="J100" s="109" t="s">
        <v>48</v>
      </c>
      <c r="K100" s="109" t="s">
        <v>48</v>
      </c>
      <c r="L100" s="109" t="s">
        <v>48</v>
      </c>
      <c r="M100" s="166" t="s">
        <v>48</v>
      </c>
      <c r="N100" s="108" t="s">
        <v>48</v>
      </c>
      <c r="O100" s="109" t="s">
        <v>48</v>
      </c>
      <c r="P100" s="162" t="s">
        <v>48</v>
      </c>
      <c r="Q100" s="109" t="s">
        <v>48</v>
      </c>
      <c r="R100" s="109" t="s">
        <v>48</v>
      </c>
      <c r="S100" s="109" t="s">
        <v>48</v>
      </c>
      <c r="T100" s="109" t="s">
        <v>48</v>
      </c>
      <c r="U100" s="109" t="s">
        <v>48</v>
      </c>
      <c r="V100" s="166" t="s">
        <v>48</v>
      </c>
      <c r="W100" s="165" t="s">
        <v>532</v>
      </c>
      <c r="X100" s="109" t="s">
        <v>532</v>
      </c>
      <c r="Y100" s="109" t="s">
        <v>48</v>
      </c>
      <c r="Z100" s="109" t="s">
        <v>48</v>
      </c>
      <c r="AA100" s="109" t="s">
        <v>48</v>
      </c>
      <c r="AB100" s="109" t="s">
        <v>48</v>
      </c>
      <c r="AC100" s="109" t="s">
        <v>48</v>
      </c>
      <c r="AD100" s="166" t="s">
        <v>48</v>
      </c>
      <c r="AE100" s="174" t="s">
        <v>48</v>
      </c>
      <c r="AF100" s="117" t="s">
        <v>48</v>
      </c>
      <c r="AG100" s="117" t="s">
        <v>48</v>
      </c>
      <c r="AH100" s="109" t="s">
        <v>48</v>
      </c>
      <c r="AI100" s="117" t="s">
        <v>48</v>
      </c>
      <c r="AJ100" s="117" t="s">
        <v>48</v>
      </c>
      <c r="AK100" s="182" t="s">
        <v>48</v>
      </c>
      <c r="AL100" s="165" t="s">
        <v>1117</v>
      </c>
      <c r="AM100" s="109" t="s">
        <v>532</v>
      </c>
      <c r="AN100" s="109" t="s">
        <v>1135</v>
      </c>
      <c r="AO100" s="109" t="s">
        <v>1908</v>
      </c>
      <c r="AP100" s="109" t="s">
        <v>1921</v>
      </c>
      <c r="AQ100" s="109" t="s">
        <v>1921</v>
      </c>
      <c r="AR100" s="109" t="s">
        <v>1926</v>
      </c>
      <c r="AS100" s="166" t="s">
        <v>1119</v>
      </c>
      <c r="AT100" s="165" t="s">
        <v>48</v>
      </c>
      <c r="AU100" s="109" t="s">
        <v>48</v>
      </c>
      <c r="AV100" s="109" t="s">
        <v>48</v>
      </c>
      <c r="AW100" s="109" t="s">
        <v>48</v>
      </c>
      <c r="AX100" s="109" t="s">
        <v>48</v>
      </c>
      <c r="AY100" s="109" t="s">
        <v>48</v>
      </c>
      <c r="AZ100" s="166" t="s">
        <v>48</v>
      </c>
      <c r="BA100" s="162" t="s">
        <v>1242</v>
      </c>
      <c r="BB100" s="109" t="s">
        <v>82</v>
      </c>
      <c r="BC100" s="109" t="s">
        <v>947</v>
      </c>
    </row>
    <row r="101" spans="1:55" ht="75" hidden="1" customHeight="1">
      <c r="A101" s="109" t="s">
        <v>1115</v>
      </c>
      <c r="B101" s="109" t="s">
        <v>2479</v>
      </c>
      <c r="C101" s="109" t="s">
        <v>1168</v>
      </c>
      <c r="D101" s="109" t="s">
        <v>1169</v>
      </c>
      <c r="E101" s="161">
        <v>15000</v>
      </c>
      <c r="F101" s="165" t="s">
        <v>1169</v>
      </c>
      <c r="G101" s="109" t="s">
        <v>1169</v>
      </c>
      <c r="H101" s="109" t="s">
        <v>48</v>
      </c>
      <c r="I101" s="109" t="s">
        <v>48</v>
      </c>
      <c r="J101" s="109" t="s">
        <v>48</v>
      </c>
      <c r="K101" s="109" t="s">
        <v>48</v>
      </c>
      <c r="L101" s="109" t="s">
        <v>48</v>
      </c>
      <c r="M101" s="166" t="s">
        <v>48</v>
      </c>
      <c r="N101" s="108" t="s">
        <v>48</v>
      </c>
      <c r="O101" s="109" t="s">
        <v>48</v>
      </c>
      <c r="P101" s="162" t="s">
        <v>48</v>
      </c>
      <c r="Q101" s="109" t="s">
        <v>48</v>
      </c>
      <c r="R101" s="109" t="s">
        <v>48</v>
      </c>
      <c r="S101" s="109" t="s">
        <v>48</v>
      </c>
      <c r="T101" s="109" t="s">
        <v>48</v>
      </c>
      <c r="U101" s="109" t="s">
        <v>48</v>
      </c>
      <c r="V101" s="166" t="s">
        <v>48</v>
      </c>
      <c r="W101" s="165" t="s">
        <v>1169</v>
      </c>
      <c r="X101" s="109" t="s">
        <v>1169</v>
      </c>
      <c r="Y101" s="109" t="s">
        <v>48</v>
      </c>
      <c r="Z101" s="109" t="s">
        <v>48</v>
      </c>
      <c r="AA101" s="109" t="s">
        <v>48</v>
      </c>
      <c r="AB101" s="109" t="s">
        <v>48</v>
      </c>
      <c r="AC101" s="109" t="s">
        <v>48</v>
      </c>
      <c r="AD101" s="166" t="s">
        <v>48</v>
      </c>
      <c r="AE101" s="174" t="s">
        <v>48</v>
      </c>
      <c r="AF101" s="117" t="s">
        <v>48</v>
      </c>
      <c r="AG101" s="117" t="s">
        <v>48</v>
      </c>
      <c r="AH101" s="109" t="s">
        <v>48</v>
      </c>
      <c r="AI101" s="117" t="s">
        <v>48</v>
      </c>
      <c r="AJ101" s="117" t="s">
        <v>48</v>
      </c>
      <c r="AK101" s="182" t="s">
        <v>48</v>
      </c>
      <c r="AL101" s="165" t="s">
        <v>1117</v>
      </c>
      <c r="AM101" s="109" t="s">
        <v>1169</v>
      </c>
      <c r="AN101" s="109" t="s">
        <v>1135</v>
      </c>
      <c r="AO101" s="109" t="s">
        <v>1908</v>
      </c>
      <c r="AP101" s="109" t="s">
        <v>1921</v>
      </c>
      <c r="AQ101" s="109" t="s">
        <v>1921</v>
      </c>
      <c r="AR101" s="109" t="s">
        <v>1926</v>
      </c>
      <c r="AS101" s="166" t="s">
        <v>1119</v>
      </c>
      <c r="AT101" s="165" t="s">
        <v>48</v>
      </c>
      <c r="AU101" s="109" t="s">
        <v>48</v>
      </c>
      <c r="AV101" s="109" t="s">
        <v>48</v>
      </c>
      <c r="AW101" s="109" t="s">
        <v>48</v>
      </c>
      <c r="AX101" s="109" t="s">
        <v>48</v>
      </c>
      <c r="AY101" s="109" t="s">
        <v>48</v>
      </c>
      <c r="AZ101" s="166" t="s">
        <v>48</v>
      </c>
      <c r="BA101" s="162" t="s">
        <v>1242</v>
      </c>
      <c r="BB101" s="109" t="s">
        <v>82</v>
      </c>
      <c r="BC101" s="109" t="s">
        <v>947</v>
      </c>
    </row>
    <row r="102" spans="1:55" ht="75" customHeight="1">
      <c r="A102" s="109" t="s">
        <v>1118</v>
      </c>
      <c r="B102" s="109" t="s">
        <v>2476</v>
      </c>
      <c r="C102" s="109" t="s">
        <v>1168</v>
      </c>
      <c r="D102" s="109" t="s">
        <v>1169</v>
      </c>
      <c r="E102" s="161">
        <v>15000</v>
      </c>
      <c r="F102" s="165" t="s">
        <v>1169</v>
      </c>
      <c r="G102" s="109" t="s">
        <v>1169</v>
      </c>
      <c r="H102" s="109" t="s">
        <v>48</v>
      </c>
      <c r="I102" s="109" t="s">
        <v>48</v>
      </c>
      <c r="J102" s="109" t="s">
        <v>48</v>
      </c>
      <c r="K102" s="109" t="s">
        <v>48</v>
      </c>
      <c r="L102" s="109" t="s">
        <v>48</v>
      </c>
      <c r="M102" s="166" t="s">
        <v>48</v>
      </c>
      <c r="N102" s="108" t="s">
        <v>48</v>
      </c>
      <c r="O102" s="109" t="s">
        <v>48</v>
      </c>
      <c r="P102" s="162" t="s">
        <v>48</v>
      </c>
      <c r="Q102" s="109" t="s">
        <v>48</v>
      </c>
      <c r="R102" s="109" t="s">
        <v>48</v>
      </c>
      <c r="S102" s="109" t="s">
        <v>48</v>
      </c>
      <c r="T102" s="109" t="s">
        <v>48</v>
      </c>
      <c r="U102" s="109" t="s">
        <v>48</v>
      </c>
      <c r="V102" s="166" t="s">
        <v>48</v>
      </c>
      <c r="W102" s="165" t="s">
        <v>1169</v>
      </c>
      <c r="X102" s="109" t="s">
        <v>1169</v>
      </c>
      <c r="Y102" s="109" t="s">
        <v>48</v>
      </c>
      <c r="Z102" s="109" t="s">
        <v>48</v>
      </c>
      <c r="AA102" s="109" t="s">
        <v>48</v>
      </c>
      <c r="AB102" s="109" t="s">
        <v>48</v>
      </c>
      <c r="AC102" s="109" t="s">
        <v>48</v>
      </c>
      <c r="AD102" s="166" t="s">
        <v>48</v>
      </c>
      <c r="AE102" s="174" t="s">
        <v>48</v>
      </c>
      <c r="AF102" s="117" t="s">
        <v>48</v>
      </c>
      <c r="AG102" s="117" t="s">
        <v>48</v>
      </c>
      <c r="AH102" s="109" t="s">
        <v>48</v>
      </c>
      <c r="AI102" s="117" t="s">
        <v>48</v>
      </c>
      <c r="AJ102" s="117" t="s">
        <v>48</v>
      </c>
      <c r="AK102" s="182" t="s">
        <v>48</v>
      </c>
      <c r="AL102" s="165" t="s">
        <v>1117</v>
      </c>
      <c r="AM102" s="109" t="s">
        <v>1169</v>
      </c>
      <c r="AN102" s="109" t="s">
        <v>1135</v>
      </c>
      <c r="AO102" s="109" t="s">
        <v>1908</v>
      </c>
      <c r="AP102" s="109" t="s">
        <v>1921</v>
      </c>
      <c r="AQ102" s="109" t="s">
        <v>1921</v>
      </c>
      <c r="AR102" s="109" t="s">
        <v>1926</v>
      </c>
      <c r="AS102" s="166" t="s">
        <v>1119</v>
      </c>
      <c r="AT102" s="165" t="s">
        <v>48</v>
      </c>
      <c r="AU102" s="109" t="s">
        <v>48</v>
      </c>
      <c r="AV102" s="109" t="s">
        <v>48</v>
      </c>
      <c r="AW102" s="109" t="s">
        <v>48</v>
      </c>
      <c r="AX102" s="109" t="s">
        <v>48</v>
      </c>
      <c r="AY102" s="109" t="s">
        <v>48</v>
      </c>
      <c r="AZ102" s="166" t="s">
        <v>48</v>
      </c>
      <c r="BA102" s="162" t="s">
        <v>1242</v>
      </c>
      <c r="BB102" s="109" t="s">
        <v>82</v>
      </c>
      <c r="BC102" s="109" t="s">
        <v>947</v>
      </c>
    </row>
    <row r="103" spans="1:55" ht="75" hidden="1" customHeight="1">
      <c r="A103" s="109" t="s">
        <v>1115</v>
      </c>
      <c r="B103" s="109" t="s">
        <v>2478</v>
      </c>
      <c r="C103" s="109" t="s">
        <v>1168</v>
      </c>
      <c r="D103" s="109" t="s">
        <v>533</v>
      </c>
      <c r="E103" s="161">
        <v>15000</v>
      </c>
      <c r="F103" s="165" t="s">
        <v>533</v>
      </c>
      <c r="G103" s="109" t="s">
        <v>533</v>
      </c>
      <c r="H103" s="109" t="s">
        <v>48</v>
      </c>
      <c r="I103" s="109" t="s">
        <v>48</v>
      </c>
      <c r="J103" s="109" t="s">
        <v>48</v>
      </c>
      <c r="K103" s="109" t="s">
        <v>48</v>
      </c>
      <c r="L103" s="109" t="s">
        <v>48</v>
      </c>
      <c r="M103" s="166" t="s">
        <v>48</v>
      </c>
      <c r="N103" s="108" t="s">
        <v>48</v>
      </c>
      <c r="O103" s="109" t="s">
        <v>48</v>
      </c>
      <c r="P103" s="162" t="s">
        <v>48</v>
      </c>
      <c r="Q103" s="109" t="s">
        <v>48</v>
      </c>
      <c r="R103" s="109" t="s">
        <v>48</v>
      </c>
      <c r="S103" s="109" t="s">
        <v>48</v>
      </c>
      <c r="T103" s="109" t="s">
        <v>48</v>
      </c>
      <c r="U103" s="109" t="s">
        <v>48</v>
      </c>
      <c r="V103" s="166" t="s">
        <v>48</v>
      </c>
      <c r="W103" s="165" t="s">
        <v>533</v>
      </c>
      <c r="X103" s="109" t="s">
        <v>533</v>
      </c>
      <c r="Y103" s="109" t="s">
        <v>48</v>
      </c>
      <c r="Z103" s="109" t="s">
        <v>48</v>
      </c>
      <c r="AA103" s="109" t="s">
        <v>48</v>
      </c>
      <c r="AB103" s="109" t="s">
        <v>48</v>
      </c>
      <c r="AC103" s="109" t="s">
        <v>48</v>
      </c>
      <c r="AD103" s="166" t="s">
        <v>48</v>
      </c>
      <c r="AE103" s="174" t="s">
        <v>48</v>
      </c>
      <c r="AF103" s="117" t="s">
        <v>48</v>
      </c>
      <c r="AG103" s="117" t="s">
        <v>48</v>
      </c>
      <c r="AH103" s="109" t="s">
        <v>48</v>
      </c>
      <c r="AI103" s="117" t="s">
        <v>48</v>
      </c>
      <c r="AJ103" s="117" t="s">
        <v>48</v>
      </c>
      <c r="AK103" s="182" t="s">
        <v>48</v>
      </c>
      <c r="AL103" s="165" t="s">
        <v>1117</v>
      </c>
      <c r="AM103" s="109" t="s">
        <v>533</v>
      </c>
      <c r="AN103" s="109" t="s">
        <v>1135</v>
      </c>
      <c r="AO103" s="109" t="s">
        <v>1908</v>
      </c>
      <c r="AP103" s="109" t="s">
        <v>1921</v>
      </c>
      <c r="AQ103" s="109" t="s">
        <v>1921</v>
      </c>
      <c r="AR103" s="109" t="s">
        <v>1926</v>
      </c>
      <c r="AS103" s="166" t="s">
        <v>1119</v>
      </c>
      <c r="AT103" s="165" t="s">
        <v>48</v>
      </c>
      <c r="AU103" s="109" t="s">
        <v>48</v>
      </c>
      <c r="AV103" s="109" t="s">
        <v>48</v>
      </c>
      <c r="AW103" s="109" t="s">
        <v>48</v>
      </c>
      <c r="AX103" s="109" t="s">
        <v>48</v>
      </c>
      <c r="AY103" s="109" t="s">
        <v>48</v>
      </c>
      <c r="AZ103" s="166" t="s">
        <v>48</v>
      </c>
      <c r="BA103" s="162" t="s">
        <v>1242</v>
      </c>
      <c r="BB103" s="109" t="s">
        <v>82</v>
      </c>
      <c r="BC103" s="109" t="s">
        <v>947</v>
      </c>
    </row>
    <row r="104" spans="1:55" ht="75" customHeight="1">
      <c r="A104" s="109" t="s">
        <v>1118</v>
      </c>
      <c r="B104" s="109" t="s">
        <v>2476</v>
      </c>
      <c r="C104" s="109" t="s">
        <v>1168</v>
      </c>
      <c r="D104" s="109" t="s">
        <v>533</v>
      </c>
      <c r="E104" s="161">
        <v>15000</v>
      </c>
      <c r="F104" s="165" t="s">
        <v>533</v>
      </c>
      <c r="G104" s="109" t="s">
        <v>533</v>
      </c>
      <c r="H104" s="109" t="s">
        <v>48</v>
      </c>
      <c r="I104" s="109" t="s">
        <v>48</v>
      </c>
      <c r="J104" s="109" t="s">
        <v>48</v>
      </c>
      <c r="K104" s="109" t="s">
        <v>48</v>
      </c>
      <c r="L104" s="109" t="s">
        <v>48</v>
      </c>
      <c r="M104" s="166" t="s">
        <v>48</v>
      </c>
      <c r="N104" s="108" t="s">
        <v>48</v>
      </c>
      <c r="O104" s="109" t="s">
        <v>48</v>
      </c>
      <c r="P104" s="162" t="s">
        <v>48</v>
      </c>
      <c r="Q104" s="109" t="s">
        <v>48</v>
      </c>
      <c r="R104" s="109" t="s">
        <v>48</v>
      </c>
      <c r="S104" s="109" t="s">
        <v>48</v>
      </c>
      <c r="T104" s="109" t="s">
        <v>48</v>
      </c>
      <c r="U104" s="109" t="s">
        <v>48</v>
      </c>
      <c r="V104" s="166" t="s">
        <v>48</v>
      </c>
      <c r="W104" s="165" t="s">
        <v>533</v>
      </c>
      <c r="X104" s="109" t="s">
        <v>533</v>
      </c>
      <c r="Y104" s="109" t="s">
        <v>48</v>
      </c>
      <c r="Z104" s="109" t="s">
        <v>48</v>
      </c>
      <c r="AA104" s="109" t="s">
        <v>48</v>
      </c>
      <c r="AB104" s="109" t="s">
        <v>48</v>
      </c>
      <c r="AC104" s="109" t="s">
        <v>48</v>
      </c>
      <c r="AD104" s="166" t="s">
        <v>48</v>
      </c>
      <c r="AE104" s="174" t="s">
        <v>48</v>
      </c>
      <c r="AF104" s="117" t="s">
        <v>48</v>
      </c>
      <c r="AG104" s="117" t="s">
        <v>48</v>
      </c>
      <c r="AH104" s="109" t="s">
        <v>48</v>
      </c>
      <c r="AI104" s="117" t="s">
        <v>48</v>
      </c>
      <c r="AJ104" s="117" t="s">
        <v>48</v>
      </c>
      <c r="AK104" s="182" t="s">
        <v>48</v>
      </c>
      <c r="AL104" s="165" t="s">
        <v>1117</v>
      </c>
      <c r="AM104" s="109" t="s">
        <v>533</v>
      </c>
      <c r="AN104" s="109" t="s">
        <v>1135</v>
      </c>
      <c r="AO104" s="109" t="s">
        <v>1908</v>
      </c>
      <c r="AP104" s="109" t="s">
        <v>1921</v>
      </c>
      <c r="AQ104" s="109" t="s">
        <v>1921</v>
      </c>
      <c r="AR104" s="109" t="s">
        <v>1926</v>
      </c>
      <c r="AS104" s="166" t="s">
        <v>1119</v>
      </c>
      <c r="AT104" s="165" t="s">
        <v>48</v>
      </c>
      <c r="AU104" s="109" t="s">
        <v>48</v>
      </c>
      <c r="AV104" s="109" t="s">
        <v>48</v>
      </c>
      <c r="AW104" s="109" t="s">
        <v>48</v>
      </c>
      <c r="AX104" s="109" t="s">
        <v>48</v>
      </c>
      <c r="AY104" s="109" t="s">
        <v>48</v>
      </c>
      <c r="AZ104" s="166" t="s">
        <v>48</v>
      </c>
      <c r="BA104" s="162" t="s">
        <v>1242</v>
      </c>
      <c r="BB104" s="109" t="s">
        <v>82</v>
      </c>
      <c r="BC104" s="109" t="s">
        <v>947</v>
      </c>
    </row>
    <row r="105" spans="1:55" ht="75" hidden="1" customHeight="1">
      <c r="A105" s="109" t="s">
        <v>1115</v>
      </c>
      <c r="B105" s="109" t="s">
        <v>2478</v>
      </c>
      <c r="C105" s="109" t="s">
        <v>1168</v>
      </c>
      <c r="D105" s="109" t="s">
        <v>534</v>
      </c>
      <c r="E105" s="161">
        <v>15000</v>
      </c>
      <c r="F105" s="165" t="s">
        <v>534</v>
      </c>
      <c r="G105" s="109" t="s">
        <v>534</v>
      </c>
      <c r="H105" s="109" t="s">
        <v>48</v>
      </c>
      <c r="I105" s="109" t="s">
        <v>48</v>
      </c>
      <c r="J105" s="109" t="s">
        <v>48</v>
      </c>
      <c r="K105" s="109" t="s">
        <v>48</v>
      </c>
      <c r="L105" s="109" t="s">
        <v>48</v>
      </c>
      <c r="M105" s="166" t="s">
        <v>48</v>
      </c>
      <c r="N105" s="108" t="s">
        <v>48</v>
      </c>
      <c r="O105" s="109" t="s">
        <v>48</v>
      </c>
      <c r="P105" s="162" t="s">
        <v>48</v>
      </c>
      <c r="Q105" s="109" t="s">
        <v>48</v>
      </c>
      <c r="R105" s="109" t="s">
        <v>48</v>
      </c>
      <c r="S105" s="109" t="s">
        <v>48</v>
      </c>
      <c r="T105" s="109" t="s">
        <v>48</v>
      </c>
      <c r="U105" s="109" t="s">
        <v>48</v>
      </c>
      <c r="V105" s="166" t="s">
        <v>48</v>
      </c>
      <c r="W105" s="165" t="s">
        <v>534</v>
      </c>
      <c r="X105" s="109" t="s">
        <v>534</v>
      </c>
      <c r="Y105" s="109" t="s">
        <v>48</v>
      </c>
      <c r="Z105" s="109" t="s">
        <v>48</v>
      </c>
      <c r="AA105" s="109" t="s">
        <v>48</v>
      </c>
      <c r="AB105" s="109" t="s">
        <v>48</v>
      </c>
      <c r="AC105" s="109" t="s">
        <v>48</v>
      </c>
      <c r="AD105" s="166" t="s">
        <v>48</v>
      </c>
      <c r="AE105" s="174" t="s">
        <v>48</v>
      </c>
      <c r="AF105" s="117" t="s">
        <v>48</v>
      </c>
      <c r="AG105" s="117" t="s">
        <v>48</v>
      </c>
      <c r="AH105" s="109" t="s">
        <v>48</v>
      </c>
      <c r="AI105" s="117" t="s">
        <v>48</v>
      </c>
      <c r="AJ105" s="117" t="s">
        <v>48</v>
      </c>
      <c r="AK105" s="182" t="s">
        <v>48</v>
      </c>
      <c r="AL105" s="165" t="s">
        <v>1117</v>
      </c>
      <c r="AM105" s="109" t="s">
        <v>534</v>
      </c>
      <c r="AN105" s="109" t="s">
        <v>1135</v>
      </c>
      <c r="AO105" s="109" t="s">
        <v>1908</v>
      </c>
      <c r="AP105" s="109" t="s">
        <v>1921</v>
      </c>
      <c r="AQ105" s="109" t="s">
        <v>1921</v>
      </c>
      <c r="AR105" s="109" t="s">
        <v>1926</v>
      </c>
      <c r="AS105" s="166" t="s">
        <v>1119</v>
      </c>
      <c r="AT105" s="165" t="s">
        <v>48</v>
      </c>
      <c r="AU105" s="109" t="s">
        <v>48</v>
      </c>
      <c r="AV105" s="109" t="s">
        <v>48</v>
      </c>
      <c r="AW105" s="109" t="s">
        <v>48</v>
      </c>
      <c r="AX105" s="109" t="s">
        <v>48</v>
      </c>
      <c r="AY105" s="109" t="s">
        <v>48</v>
      </c>
      <c r="AZ105" s="166" t="s">
        <v>48</v>
      </c>
      <c r="BA105" s="162" t="s">
        <v>1242</v>
      </c>
      <c r="BB105" s="109" t="s">
        <v>82</v>
      </c>
      <c r="BC105" s="109" t="s">
        <v>947</v>
      </c>
    </row>
    <row r="106" spans="1:55" ht="75" customHeight="1">
      <c r="A106" s="109" t="s">
        <v>1118</v>
      </c>
      <c r="B106" s="109" t="s">
        <v>2476</v>
      </c>
      <c r="C106" s="109" t="s">
        <v>1168</v>
      </c>
      <c r="D106" s="109" t="s">
        <v>534</v>
      </c>
      <c r="E106" s="161">
        <v>15000</v>
      </c>
      <c r="F106" s="165" t="s">
        <v>534</v>
      </c>
      <c r="G106" s="109" t="s">
        <v>534</v>
      </c>
      <c r="H106" s="109" t="s">
        <v>48</v>
      </c>
      <c r="I106" s="109" t="s">
        <v>48</v>
      </c>
      <c r="J106" s="109" t="s">
        <v>48</v>
      </c>
      <c r="K106" s="109" t="s">
        <v>48</v>
      </c>
      <c r="L106" s="109" t="s">
        <v>48</v>
      </c>
      <c r="M106" s="166" t="s">
        <v>48</v>
      </c>
      <c r="N106" s="108" t="s">
        <v>48</v>
      </c>
      <c r="O106" s="109" t="s">
        <v>48</v>
      </c>
      <c r="P106" s="162" t="s">
        <v>48</v>
      </c>
      <c r="Q106" s="109" t="s">
        <v>48</v>
      </c>
      <c r="R106" s="109" t="s">
        <v>48</v>
      </c>
      <c r="S106" s="109" t="s">
        <v>48</v>
      </c>
      <c r="T106" s="109" t="s">
        <v>48</v>
      </c>
      <c r="U106" s="109" t="s">
        <v>48</v>
      </c>
      <c r="V106" s="166" t="s">
        <v>48</v>
      </c>
      <c r="W106" s="165" t="s">
        <v>534</v>
      </c>
      <c r="X106" s="109" t="s">
        <v>534</v>
      </c>
      <c r="Y106" s="109" t="s">
        <v>48</v>
      </c>
      <c r="Z106" s="109" t="s">
        <v>48</v>
      </c>
      <c r="AA106" s="109" t="s">
        <v>48</v>
      </c>
      <c r="AB106" s="109" t="s">
        <v>48</v>
      </c>
      <c r="AC106" s="109" t="s">
        <v>48</v>
      </c>
      <c r="AD106" s="166" t="s">
        <v>48</v>
      </c>
      <c r="AE106" s="174" t="s">
        <v>48</v>
      </c>
      <c r="AF106" s="117" t="s">
        <v>48</v>
      </c>
      <c r="AG106" s="117" t="s">
        <v>48</v>
      </c>
      <c r="AH106" s="109" t="s">
        <v>48</v>
      </c>
      <c r="AI106" s="117" t="s">
        <v>48</v>
      </c>
      <c r="AJ106" s="117" t="s">
        <v>48</v>
      </c>
      <c r="AK106" s="182" t="s">
        <v>48</v>
      </c>
      <c r="AL106" s="165" t="s">
        <v>1117</v>
      </c>
      <c r="AM106" s="109" t="s">
        <v>534</v>
      </c>
      <c r="AN106" s="109" t="s">
        <v>1135</v>
      </c>
      <c r="AO106" s="109" t="s">
        <v>1908</v>
      </c>
      <c r="AP106" s="109" t="s">
        <v>1921</v>
      </c>
      <c r="AQ106" s="109" t="s">
        <v>1921</v>
      </c>
      <c r="AR106" s="109" t="s">
        <v>1926</v>
      </c>
      <c r="AS106" s="166" t="s">
        <v>1119</v>
      </c>
      <c r="AT106" s="165" t="s">
        <v>48</v>
      </c>
      <c r="AU106" s="109" t="s">
        <v>48</v>
      </c>
      <c r="AV106" s="109" t="s">
        <v>48</v>
      </c>
      <c r="AW106" s="109" t="s">
        <v>48</v>
      </c>
      <c r="AX106" s="109" t="s">
        <v>48</v>
      </c>
      <c r="AY106" s="109" t="s">
        <v>48</v>
      </c>
      <c r="AZ106" s="166" t="s">
        <v>48</v>
      </c>
      <c r="BA106" s="162" t="s">
        <v>1242</v>
      </c>
      <c r="BB106" s="109" t="s">
        <v>82</v>
      </c>
      <c r="BC106" s="109" t="s">
        <v>947</v>
      </c>
    </row>
    <row r="107" spans="1:55" ht="75" hidden="1" customHeight="1">
      <c r="A107" s="109" t="s">
        <v>1115</v>
      </c>
      <c r="B107" s="109" t="s">
        <v>2479</v>
      </c>
      <c r="C107" s="109" t="s">
        <v>1167</v>
      </c>
      <c r="D107" s="109" t="s">
        <v>729</v>
      </c>
      <c r="E107" s="161">
        <v>15000</v>
      </c>
      <c r="F107" s="165" t="s">
        <v>729</v>
      </c>
      <c r="G107" s="109" t="s">
        <v>729</v>
      </c>
      <c r="H107" s="109" t="s">
        <v>48</v>
      </c>
      <c r="I107" s="109" t="s">
        <v>48</v>
      </c>
      <c r="J107" s="109" t="s">
        <v>48</v>
      </c>
      <c r="K107" s="109" t="s">
        <v>48</v>
      </c>
      <c r="L107" s="109" t="s">
        <v>48</v>
      </c>
      <c r="M107" s="166" t="s">
        <v>48</v>
      </c>
      <c r="N107" s="108" t="s">
        <v>48</v>
      </c>
      <c r="O107" s="109" t="s">
        <v>48</v>
      </c>
      <c r="P107" s="162" t="s">
        <v>48</v>
      </c>
      <c r="Q107" s="109" t="s">
        <v>48</v>
      </c>
      <c r="R107" s="109" t="s">
        <v>48</v>
      </c>
      <c r="S107" s="109" t="s">
        <v>48</v>
      </c>
      <c r="T107" s="109" t="s">
        <v>48</v>
      </c>
      <c r="U107" s="109" t="s">
        <v>48</v>
      </c>
      <c r="V107" s="166" t="s">
        <v>48</v>
      </c>
      <c r="W107" s="165" t="s">
        <v>729</v>
      </c>
      <c r="X107" s="109" t="s">
        <v>729</v>
      </c>
      <c r="Y107" s="109" t="s">
        <v>48</v>
      </c>
      <c r="Z107" s="109" t="s">
        <v>48</v>
      </c>
      <c r="AA107" s="109" t="s">
        <v>48</v>
      </c>
      <c r="AB107" s="109" t="s">
        <v>48</v>
      </c>
      <c r="AC107" s="109" t="s">
        <v>48</v>
      </c>
      <c r="AD107" s="166" t="s">
        <v>48</v>
      </c>
      <c r="AE107" s="174" t="s">
        <v>48</v>
      </c>
      <c r="AF107" s="117" t="s">
        <v>48</v>
      </c>
      <c r="AG107" s="117" t="s">
        <v>48</v>
      </c>
      <c r="AH107" s="109" t="s">
        <v>48</v>
      </c>
      <c r="AI107" s="117" t="s">
        <v>48</v>
      </c>
      <c r="AJ107" s="117" t="s">
        <v>48</v>
      </c>
      <c r="AK107" s="182" t="s">
        <v>48</v>
      </c>
      <c r="AL107" s="165" t="s">
        <v>1117</v>
      </c>
      <c r="AM107" s="109" t="s">
        <v>729</v>
      </c>
      <c r="AN107" s="109" t="s">
        <v>1135</v>
      </c>
      <c r="AO107" s="109" t="s">
        <v>1908</v>
      </c>
      <c r="AP107" s="109" t="s">
        <v>1921</v>
      </c>
      <c r="AQ107" s="109" t="s">
        <v>1921</v>
      </c>
      <c r="AR107" s="109">
        <v>5836176</v>
      </c>
      <c r="AS107" s="166" t="s">
        <v>1119</v>
      </c>
      <c r="AT107" s="165" t="s">
        <v>48</v>
      </c>
      <c r="AU107" s="109" t="s">
        <v>48</v>
      </c>
      <c r="AV107" s="109" t="s">
        <v>48</v>
      </c>
      <c r="AW107" s="109" t="s">
        <v>48</v>
      </c>
      <c r="AX107" s="109" t="s">
        <v>48</v>
      </c>
      <c r="AY107" s="109" t="s">
        <v>48</v>
      </c>
      <c r="AZ107" s="166" t="s">
        <v>48</v>
      </c>
      <c r="BA107" s="162" t="s">
        <v>1242</v>
      </c>
      <c r="BB107" s="109" t="s">
        <v>82</v>
      </c>
      <c r="BC107" s="109" t="s">
        <v>947</v>
      </c>
    </row>
    <row r="108" spans="1:55" ht="75" hidden="1" customHeight="1">
      <c r="A108" s="109" t="s">
        <v>1115</v>
      </c>
      <c r="B108" s="109" t="s">
        <v>2478</v>
      </c>
      <c r="C108" s="109" t="s">
        <v>1167</v>
      </c>
      <c r="D108" s="109" t="s">
        <v>729</v>
      </c>
      <c r="E108" s="161">
        <v>15000</v>
      </c>
      <c r="F108" s="165" t="s">
        <v>945</v>
      </c>
      <c r="G108" s="109" t="s">
        <v>945</v>
      </c>
      <c r="H108" s="109" t="s">
        <v>1918</v>
      </c>
      <c r="I108" s="109" t="s">
        <v>2091</v>
      </c>
      <c r="J108" s="109" t="s">
        <v>1904</v>
      </c>
      <c r="K108" s="109" t="s">
        <v>1904</v>
      </c>
      <c r="L108" s="109" t="s">
        <v>1919</v>
      </c>
      <c r="M108" s="166" t="s">
        <v>1920</v>
      </c>
      <c r="N108" s="108" t="s">
        <v>48</v>
      </c>
      <c r="O108" s="109" t="s">
        <v>48</v>
      </c>
      <c r="P108" s="162" t="s">
        <v>48</v>
      </c>
      <c r="Q108" s="109" t="s">
        <v>48</v>
      </c>
      <c r="R108" s="109" t="s">
        <v>48</v>
      </c>
      <c r="S108" s="109" t="s">
        <v>48</v>
      </c>
      <c r="T108" s="109" t="s">
        <v>48</v>
      </c>
      <c r="U108" s="109" t="s">
        <v>48</v>
      </c>
      <c r="V108" s="166" t="s">
        <v>48</v>
      </c>
      <c r="W108" s="165" t="s">
        <v>1117</v>
      </c>
      <c r="X108" s="109" t="s">
        <v>729</v>
      </c>
      <c r="Y108" s="109" t="s">
        <v>1925</v>
      </c>
      <c r="Z108" s="109" t="s">
        <v>1908</v>
      </c>
      <c r="AA108" s="109" t="s">
        <v>1921</v>
      </c>
      <c r="AB108" s="109" t="s">
        <v>1921</v>
      </c>
      <c r="AC108" s="109" t="s">
        <v>1926</v>
      </c>
      <c r="AD108" s="166" t="s">
        <v>1119</v>
      </c>
      <c r="AE108" s="174" t="s">
        <v>48</v>
      </c>
      <c r="AF108" s="117" t="s">
        <v>48</v>
      </c>
      <c r="AG108" s="117" t="s">
        <v>48</v>
      </c>
      <c r="AH108" s="109" t="s">
        <v>48</v>
      </c>
      <c r="AI108" s="117" t="s">
        <v>48</v>
      </c>
      <c r="AJ108" s="117" t="s">
        <v>48</v>
      </c>
      <c r="AK108" s="182" t="s">
        <v>48</v>
      </c>
      <c r="AL108" s="165" t="s">
        <v>729</v>
      </c>
      <c r="AM108" s="109" t="s">
        <v>729</v>
      </c>
      <c r="AN108" s="109" t="s">
        <v>48</v>
      </c>
      <c r="AO108" s="109" t="s">
        <v>48</v>
      </c>
      <c r="AP108" s="109" t="s">
        <v>48</v>
      </c>
      <c r="AQ108" s="109" t="s">
        <v>48</v>
      </c>
      <c r="AR108" s="109" t="s">
        <v>48</v>
      </c>
      <c r="AS108" s="166" t="s">
        <v>48</v>
      </c>
      <c r="AT108" s="165" t="s">
        <v>48</v>
      </c>
      <c r="AU108" s="109" t="s">
        <v>48</v>
      </c>
      <c r="AV108" s="109" t="s">
        <v>48</v>
      </c>
      <c r="AW108" s="109" t="s">
        <v>48</v>
      </c>
      <c r="AX108" s="109" t="s">
        <v>48</v>
      </c>
      <c r="AY108" s="109" t="s">
        <v>48</v>
      </c>
      <c r="AZ108" s="166" t="s">
        <v>48</v>
      </c>
      <c r="BA108" s="162" t="s">
        <v>1243</v>
      </c>
      <c r="BB108" s="109" t="s">
        <v>82</v>
      </c>
      <c r="BC108" s="109" t="s">
        <v>947</v>
      </c>
    </row>
    <row r="109" spans="1:55" ht="75" customHeight="1">
      <c r="A109" s="109" t="s">
        <v>1118</v>
      </c>
      <c r="B109" s="109" t="s">
        <v>2476</v>
      </c>
      <c r="C109" s="109" t="s">
        <v>1167</v>
      </c>
      <c r="D109" s="109" t="s">
        <v>729</v>
      </c>
      <c r="E109" s="161">
        <v>15000</v>
      </c>
      <c r="F109" s="165" t="s">
        <v>729</v>
      </c>
      <c r="G109" s="109" t="s">
        <v>729</v>
      </c>
      <c r="H109" s="109" t="s">
        <v>48</v>
      </c>
      <c r="I109" s="109" t="s">
        <v>48</v>
      </c>
      <c r="J109" s="109" t="s">
        <v>48</v>
      </c>
      <c r="K109" s="109" t="s">
        <v>48</v>
      </c>
      <c r="L109" s="109" t="s">
        <v>48</v>
      </c>
      <c r="M109" s="166" t="s">
        <v>48</v>
      </c>
      <c r="N109" s="108" t="s">
        <v>48</v>
      </c>
      <c r="O109" s="109" t="s">
        <v>48</v>
      </c>
      <c r="P109" s="162" t="s">
        <v>48</v>
      </c>
      <c r="Q109" s="109" t="s">
        <v>48</v>
      </c>
      <c r="R109" s="109" t="s">
        <v>48</v>
      </c>
      <c r="S109" s="109" t="s">
        <v>48</v>
      </c>
      <c r="T109" s="109" t="s">
        <v>48</v>
      </c>
      <c r="U109" s="109" t="s">
        <v>48</v>
      </c>
      <c r="V109" s="166" t="s">
        <v>48</v>
      </c>
      <c r="W109" s="165" t="s">
        <v>729</v>
      </c>
      <c r="X109" s="109" t="s">
        <v>729</v>
      </c>
      <c r="Y109" s="109" t="s">
        <v>48</v>
      </c>
      <c r="Z109" s="109" t="s">
        <v>48</v>
      </c>
      <c r="AA109" s="109" t="s">
        <v>48</v>
      </c>
      <c r="AB109" s="109" t="s">
        <v>48</v>
      </c>
      <c r="AC109" s="109" t="s">
        <v>48</v>
      </c>
      <c r="AD109" s="166" t="s">
        <v>48</v>
      </c>
      <c r="AE109" s="174" t="s">
        <v>48</v>
      </c>
      <c r="AF109" s="117" t="s">
        <v>48</v>
      </c>
      <c r="AG109" s="117" t="s">
        <v>48</v>
      </c>
      <c r="AH109" s="109" t="s">
        <v>48</v>
      </c>
      <c r="AI109" s="117" t="s">
        <v>48</v>
      </c>
      <c r="AJ109" s="117" t="s">
        <v>48</v>
      </c>
      <c r="AK109" s="182" t="s">
        <v>48</v>
      </c>
      <c r="AL109" s="165" t="s">
        <v>1117</v>
      </c>
      <c r="AM109" s="109" t="s">
        <v>729</v>
      </c>
      <c r="AN109" s="109" t="s">
        <v>1135</v>
      </c>
      <c r="AO109" s="109" t="s">
        <v>1908</v>
      </c>
      <c r="AP109" s="109" t="s">
        <v>1921</v>
      </c>
      <c r="AQ109" s="109" t="s">
        <v>1921</v>
      </c>
      <c r="AR109" s="109">
        <v>5836176</v>
      </c>
      <c r="AS109" s="166" t="s">
        <v>1119</v>
      </c>
      <c r="AT109" s="165" t="s">
        <v>48</v>
      </c>
      <c r="AU109" s="109" t="s">
        <v>48</v>
      </c>
      <c r="AV109" s="109" t="s">
        <v>48</v>
      </c>
      <c r="AW109" s="109" t="s">
        <v>48</v>
      </c>
      <c r="AX109" s="109" t="s">
        <v>48</v>
      </c>
      <c r="AY109" s="109" t="s">
        <v>48</v>
      </c>
      <c r="AZ109" s="166" t="s">
        <v>48</v>
      </c>
      <c r="BA109" s="162" t="s">
        <v>1242</v>
      </c>
      <c r="BB109" s="109" t="s">
        <v>82</v>
      </c>
      <c r="BC109" s="109" t="s">
        <v>947</v>
      </c>
    </row>
    <row r="110" spans="1:55" ht="75" customHeight="1">
      <c r="A110" s="109" t="s">
        <v>35</v>
      </c>
      <c r="B110" s="109" t="s">
        <v>2017</v>
      </c>
      <c r="C110" s="117" t="s">
        <v>1167</v>
      </c>
      <c r="D110" s="109" t="s">
        <v>1342</v>
      </c>
      <c r="E110" s="161">
        <v>15000</v>
      </c>
      <c r="F110" s="165" t="s">
        <v>1342</v>
      </c>
      <c r="G110" s="109" t="s">
        <v>1342</v>
      </c>
      <c r="H110" s="109" t="s">
        <v>48</v>
      </c>
      <c r="I110" s="109" t="s">
        <v>48</v>
      </c>
      <c r="J110" s="109" t="s">
        <v>48</v>
      </c>
      <c r="K110" s="109" t="s">
        <v>48</v>
      </c>
      <c r="L110" s="109" t="s">
        <v>48</v>
      </c>
      <c r="M110" s="166" t="s">
        <v>48</v>
      </c>
      <c r="N110" s="108" t="s">
        <v>48</v>
      </c>
      <c r="O110" s="109" t="s">
        <v>48</v>
      </c>
      <c r="P110" s="162" t="s">
        <v>48</v>
      </c>
      <c r="Q110" s="109" t="s">
        <v>48</v>
      </c>
      <c r="R110" s="109" t="s">
        <v>48</v>
      </c>
      <c r="S110" s="109" t="s">
        <v>48</v>
      </c>
      <c r="T110" s="109" t="s">
        <v>48</v>
      </c>
      <c r="U110" s="109" t="s">
        <v>48</v>
      </c>
      <c r="V110" s="166" t="s">
        <v>48</v>
      </c>
      <c r="W110" s="165" t="s">
        <v>1318</v>
      </c>
      <c r="X110" s="109" t="s">
        <v>1342</v>
      </c>
      <c r="Y110" s="109" t="s">
        <v>1955</v>
      </c>
      <c r="Z110" s="117" t="s">
        <v>2039</v>
      </c>
      <c r="AA110" s="109" t="s">
        <v>1921</v>
      </c>
      <c r="AB110" s="109" t="s">
        <v>1921</v>
      </c>
      <c r="AC110" s="109" t="s">
        <v>1924</v>
      </c>
      <c r="AD110" s="166" t="s">
        <v>1119</v>
      </c>
      <c r="AE110" s="174" t="s">
        <v>48</v>
      </c>
      <c r="AF110" s="117" t="s">
        <v>48</v>
      </c>
      <c r="AG110" s="117" t="s">
        <v>48</v>
      </c>
      <c r="AH110" s="109" t="s">
        <v>48</v>
      </c>
      <c r="AI110" s="117" t="s">
        <v>48</v>
      </c>
      <c r="AJ110" s="117" t="s">
        <v>48</v>
      </c>
      <c r="AK110" s="182" t="s">
        <v>48</v>
      </c>
      <c r="AL110" s="165" t="s">
        <v>1324</v>
      </c>
      <c r="AM110" s="109" t="s">
        <v>1342</v>
      </c>
      <c r="AN110" s="109" t="s">
        <v>1958</v>
      </c>
      <c r="AO110" s="109" t="s">
        <v>2039</v>
      </c>
      <c r="AP110" s="109" t="s">
        <v>1921</v>
      </c>
      <c r="AQ110" s="109" t="s">
        <v>1921</v>
      </c>
      <c r="AR110" s="109" t="s">
        <v>1960</v>
      </c>
      <c r="AS110" s="166" t="s">
        <v>1119</v>
      </c>
      <c r="AT110" s="165" t="s">
        <v>48</v>
      </c>
      <c r="AU110" s="109" t="s">
        <v>48</v>
      </c>
      <c r="AV110" s="109" t="s">
        <v>48</v>
      </c>
      <c r="AW110" s="109" t="s">
        <v>48</v>
      </c>
      <c r="AX110" s="109" t="s">
        <v>48</v>
      </c>
      <c r="AY110" s="109" t="s">
        <v>48</v>
      </c>
      <c r="AZ110" s="166" t="s">
        <v>48</v>
      </c>
      <c r="BA110" s="162" t="s">
        <v>1372</v>
      </c>
      <c r="BB110" s="109" t="s">
        <v>82</v>
      </c>
      <c r="BC110" s="79"/>
    </row>
    <row r="111" spans="1:55" ht="75" hidden="1" customHeight="1">
      <c r="A111" s="109" t="s">
        <v>1115</v>
      </c>
      <c r="B111" s="109" t="s">
        <v>2479</v>
      </c>
      <c r="C111" s="109" t="s">
        <v>1167</v>
      </c>
      <c r="D111" s="109" t="s">
        <v>197</v>
      </c>
      <c r="E111" s="161">
        <v>15000</v>
      </c>
      <c r="F111" s="165" t="s">
        <v>197</v>
      </c>
      <c r="G111" s="109" t="s">
        <v>197</v>
      </c>
      <c r="H111" s="109" t="s">
        <v>48</v>
      </c>
      <c r="I111" s="109" t="s">
        <v>48</v>
      </c>
      <c r="J111" s="109" t="s">
        <v>48</v>
      </c>
      <c r="K111" s="109" t="s">
        <v>48</v>
      </c>
      <c r="L111" s="109" t="s">
        <v>48</v>
      </c>
      <c r="M111" s="166" t="s">
        <v>48</v>
      </c>
      <c r="N111" s="108" t="s">
        <v>48</v>
      </c>
      <c r="O111" s="109" t="s">
        <v>48</v>
      </c>
      <c r="P111" s="162" t="s">
        <v>48</v>
      </c>
      <c r="Q111" s="109" t="s">
        <v>48</v>
      </c>
      <c r="R111" s="109" t="s">
        <v>48</v>
      </c>
      <c r="S111" s="109" t="s">
        <v>48</v>
      </c>
      <c r="T111" s="109" t="s">
        <v>48</v>
      </c>
      <c r="U111" s="109" t="s">
        <v>48</v>
      </c>
      <c r="V111" s="166" t="s">
        <v>48</v>
      </c>
      <c r="W111" s="165" t="s">
        <v>197</v>
      </c>
      <c r="X111" s="109" t="s">
        <v>197</v>
      </c>
      <c r="Y111" s="109" t="s">
        <v>48</v>
      </c>
      <c r="Z111" s="109" t="s">
        <v>48</v>
      </c>
      <c r="AA111" s="109" t="s">
        <v>48</v>
      </c>
      <c r="AB111" s="109" t="s">
        <v>48</v>
      </c>
      <c r="AC111" s="109" t="s">
        <v>48</v>
      </c>
      <c r="AD111" s="166" t="s">
        <v>48</v>
      </c>
      <c r="AE111" s="174" t="s">
        <v>48</v>
      </c>
      <c r="AF111" s="117" t="s">
        <v>48</v>
      </c>
      <c r="AG111" s="117" t="s">
        <v>48</v>
      </c>
      <c r="AH111" s="109" t="s">
        <v>48</v>
      </c>
      <c r="AI111" s="117" t="s">
        <v>48</v>
      </c>
      <c r="AJ111" s="117" t="s">
        <v>48</v>
      </c>
      <c r="AK111" s="182" t="s">
        <v>48</v>
      </c>
      <c r="AL111" s="165" t="s">
        <v>1117</v>
      </c>
      <c r="AM111" s="109" t="s">
        <v>197</v>
      </c>
      <c r="AN111" s="109" t="s">
        <v>1135</v>
      </c>
      <c r="AO111" s="109" t="s">
        <v>1908</v>
      </c>
      <c r="AP111" s="109" t="s">
        <v>1921</v>
      </c>
      <c r="AQ111" s="109" t="s">
        <v>1921</v>
      </c>
      <c r="AR111" s="109" t="s">
        <v>1926</v>
      </c>
      <c r="AS111" s="166" t="s">
        <v>1119</v>
      </c>
      <c r="AT111" s="165" t="s">
        <v>48</v>
      </c>
      <c r="AU111" s="109" t="s">
        <v>48</v>
      </c>
      <c r="AV111" s="109" t="s">
        <v>48</v>
      </c>
      <c r="AW111" s="109" t="s">
        <v>48</v>
      </c>
      <c r="AX111" s="109" t="s">
        <v>48</v>
      </c>
      <c r="AY111" s="109" t="s">
        <v>48</v>
      </c>
      <c r="AZ111" s="166" t="s">
        <v>48</v>
      </c>
      <c r="BA111" s="162" t="s">
        <v>1242</v>
      </c>
      <c r="BB111" s="109" t="s">
        <v>82</v>
      </c>
      <c r="BC111" s="109" t="s">
        <v>947</v>
      </c>
    </row>
    <row r="112" spans="1:55" ht="75" customHeight="1">
      <c r="A112" s="109" t="s">
        <v>1118</v>
      </c>
      <c r="B112" s="109" t="s">
        <v>2476</v>
      </c>
      <c r="C112" s="109" t="s">
        <v>1167</v>
      </c>
      <c r="D112" s="109" t="s">
        <v>197</v>
      </c>
      <c r="E112" s="161">
        <v>15000</v>
      </c>
      <c r="F112" s="165" t="s">
        <v>197</v>
      </c>
      <c r="G112" s="109" t="s">
        <v>197</v>
      </c>
      <c r="H112" s="109" t="s">
        <v>48</v>
      </c>
      <c r="I112" s="109" t="s">
        <v>48</v>
      </c>
      <c r="J112" s="109" t="s">
        <v>48</v>
      </c>
      <c r="K112" s="109" t="s">
        <v>48</v>
      </c>
      <c r="L112" s="109" t="s">
        <v>48</v>
      </c>
      <c r="M112" s="166" t="s">
        <v>48</v>
      </c>
      <c r="N112" s="108" t="s">
        <v>48</v>
      </c>
      <c r="O112" s="109" t="s">
        <v>48</v>
      </c>
      <c r="P112" s="162" t="s">
        <v>48</v>
      </c>
      <c r="Q112" s="109" t="s">
        <v>48</v>
      </c>
      <c r="R112" s="109" t="s">
        <v>48</v>
      </c>
      <c r="S112" s="109" t="s">
        <v>48</v>
      </c>
      <c r="T112" s="109" t="s">
        <v>48</v>
      </c>
      <c r="U112" s="109" t="s">
        <v>48</v>
      </c>
      <c r="V112" s="166" t="s">
        <v>48</v>
      </c>
      <c r="W112" s="165" t="s">
        <v>197</v>
      </c>
      <c r="X112" s="109" t="s">
        <v>197</v>
      </c>
      <c r="Y112" s="109" t="s">
        <v>48</v>
      </c>
      <c r="Z112" s="109" t="s">
        <v>48</v>
      </c>
      <c r="AA112" s="109" t="s">
        <v>48</v>
      </c>
      <c r="AB112" s="109" t="s">
        <v>48</v>
      </c>
      <c r="AC112" s="109" t="s">
        <v>48</v>
      </c>
      <c r="AD112" s="166" t="s">
        <v>48</v>
      </c>
      <c r="AE112" s="174" t="s">
        <v>48</v>
      </c>
      <c r="AF112" s="117" t="s">
        <v>48</v>
      </c>
      <c r="AG112" s="117" t="s">
        <v>48</v>
      </c>
      <c r="AH112" s="109" t="s">
        <v>48</v>
      </c>
      <c r="AI112" s="117" t="s">
        <v>48</v>
      </c>
      <c r="AJ112" s="117" t="s">
        <v>48</v>
      </c>
      <c r="AK112" s="182" t="s">
        <v>48</v>
      </c>
      <c r="AL112" s="165" t="s">
        <v>1117</v>
      </c>
      <c r="AM112" s="109" t="s">
        <v>197</v>
      </c>
      <c r="AN112" s="109" t="s">
        <v>1135</v>
      </c>
      <c r="AO112" s="109" t="s">
        <v>1908</v>
      </c>
      <c r="AP112" s="109" t="s">
        <v>1921</v>
      </c>
      <c r="AQ112" s="109" t="s">
        <v>1921</v>
      </c>
      <c r="AR112" s="109" t="s">
        <v>1926</v>
      </c>
      <c r="AS112" s="166" t="s">
        <v>1119</v>
      </c>
      <c r="AT112" s="165" t="s">
        <v>48</v>
      </c>
      <c r="AU112" s="109" t="s">
        <v>48</v>
      </c>
      <c r="AV112" s="109" t="s">
        <v>48</v>
      </c>
      <c r="AW112" s="109" t="s">
        <v>48</v>
      </c>
      <c r="AX112" s="109" t="s">
        <v>48</v>
      </c>
      <c r="AY112" s="109" t="s">
        <v>48</v>
      </c>
      <c r="AZ112" s="166" t="s">
        <v>48</v>
      </c>
      <c r="BA112" s="162" t="s">
        <v>1242</v>
      </c>
      <c r="BB112" s="109" t="s">
        <v>82</v>
      </c>
      <c r="BC112" s="109" t="s">
        <v>947</v>
      </c>
    </row>
    <row r="113" spans="1:55" ht="75" hidden="1" customHeight="1">
      <c r="A113" s="109" t="s">
        <v>1115</v>
      </c>
      <c r="B113" s="109" t="s">
        <v>2479</v>
      </c>
      <c r="C113" s="109" t="s">
        <v>1166</v>
      </c>
      <c r="D113" s="109" t="s">
        <v>903</v>
      </c>
      <c r="E113" s="161">
        <v>15000</v>
      </c>
      <c r="F113" s="165" t="s">
        <v>729</v>
      </c>
      <c r="G113" s="109" t="s">
        <v>729</v>
      </c>
      <c r="H113" s="109" t="s">
        <v>1912</v>
      </c>
      <c r="I113" s="109" t="s">
        <v>1908</v>
      </c>
      <c r="J113" s="109" t="s">
        <v>1910</v>
      </c>
      <c r="K113" s="109" t="s">
        <v>1910</v>
      </c>
      <c r="L113" s="109" t="s">
        <v>1913</v>
      </c>
      <c r="M113" s="166" t="s">
        <v>795</v>
      </c>
      <c r="N113" s="108" t="s">
        <v>48</v>
      </c>
      <c r="O113" s="109" t="s">
        <v>48</v>
      </c>
      <c r="P113" s="162" t="s">
        <v>80</v>
      </c>
      <c r="Q113" s="109" t="s">
        <v>196</v>
      </c>
      <c r="R113" s="109" t="s">
        <v>509</v>
      </c>
      <c r="S113" s="109" t="s">
        <v>48</v>
      </c>
      <c r="T113" s="109" t="s">
        <v>583</v>
      </c>
      <c r="U113" s="109" t="s">
        <v>511</v>
      </c>
      <c r="V113" s="166" t="s">
        <v>510</v>
      </c>
      <c r="W113" s="165" t="s">
        <v>903</v>
      </c>
      <c r="X113" s="109" t="s">
        <v>903</v>
      </c>
      <c r="Y113" s="109" t="s">
        <v>48</v>
      </c>
      <c r="Z113" s="109" t="s">
        <v>48</v>
      </c>
      <c r="AA113" s="109" t="s">
        <v>48</v>
      </c>
      <c r="AB113" s="109" t="s">
        <v>48</v>
      </c>
      <c r="AC113" s="109" t="s">
        <v>48</v>
      </c>
      <c r="AD113" s="166" t="s">
        <v>48</v>
      </c>
      <c r="AE113" s="174" t="s">
        <v>48</v>
      </c>
      <c r="AF113" s="117" t="s">
        <v>48</v>
      </c>
      <c r="AG113" s="117" t="s">
        <v>48</v>
      </c>
      <c r="AH113" s="109" t="s">
        <v>48</v>
      </c>
      <c r="AI113" s="117" t="s">
        <v>48</v>
      </c>
      <c r="AJ113" s="117" t="s">
        <v>48</v>
      </c>
      <c r="AK113" s="182" t="s">
        <v>48</v>
      </c>
      <c r="AL113" s="165" t="s">
        <v>1117</v>
      </c>
      <c r="AM113" s="109" t="s">
        <v>903</v>
      </c>
      <c r="AN113" s="109" t="s">
        <v>1135</v>
      </c>
      <c r="AO113" s="109" t="s">
        <v>1908</v>
      </c>
      <c r="AP113" s="109" t="s">
        <v>1921</v>
      </c>
      <c r="AQ113" s="109" t="s">
        <v>1921</v>
      </c>
      <c r="AR113" s="109" t="s">
        <v>1926</v>
      </c>
      <c r="AS113" s="166" t="s">
        <v>1119</v>
      </c>
      <c r="AT113" s="165" t="s">
        <v>48</v>
      </c>
      <c r="AU113" s="109" t="s">
        <v>48</v>
      </c>
      <c r="AV113" s="109" t="s">
        <v>48</v>
      </c>
      <c r="AW113" s="109" t="s">
        <v>48</v>
      </c>
      <c r="AX113" s="109" t="s">
        <v>48</v>
      </c>
      <c r="AY113" s="109" t="s">
        <v>48</v>
      </c>
      <c r="AZ113" s="166" t="s">
        <v>48</v>
      </c>
      <c r="BA113" s="162" t="s">
        <v>1243</v>
      </c>
      <c r="BB113" s="109" t="s">
        <v>82</v>
      </c>
      <c r="BC113" s="109"/>
    </row>
    <row r="114" spans="1:55" ht="75" hidden="1" customHeight="1">
      <c r="A114" s="109" t="s">
        <v>1115</v>
      </c>
      <c r="B114" s="109" t="s">
        <v>2478</v>
      </c>
      <c r="C114" s="109" t="s">
        <v>1166</v>
      </c>
      <c r="D114" s="109" t="s">
        <v>903</v>
      </c>
      <c r="E114" s="161">
        <v>15000</v>
      </c>
      <c r="F114" s="165" t="s">
        <v>945</v>
      </c>
      <c r="G114" s="109" t="s">
        <v>945</v>
      </c>
      <c r="H114" s="109" t="s">
        <v>1918</v>
      </c>
      <c r="I114" s="109" t="s">
        <v>2091</v>
      </c>
      <c r="J114" s="109" t="s">
        <v>1904</v>
      </c>
      <c r="K114" s="109" t="s">
        <v>1904</v>
      </c>
      <c r="L114" s="109" t="s">
        <v>1919</v>
      </c>
      <c r="M114" s="166" t="s">
        <v>1920</v>
      </c>
      <c r="N114" s="108" t="s">
        <v>48</v>
      </c>
      <c r="O114" s="109" t="s">
        <v>48</v>
      </c>
      <c r="P114" s="162" t="s">
        <v>80</v>
      </c>
      <c r="Q114" s="109" t="s">
        <v>196</v>
      </c>
      <c r="R114" s="109" t="s">
        <v>509</v>
      </c>
      <c r="S114" s="109" t="s">
        <v>48</v>
      </c>
      <c r="T114" s="109" t="s">
        <v>583</v>
      </c>
      <c r="U114" s="109" t="s">
        <v>511</v>
      </c>
      <c r="V114" s="166" t="s">
        <v>510</v>
      </c>
      <c r="W114" s="165" t="s">
        <v>1117</v>
      </c>
      <c r="X114" s="109" t="s">
        <v>903</v>
      </c>
      <c r="Y114" s="109" t="s">
        <v>1925</v>
      </c>
      <c r="Z114" s="109" t="s">
        <v>1908</v>
      </c>
      <c r="AA114" s="109" t="s">
        <v>1921</v>
      </c>
      <c r="AB114" s="109" t="s">
        <v>1921</v>
      </c>
      <c r="AC114" s="109" t="s">
        <v>1926</v>
      </c>
      <c r="AD114" s="166" t="s">
        <v>1119</v>
      </c>
      <c r="AE114" s="174" t="s">
        <v>48</v>
      </c>
      <c r="AF114" s="117" t="s">
        <v>48</v>
      </c>
      <c r="AG114" s="117" t="s">
        <v>48</v>
      </c>
      <c r="AH114" s="109" t="s">
        <v>48</v>
      </c>
      <c r="AI114" s="117" t="s">
        <v>48</v>
      </c>
      <c r="AJ114" s="117" t="s">
        <v>48</v>
      </c>
      <c r="AK114" s="182" t="s">
        <v>48</v>
      </c>
      <c r="AL114" s="165" t="s">
        <v>903</v>
      </c>
      <c r="AM114" s="109" t="s">
        <v>903</v>
      </c>
      <c r="AN114" s="109" t="s">
        <v>48</v>
      </c>
      <c r="AO114" s="109" t="s">
        <v>48</v>
      </c>
      <c r="AP114" s="109" t="s">
        <v>48</v>
      </c>
      <c r="AQ114" s="109" t="s">
        <v>48</v>
      </c>
      <c r="AR114" s="109" t="s">
        <v>48</v>
      </c>
      <c r="AS114" s="166" t="s">
        <v>48</v>
      </c>
      <c r="AT114" s="165" t="s">
        <v>48</v>
      </c>
      <c r="AU114" s="109" t="s">
        <v>48</v>
      </c>
      <c r="AV114" s="109" t="s">
        <v>48</v>
      </c>
      <c r="AW114" s="109" t="s">
        <v>48</v>
      </c>
      <c r="AX114" s="109" t="s">
        <v>48</v>
      </c>
      <c r="AY114" s="109" t="s">
        <v>48</v>
      </c>
      <c r="AZ114" s="166" t="s">
        <v>48</v>
      </c>
      <c r="BA114" s="162" t="s">
        <v>1243</v>
      </c>
      <c r="BB114" s="109" t="s">
        <v>82</v>
      </c>
      <c r="BC114" s="109"/>
    </row>
    <row r="115" spans="1:55" ht="75" customHeight="1">
      <c r="A115" s="109" t="s">
        <v>1118</v>
      </c>
      <c r="B115" s="109" t="s">
        <v>2476</v>
      </c>
      <c r="C115" s="109" t="s">
        <v>1166</v>
      </c>
      <c r="D115" s="109" t="s">
        <v>903</v>
      </c>
      <c r="E115" s="161">
        <v>15000</v>
      </c>
      <c r="F115" s="165" t="s">
        <v>729</v>
      </c>
      <c r="G115" s="109" t="s">
        <v>729</v>
      </c>
      <c r="H115" s="109" t="s">
        <v>1912</v>
      </c>
      <c r="I115" s="109" t="s">
        <v>1908</v>
      </c>
      <c r="J115" s="109" t="s">
        <v>1910</v>
      </c>
      <c r="K115" s="109" t="s">
        <v>1910</v>
      </c>
      <c r="L115" s="109" t="s">
        <v>1913</v>
      </c>
      <c r="M115" s="166" t="s">
        <v>795</v>
      </c>
      <c r="N115" s="108" t="s">
        <v>48</v>
      </c>
      <c r="O115" s="109" t="s">
        <v>48</v>
      </c>
      <c r="P115" s="162" t="s">
        <v>80</v>
      </c>
      <c r="Q115" s="109" t="s">
        <v>196</v>
      </c>
      <c r="R115" s="109" t="s">
        <v>509</v>
      </c>
      <c r="S115" s="109" t="s">
        <v>48</v>
      </c>
      <c r="T115" s="109" t="s">
        <v>583</v>
      </c>
      <c r="U115" s="109" t="s">
        <v>511</v>
      </c>
      <c r="V115" s="166" t="s">
        <v>510</v>
      </c>
      <c r="W115" s="165" t="s">
        <v>903</v>
      </c>
      <c r="X115" s="109" t="s">
        <v>903</v>
      </c>
      <c r="Y115" s="109" t="s">
        <v>48</v>
      </c>
      <c r="Z115" s="109" t="s">
        <v>48</v>
      </c>
      <c r="AA115" s="109" t="s">
        <v>48</v>
      </c>
      <c r="AB115" s="109" t="s">
        <v>48</v>
      </c>
      <c r="AC115" s="109" t="s">
        <v>48</v>
      </c>
      <c r="AD115" s="166" t="s">
        <v>48</v>
      </c>
      <c r="AE115" s="174" t="s">
        <v>48</v>
      </c>
      <c r="AF115" s="117" t="s">
        <v>48</v>
      </c>
      <c r="AG115" s="117" t="s">
        <v>48</v>
      </c>
      <c r="AH115" s="109" t="s">
        <v>48</v>
      </c>
      <c r="AI115" s="117" t="s">
        <v>48</v>
      </c>
      <c r="AJ115" s="117" t="s">
        <v>48</v>
      </c>
      <c r="AK115" s="182" t="s">
        <v>48</v>
      </c>
      <c r="AL115" s="165" t="s">
        <v>1117</v>
      </c>
      <c r="AM115" s="109" t="s">
        <v>903</v>
      </c>
      <c r="AN115" s="109" t="s">
        <v>1135</v>
      </c>
      <c r="AO115" s="109" t="s">
        <v>1908</v>
      </c>
      <c r="AP115" s="109" t="s">
        <v>1921</v>
      </c>
      <c r="AQ115" s="109" t="s">
        <v>1921</v>
      </c>
      <c r="AR115" s="109" t="s">
        <v>1926</v>
      </c>
      <c r="AS115" s="166" t="s">
        <v>1119</v>
      </c>
      <c r="AT115" s="165" t="s">
        <v>48</v>
      </c>
      <c r="AU115" s="109" t="s">
        <v>48</v>
      </c>
      <c r="AV115" s="109" t="s">
        <v>48</v>
      </c>
      <c r="AW115" s="109" t="s">
        <v>48</v>
      </c>
      <c r="AX115" s="109" t="s">
        <v>48</v>
      </c>
      <c r="AY115" s="109" t="s">
        <v>48</v>
      </c>
      <c r="AZ115" s="166" t="s">
        <v>48</v>
      </c>
      <c r="BA115" s="162" t="s">
        <v>1243</v>
      </c>
      <c r="BB115" s="109" t="s">
        <v>82</v>
      </c>
      <c r="BC115" s="109"/>
    </row>
    <row r="116" spans="1:55" ht="75" hidden="1" customHeight="1">
      <c r="A116" s="109" t="s">
        <v>1115</v>
      </c>
      <c r="B116" s="109" t="s">
        <v>2479</v>
      </c>
      <c r="C116" s="109" t="s">
        <v>1164</v>
      </c>
      <c r="D116" s="109" t="s">
        <v>1165</v>
      </c>
      <c r="E116" s="161">
        <v>15000</v>
      </c>
      <c r="F116" s="165" t="s">
        <v>729</v>
      </c>
      <c r="G116" s="109" t="s">
        <v>729</v>
      </c>
      <c r="H116" s="109" t="s">
        <v>1912</v>
      </c>
      <c r="I116" s="109" t="s">
        <v>1908</v>
      </c>
      <c r="J116" s="109" t="s">
        <v>1910</v>
      </c>
      <c r="K116" s="109" t="s">
        <v>1910</v>
      </c>
      <c r="L116" s="109" t="s">
        <v>1913</v>
      </c>
      <c r="M116" s="166" t="s">
        <v>795</v>
      </c>
      <c r="N116" s="108" t="s">
        <v>48</v>
      </c>
      <c r="O116" s="109" t="s">
        <v>48</v>
      </c>
      <c r="P116" s="162" t="s">
        <v>48</v>
      </c>
      <c r="Q116" s="109" t="s">
        <v>48</v>
      </c>
      <c r="R116" s="109" t="s">
        <v>48</v>
      </c>
      <c r="S116" s="109" t="s">
        <v>48</v>
      </c>
      <c r="T116" s="109" t="s">
        <v>48</v>
      </c>
      <c r="U116" s="109" t="s">
        <v>48</v>
      </c>
      <c r="V116" s="166" t="s">
        <v>48</v>
      </c>
      <c r="W116" s="165" t="s">
        <v>1165</v>
      </c>
      <c r="X116" s="109" t="s">
        <v>1165</v>
      </c>
      <c r="Y116" s="109" t="s">
        <v>48</v>
      </c>
      <c r="Z116" s="109" t="s">
        <v>48</v>
      </c>
      <c r="AA116" s="109" t="s">
        <v>48</v>
      </c>
      <c r="AB116" s="109" t="s">
        <v>48</v>
      </c>
      <c r="AC116" s="109" t="s">
        <v>48</v>
      </c>
      <c r="AD116" s="166" t="s">
        <v>48</v>
      </c>
      <c r="AE116" s="174" t="s">
        <v>48</v>
      </c>
      <c r="AF116" s="117" t="s">
        <v>48</v>
      </c>
      <c r="AG116" s="117" t="s">
        <v>48</v>
      </c>
      <c r="AH116" s="109" t="s">
        <v>48</v>
      </c>
      <c r="AI116" s="117" t="s">
        <v>48</v>
      </c>
      <c r="AJ116" s="117" t="s">
        <v>48</v>
      </c>
      <c r="AK116" s="182" t="s">
        <v>48</v>
      </c>
      <c r="AL116" s="165" t="s">
        <v>1117</v>
      </c>
      <c r="AM116" s="109" t="s">
        <v>1165</v>
      </c>
      <c r="AN116" s="109" t="s">
        <v>1135</v>
      </c>
      <c r="AO116" s="109" t="s">
        <v>1908</v>
      </c>
      <c r="AP116" s="109" t="s">
        <v>1921</v>
      </c>
      <c r="AQ116" s="109" t="s">
        <v>1921</v>
      </c>
      <c r="AR116" s="109" t="s">
        <v>1926</v>
      </c>
      <c r="AS116" s="166" t="s">
        <v>1119</v>
      </c>
      <c r="AT116" s="165" t="s">
        <v>48</v>
      </c>
      <c r="AU116" s="109" t="s">
        <v>48</v>
      </c>
      <c r="AV116" s="109" t="s">
        <v>48</v>
      </c>
      <c r="AW116" s="109" t="s">
        <v>48</v>
      </c>
      <c r="AX116" s="109" t="s">
        <v>48</v>
      </c>
      <c r="AY116" s="109" t="s">
        <v>48</v>
      </c>
      <c r="AZ116" s="166" t="s">
        <v>48</v>
      </c>
      <c r="BA116" s="162" t="s">
        <v>1243</v>
      </c>
      <c r="BB116" s="109" t="s">
        <v>82</v>
      </c>
      <c r="BC116" s="109"/>
    </row>
    <row r="117" spans="1:55" ht="75" hidden="1" customHeight="1">
      <c r="A117" s="109" t="s">
        <v>1115</v>
      </c>
      <c r="B117" s="109" t="s">
        <v>2478</v>
      </c>
      <c r="C117" s="109" t="s">
        <v>1164</v>
      </c>
      <c r="D117" s="109" t="s">
        <v>1165</v>
      </c>
      <c r="E117" s="161">
        <v>15000</v>
      </c>
      <c r="F117" s="165" t="s">
        <v>945</v>
      </c>
      <c r="G117" s="109" t="s">
        <v>945</v>
      </c>
      <c r="H117" s="109" t="s">
        <v>1918</v>
      </c>
      <c r="I117" s="109" t="s">
        <v>2091</v>
      </c>
      <c r="J117" s="109" t="s">
        <v>1904</v>
      </c>
      <c r="K117" s="109" t="s">
        <v>1904</v>
      </c>
      <c r="L117" s="109" t="s">
        <v>1919</v>
      </c>
      <c r="M117" s="166" t="s">
        <v>1920</v>
      </c>
      <c r="N117" s="108" t="s">
        <v>48</v>
      </c>
      <c r="O117" s="109" t="s">
        <v>48</v>
      </c>
      <c r="P117" s="162" t="s">
        <v>48</v>
      </c>
      <c r="Q117" s="109" t="s">
        <v>48</v>
      </c>
      <c r="R117" s="109" t="s">
        <v>48</v>
      </c>
      <c r="S117" s="109" t="s">
        <v>48</v>
      </c>
      <c r="T117" s="109" t="s">
        <v>48</v>
      </c>
      <c r="U117" s="109" t="s">
        <v>48</v>
      </c>
      <c r="V117" s="166" t="s">
        <v>48</v>
      </c>
      <c r="W117" s="165" t="s">
        <v>1117</v>
      </c>
      <c r="X117" s="109" t="s">
        <v>1165</v>
      </c>
      <c r="Y117" s="109" t="s">
        <v>1925</v>
      </c>
      <c r="Z117" s="109" t="s">
        <v>1908</v>
      </c>
      <c r="AA117" s="109" t="s">
        <v>1921</v>
      </c>
      <c r="AB117" s="109" t="s">
        <v>1921</v>
      </c>
      <c r="AC117" s="109" t="s">
        <v>1926</v>
      </c>
      <c r="AD117" s="166" t="s">
        <v>1119</v>
      </c>
      <c r="AE117" s="174" t="s">
        <v>48</v>
      </c>
      <c r="AF117" s="117" t="s">
        <v>48</v>
      </c>
      <c r="AG117" s="117" t="s">
        <v>48</v>
      </c>
      <c r="AH117" s="109" t="s">
        <v>48</v>
      </c>
      <c r="AI117" s="117" t="s">
        <v>48</v>
      </c>
      <c r="AJ117" s="117" t="s">
        <v>48</v>
      </c>
      <c r="AK117" s="182" t="s">
        <v>48</v>
      </c>
      <c r="AL117" s="165" t="s">
        <v>1165</v>
      </c>
      <c r="AM117" s="109" t="s">
        <v>1165</v>
      </c>
      <c r="AN117" s="109" t="s">
        <v>48</v>
      </c>
      <c r="AO117" s="109" t="s">
        <v>48</v>
      </c>
      <c r="AP117" s="109" t="s">
        <v>48</v>
      </c>
      <c r="AQ117" s="109" t="s">
        <v>48</v>
      </c>
      <c r="AR117" s="109" t="s">
        <v>48</v>
      </c>
      <c r="AS117" s="166" t="s">
        <v>48</v>
      </c>
      <c r="AT117" s="165" t="s">
        <v>48</v>
      </c>
      <c r="AU117" s="109" t="s">
        <v>48</v>
      </c>
      <c r="AV117" s="109" t="s">
        <v>48</v>
      </c>
      <c r="AW117" s="109" t="s">
        <v>48</v>
      </c>
      <c r="AX117" s="109" t="s">
        <v>48</v>
      </c>
      <c r="AY117" s="109" t="s">
        <v>48</v>
      </c>
      <c r="AZ117" s="166" t="s">
        <v>48</v>
      </c>
      <c r="BA117" s="162" t="s">
        <v>1243</v>
      </c>
      <c r="BB117" s="109" t="s">
        <v>82</v>
      </c>
      <c r="BC117" s="109"/>
    </row>
    <row r="118" spans="1:55" ht="75" customHeight="1">
      <c r="A118" s="109" t="s">
        <v>1118</v>
      </c>
      <c r="B118" s="109" t="s">
        <v>2476</v>
      </c>
      <c r="C118" s="109" t="s">
        <v>1164</v>
      </c>
      <c r="D118" s="109" t="s">
        <v>1165</v>
      </c>
      <c r="E118" s="161">
        <v>15000</v>
      </c>
      <c r="F118" s="165" t="s">
        <v>729</v>
      </c>
      <c r="G118" s="109" t="s">
        <v>729</v>
      </c>
      <c r="H118" s="109" t="s">
        <v>1912</v>
      </c>
      <c r="I118" s="109" t="s">
        <v>1908</v>
      </c>
      <c r="J118" s="109" t="s">
        <v>1910</v>
      </c>
      <c r="K118" s="109" t="s">
        <v>1910</v>
      </c>
      <c r="L118" s="109" t="s">
        <v>1913</v>
      </c>
      <c r="M118" s="166" t="s">
        <v>795</v>
      </c>
      <c r="N118" s="108" t="s">
        <v>48</v>
      </c>
      <c r="O118" s="109" t="s">
        <v>48</v>
      </c>
      <c r="P118" s="162" t="s">
        <v>48</v>
      </c>
      <c r="Q118" s="109" t="s">
        <v>48</v>
      </c>
      <c r="R118" s="109" t="s">
        <v>48</v>
      </c>
      <c r="S118" s="109" t="s">
        <v>48</v>
      </c>
      <c r="T118" s="109" t="s">
        <v>48</v>
      </c>
      <c r="U118" s="109" t="s">
        <v>48</v>
      </c>
      <c r="V118" s="166" t="s">
        <v>48</v>
      </c>
      <c r="W118" s="165" t="s">
        <v>1165</v>
      </c>
      <c r="X118" s="109" t="s">
        <v>1165</v>
      </c>
      <c r="Y118" s="109" t="s">
        <v>48</v>
      </c>
      <c r="Z118" s="109" t="s">
        <v>48</v>
      </c>
      <c r="AA118" s="109" t="s">
        <v>48</v>
      </c>
      <c r="AB118" s="109" t="s">
        <v>48</v>
      </c>
      <c r="AC118" s="109" t="s">
        <v>48</v>
      </c>
      <c r="AD118" s="166" t="s">
        <v>48</v>
      </c>
      <c r="AE118" s="174" t="s">
        <v>48</v>
      </c>
      <c r="AF118" s="117" t="s">
        <v>48</v>
      </c>
      <c r="AG118" s="117" t="s">
        <v>48</v>
      </c>
      <c r="AH118" s="109" t="s">
        <v>48</v>
      </c>
      <c r="AI118" s="117" t="s">
        <v>48</v>
      </c>
      <c r="AJ118" s="117" t="s">
        <v>48</v>
      </c>
      <c r="AK118" s="182" t="s">
        <v>48</v>
      </c>
      <c r="AL118" s="165" t="s">
        <v>1117</v>
      </c>
      <c r="AM118" s="109" t="s">
        <v>1165</v>
      </c>
      <c r="AN118" s="109" t="s">
        <v>1135</v>
      </c>
      <c r="AO118" s="109" t="s">
        <v>1908</v>
      </c>
      <c r="AP118" s="109" t="s">
        <v>1921</v>
      </c>
      <c r="AQ118" s="109" t="s">
        <v>1921</v>
      </c>
      <c r="AR118" s="109" t="s">
        <v>1926</v>
      </c>
      <c r="AS118" s="166" t="s">
        <v>1119</v>
      </c>
      <c r="AT118" s="165" t="s">
        <v>48</v>
      </c>
      <c r="AU118" s="109" t="s">
        <v>48</v>
      </c>
      <c r="AV118" s="109" t="s">
        <v>48</v>
      </c>
      <c r="AW118" s="109" t="s">
        <v>48</v>
      </c>
      <c r="AX118" s="109" t="s">
        <v>48</v>
      </c>
      <c r="AY118" s="109" t="s">
        <v>48</v>
      </c>
      <c r="AZ118" s="166" t="s">
        <v>48</v>
      </c>
      <c r="BA118" s="162" t="s">
        <v>1243</v>
      </c>
      <c r="BB118" s="109" t="s">
        <v>82</v>
      </c>
      <c r="BC118" s="109"/>
    </row>
    <row r="119" spans="1:55" ht="75" hidden="1" customHeight="1">
      <c r="A119" s="109" t="s">
        <v>1115</v>
      </c>
      <c r="B119" s="109" t="s">
        <v>2479</v>
      </c>
      <c r="C119" s="109" t="s">
        <v>1162</v>
      </c>
      <c r="D119" s="109" t="s">
        <v>1163</v>
      </c>
      <c r="E119" s="161">
        <v>15000</v>
      </c>
      <c r="F119" s="165" t="s">
        <v>729</v>
      </c>
      <c r="G119" s="109" t="s">
        <v>729</v>
      </c>
      <c r="H119" s="109" t="s">
        <v>1912</v>
      </c>
      <c r="I119" s="109" t="s">
        <v>1908</v>
      </c>
      <c r="J119" s="109" t="s">
        <v>1910</v>
      </c>
      <c r="K119" s="109" t="s">
        <v>1910</v>
      </c>
      <c r="L119" s="109" t="s">
        <v>1913</v>
      </c>
      <c r="M119" s="166" t="s">
        <v>795</v>
      </c>
      <c r="N119" s="108" t="s">
        <v>48</v>
      </c>
      <c r="O119" s="109" t="s">
        <v>48</v>
      </c>
      <c r="P119" s="162" t="s">
        <v>48</v>
      </c>
      <c r="Q119" s="109" t="s">
        <v>48</v>
      </c>
      <c r="R119" s="109" t="s">
        <v>48</v>
      </c>
      <c r="S119" s="109" t="s">
        <v>48</v>
      </c>
      <c r="T119" s="109" t="s">
        <v>48</v>
      </c>
      <c r="U119" s="109" t="s">
        <v>48</v>
      </c>
      <c r="V119" s="166" t="s">
        <v>48</v>
      </c>
      <c r="W119" s="165" t="s">
        <v>1163</v>
      </c>
      <c r="X119" s="109" t="s">
        <v>1163</v>
      </c>
      <c r="Y119" s="109" t="s">
        <v>48</v>
      </c>
      <c r="Z119" s="109" t="s">
        <v>48</v>
      </c>
      <c r="AA119" s="109" t="s">
        <v>48</v>
      </c>
      <c r="AB119" s="109" t="s">
        <v>48</v>
      </c>
      <c r="AC119" s="109" t="s">
        <v>48</v>
      </c>
      <c r="AD119" s="166" t="s">
        <v>48</v>
      </c>
      <c r="AE119" s="174" t="s">
        <v>48</v>
      </c>
      <c r="AF119" s="117" t="s">
        <v>48</v>
      </c>
      <c r="AG119" s="117" t="s">
        <v>48</v>
      </c>
      <c r="AH119" s="109" t="s">
        <v>48</v>
      </c>
      <c r="AI119" s="117" t="s">
        <v>48</v>
      </c>
      <c r="AJ119" s="117" t="s">
        <v>48</v>
      </c>
      <c r="AK119" s="182" t="s">
        <v>48</v>
      </c>
      <c r="AL119" s="165" t="s">
        <v>1117</v>
      </c>
      <c r="AM119" s="109" t="s">
        <v>1163</v>
      </c>
      <c r="AN119" s="109" t="s">
        <v>1135</v>
      </c>
      <c r="AO119" s="109" t="s">
        <v>1908</v>
      </c>
      <c r="AP119" s="109" t="s">
        <v>1921</v>
      </c>
      <c r="AQ119" s="109" t="s">
        <v>1921</v>
      </c>
      <c r="AR119" s="109" t="s">
        <v>1926</v>
      </c>
      <c r="AS119" s="166" t="s">
        <v>1119</v>
      </c>
      <c r="AT119" s="165" t="s">
        <v>48</v>
      </c>
      <c r="AU119" s="109" t="s">
        <v>48</v>
      </c>
      <c r="AV119" s="109" t="s">
        <v>48</v>
      </c>
      <c r="AW119" s="109" t="s">
        <v>48</v>
      </c>
      <c r="AX119" s="109" t="s">
        <v>48</v>
      </c>
      <c r="AY119" s="109" t="s">
        <v>48</v>
      </c>
      <c r="AZ119" s="166" t="s">
        <v>48</v>
      </c>
      <c r="BA119" s="162" t="s">
        <v>1243</v>
      </c>
      <c r="BB119" s="109" t="s">
        <v>82</v>
      </c>
      <c r="BC119" s="109"/>
    </row>
    <row r="120" spans="1:55" ht="75" hidden="1" customHeight="1">
      <c r="A120" s="109" t="s">
        <v>1115</v>
      </c>
      <c r="B120" s="109" t="s">
        <v>2478</v>
      </c>
      <c r="C120" s="109" t="s">
        <v>1162</v>
      </c>
      <c r="D120" s="109" t="s">
        <v>1163</v>
      </c>
      <c r="E120" s="161">
        <v>15000</v>
      </c>
      <c r="F120" s="165" t="s">
        <v>945</v>
      </c>
      <c r="G120" s="109" t="s">
        <v>945</v>
      </c>
      <c r="H120" s="109" t="s">
        <v>1918</v>
      </c>
      <c r="I120" s="109" t="s">
        <v>2091</v>
      </c>
      <c r="J120" s="109" t="s">
        <v>1904</v>
      </c>
      <c r="K120" s="109" t="s">
        <v>1904</v>
      </c>
      <c r="L120" s="109" t="s">
        <v>1919</v>
      </c>
      <c r="M120" s="166" t="s">
        <v>1920</v>
      </c>
      <c r="N120" s="108" t="s">
        <v>48</v>
      </c>
      <c r="O120" s="109" t="s">
        <v>48</v>
      </c>
      <c r="P120" s="162" t="s">
        <v>48</v>
      </c>
      <c r="Q120" s="109" t="s">
        <v>48</v>
      </c>
      <c r="R120" s="109" t="s">
        <v>48</v>
      </c>
      <c r="S120" s="109" t="s">
        <v>48</v>
      </c>
      <c r="T120" s="109" t="s">
        <v>48</v>
      </c>
      <c r="U120" s="109" t="s">
        <v>48</v>
      </c>
      <c r="V120" s="166" t="s">
        <v>48</v>
      </c>
      <c r="W120" s="165" t="s">
        <v>1117</v>
      </c>
      <c r="X120" s="109" t="s">
        <v>1163</v>
      </c>
      <c r="Y120" s="109" t="s">
        <v>1925</v>
      </c>
      <c r="Z120" s="109" t="s">
        <v>1908</v>
      </c>
      <c r="AA120" s="109" t="s">
        <v>1921</v>
      </c>
      <c r="AB120" s="109" t="s">
        <v>1921</v>
      </c>
      <c r="AC120" s="109" t="s">
        <v>1926</v>
      </c>
      <c r="AD120" s="166" t="s">
        <v>1119</v>
      </c>
      <c r="AE120" s="174" t="s">
        <v>48</v>
      </c>
      <c r="AF120" s="117" t="s">
        <v>48</v>
      </c>
      <c r="AG120" s="117" t="s">
        <v>48</v>
      </c>
      <c r="AH120" s="109" t="s">
        <v>48</v>
      </c>
      <c r="AI120" s="117" t="s">
        <v>48</v>
      </c>
      <c r="AJ120" s="117" t="s">
        <v>48</v>
      </c>
      <c r="AK120" s="182" t="s">
        <v>48</v>
      </c>
      <c r="AL120" s="165" t="s">
        <v>1163</v>
      </c>
      <c r="AM120" s="109" t="s">
        <v>1163</v>
      </c>
      <c r="AN120" s="109" t="s">
        <v>48</v>
      </c>
      <c r="AO120" s="109" t="s">
        <v>48</v>
      </c>
      <c r="AP120" s="109" t="s">
        <v>48</v>
      </c>
      <c r="AQ120" s="109" t="s">
        <v>48</v>
      </c>
      <c r="AR120" s="109" t="s">
        <v>48</v>
      </c>
      <c r="AS120" s="166" t="s">
        <v>1119</v>
      </c>
      <c r="AT120" s="165" t="s">
        <v>48</v>
      </c>
      <c r="AU120" s="109" t="s">
        <v>48</v>
      </c>
      <c r="AV120" s="109" t="s">
        <v>48</v>
      </c>
      <c r="AW120" s="109" t="s">
        <v>48</v>
      </c>
      <c r="AX120" s="109" t="s">
        <v>48</v>
      </c>
      <c r="AY120" s="109" t="s">
        <v>48</v>
      </c>
      <c r="AZ120" s="166" t="s">
        <v>48</v>
      </c>
      <c r="BA120" s="162" t="s">
        <v>1243</v>
      </c>
      <c r="BB120" s="109" t="s">
        <v>82</v>
      </c>
      <c r="BC120" s="109"/>
    </row>
    <row r="121" spans="1:55" ht="75" customHeight="1">
      <c r="A121" s="109" t="s">
        <v>1118</v>
      </c>
      <c r="B121" s="109" t="s">
        <v>2476</v>
      </c>
      <c r="C121" s="109" t="s">
        <v>1162</v>
      </c>
      <c r="D121" s="109" t="s">
        <v>1163</v>
      </c>
      <c r="E121" s="161">
        <v>15000</v>
      </c>
      <c r="F121" s="165" t="s">
        <v>729</v>
      </c>
      <c r="G121" s="109" t="s">
        <v>729</v>
      </c>
      <c r="H121" s="109" t="s">
        <v>1912</v>
      </c>
      <c r="I121" s="109" t="s">
        <v>1908</v>
      </c>
      <c r="J121" s="109" t="s">
        <v>1910</v>
      </c>
      <c r="K121" s="109" t="s">
        <v>1910</v>
      </c>
      <c r="L121" s="109" t="s">
        <v>1913</v>
      </c>
      <c r="M121" s="166" t="s">
        <v>795</v>
      </c>
      <c r="N121" s="108" t="s">
        <v>48</v>
      </c>
      <c r="O121" s="109" t="s">
        <v>48</v>
      </c>
      <c r="P121" s="162" t="s">
        <v>48</v>
      </c>
      <c r="Q121" s="109" t="s">
        <v>48</v>
      </c>
      <c r="R121" s="109" t="s">
        <v>48</v>
      </c>
      <c r="S121" s="109" t="s">
        <v>48</v>
      </c>
      <c r="T121" s="109" t="s">
        <v>48</v>
      </c>
      <c r="U121" s="109" t="s">
        <v>48</v>
      </c>
      <c r="V121" s="166" t="s">
        <v>48</v>
      </c>
      <c r="W121" s="165" t="s">
        <v>1163</v>
      </c>
      <c r="X121" s="109" t="s">
        <v>1163</v>
      </c>
      <c r="Y121" s="109" t="s">
        <v>48</v>
      </c>
      <c r="Z121" s="109" t="s">
        <v>48</v>
      </c>
      <c r="AA121" s="109" t="s">
        <v>48</v>
      </c>
      <c r="AB121" s="109" t="s">
        <v>48</v>
      </c>
      <c r="AC121" s="109" t="s">
        <v>48</v>
      </c>
      <c r="AD121" s="166" t="s">
        <v>48</v>
      </c>
      <c r="AE121" s="174" t="s">
        <v>48</v>
      </c>
      <c r="AF121" s="117" t="s">
        <v>48</v>
      </c>
      <c r="AG121" s="117" t="s">
        <v>48</v>
      </c>
      <c r="AH121" s="109" t="s">
        <v>48</v>
      </c>
      <c r="AI121" s="117" t="s">
        <v>48</v>
      </c>
      <c r="AJ121" s="117" t="s">
        <v>48</v>
      </c>
      <c r="AK121" s="182" t="s">
        <v>48</v>
      </c>
      <c r="AL121" s="165" t="s">
        <v>1117</v>
      </c>
      <c r="AM121" s="109" t="s">
        <v>1163</v>
      </c>
      <c r="AN121" s="109" t="s">
        <v>1135</v>
      </c>
      <c r="AO121" s="109" t="s">
        <v>1908</v>
      </c>
      <c r="AP121" s="109" t="s">
        <v>1921</v>
      </c>
      <c r="AQ121" s="109" t="s">
        <v>1921</v>
      </c>
      <c r="AR121" s="109" t="s">
        <v>1926</v>
      </c>
      <c r="AS121" s="166" t="s">
        <v>1119</v>
      </c>
      <c r="AT121" s="165" t="s">
        <v>48</v>
      </c>
      <c r="AU121" s="109" t="s">
        <v>48</v>
      </c>
      <c r="AV121" s="109" t="s">
        <v>48</v>
      </c>
      <c r="AW121" s="109" t="s">
        <v>48</v>
      </c>
      <c r="AX121" s="109" t="s">
        <v>48</v>
      </c>
      <c r="AY121" s="109" t="s">
        <v>48</v>
      </c>
      <c r="AZ121" s="166" t="s">
        <v>48</v>
      </c>
      <c r="BA121" s="162" t="s">
        <v>1243</v>
      </c>
      <c r="BB121" s="109" t="s">
        <v>82</v>
      </c>
      <c r="BC121" s="109"/>
    </row>
    <row r="122" spans="1:55" ht="75" hidden="1" customHeight="1">
      <c r="A122" s="109" t="s">
        <v>1115</v>
      </c>
      <c r="B122" s="109" t="s">
        <v>2479</v>
      </c>
      <c r="C122" s="109" t="s">
        <v>1160</v>
      </c>
      <c r="D122" s="109" t="s">
        <v>1161</v>
      </c>
      <c r="E122" s="161">
        <v>15000</v>
      </c>
      <c r="F122" s="165" t="s">
        <v>729</v>
      </c>
      <c r="G122" s="109" t="s">
        <v>729</v>
      </c>
      <c r="H122" s="109" t="s">
        <v>1912</v>
      </c>
      <c r="I122" s="109" t="s">
        <v>1908</v>
      </c>
      <c r="J122" s="109" t="s">
        <v>1910</v>
      </c>
      <c r="K122" s="109" t="s">
        <v>1910</v>
      </c>
      <c r="L122" s="109" t="s">
        <v>1913</v>
      </c>
      <c r="M122" s="166" t="s">
        <v>795</v>
      </c>
      <c r="N122" s="108" t="s">
        <v>48</v>
      </c>
      <c r="O122" s="109" t="s">
        <v>48</v>
      </c>
      <c r="P122" s="162" t="s">
        <v>48</v>
      </c>
      <c r="Q122" s="109" t="s">
        <v>48</v>
      </c>
      <c r="R122" s="109" t="s">
        <v>48</v>
      </c>
      <c r="S122" s="109" t="s">
        <v>48</v>
      </c>
      <c r="T122" s="109" t="s">
        <v>48</v>
      </c>
      <c r="U122" s="109" t="s">
        <v>48</v>
      </c>
      <c r="V122" s="166" t="s">
        <v>48</v>
      </c>
      <c r="W122" s="165" t="s">
        <v>1161</v>
      </c>
      <c r="X122" s="109" t="s">
        <v>1161</v>
      </c>
      <c r="Y122" s="109" t="s">
        <v>48</v>
      </c>
      <c r="Z122" s="109" t="s">
        <v>48</v>
      </c>
      <c r="AA122" s="109" t="s">
        <v>48</v>
      </c>
      <c r="AB122" s="109" t="s">
        <v>48</v>
      </c>
      <c r="AC122" s="109" t="s">
        <v>48</v>
      </c>
      <c r="AD122" s="166" t="s">
        <v>48</v>
      </c>
      <c r="AE122" s="174" t="s">
        <v>48</v>
      </c>
      <c r="AF122" s="117" t="s">
        <v>48</v>
      </c>
      <c r="AG122" s="117" t="s">
        <v>48</v>
      </c>
      <c r="AH122" s="109" t="s">
        <v>48</v>
      </c>
      <c r="AI122" s="117" t="s">
        <v>48</v>
      </c>
      <c r="AJ122" s="117" t="s">
        <v>48</v>
      </c>
      <c r="AK122" s="182" t="s">
        <v>48</v>
      </c>
      <c r="AL122" s="165" t="s">
        <v>1117</v>
      </c>
      <c r="AM122" s="109" t="s">
        <v>1161</v>
      </c>
      <c r="AN122" s="109" t="s">
        <v>1135</v>
      </c>
      <c r="AO122" s="109" t="s">
        <v>1908</v>
      </c>
      <c r="AP122" s="109" t="s">
        <v>1921</v>
      </c>
      <c r="AQ122" s="109" t="s">
        <v>1921</v>
      </c>
      <c r="AR122" s="109" t="s">
        <v>1926</v>
      </c>
      <c r="AS122" s="166" t="s">
        <v>1119</v>
      </c>
      <c r="AT122" s="165" t="s">
        <v>48</v>
      </c>
      <c r="AU122" s="109" t="s">
        <v>48</v>
      </c>
      <c r="AV122" s="109" t="s">
        <v>48</v>
      </c>
      <c r="AW122" s="109" t="s">
        <v>48</v>
      </c>
      <c r="AX122" s="109" t="s">
        <v>48</v>
      </c>
      <c r="AY122" s="109" t="s">
        <v>48</v>
      </c>
      <c r="AZ122" s="166" t="s">
        <v>48</v>
      </c>
      <c r="BA122" s="162" t="s">
        <v>1243</v>
      </c>
      <c r="BB122" s="109" t="s">
        <v>82</v>
      </c>
      <c r="BC122" s="109"/>
    </row>
    <row r="123" spans="1:55" ht="75" hidden="1" customHeight="1">
      <c r="A123" s="109" t="s">
        <v>1115</v>
      </c>
      <c r="B123" s="109" t="s">
        <v>2478</v>
      </c>
      <c r="C123" s="109" t="s">
        <v>1160</v>
      </c>
      <c r="D123" s="109" t="s">
        <v>1161</v>
      </c>
      <c r="E123" s="161">
        <v>15000</v>
      </c>
      <c r="F123" s="165" t="s">
        <v>945</v>
      </c>
      <c r="G123" s="109" t="s">
        <v>945</v>
      </c>
      <c r="H123" s="109" t="s">
        <v>1918</v>
      </c>
      <c r="I123" s="109" t="s">
        <v>2091</v>
      </c>
      <c r="J123" s="109" t="s">
        <v>1904</v>
      </c>
      <c r="K123" s="109" t="s">
        <v>1904</v>
      </c>
      <c r="L123" s="109" t="s">
        <v>1919</v>
      </c>
      <c r="M123" s="166" t="s">
        <v>1920</v>
      </c>
      <c r="N123" s="108" t="s">
        <v>48</v>
      </c>
      <c r="O123" s="109" t="s">
        <v>48</v>
      </c>
      <c r="P123" s="162" t="s">
        <v>48</v>
      </c>
      <c r="Q123" s="109" t="s">
        <v>48</v>
      </c>
      <c r="R123" s="109" t="s">
        <v>48</v>
      </c>
      <c r="S123" s="109" t="s">
        <v>48</v>
      </c>
      <c r="T123" s="109" t="s">
        <v>48</v>
      </c>
      <c r="U123" s="109" t="s">
        <v>48</v>
      </c>
      <c r="V123" s="166" t="s">
        <v>48</v>
      </c>
      <c r="W123" s="165" t="s">
        <v>1117</v>
      </c>
      <c r="X123" s="109" t="s">
        <v>1161</v>
      </c>
      <c r="Y123" s="109" t="s">
        <v>1925</v>
      </c>
      <c r="Z123" s="109" t="s">
        <v>1908</v>
      </c>
      <c r="AA123" s="109" t="s">
        <v>1921</v>
      </c>
      <c r="AB123" s="109" t="s">
        <v>1921</v>
      </c>
      <c r="AC123" s="109" t="s">
        <v>1926</v>
      </c>
      <c r="AD123" s="166" t="s">
        <v>1119</v>
      </c>
      <c r="AE123" s="174" t="s">
        <v>48</v>
      </c>
      <c r="AF123" s="117" t="s">
        <v>48</v>
      </c>
      <c r="AG123" s="117" t="s">
        <v>48</v>
      </c>
      <c r="AH123" s="109" t="s">
        <v>48</v>
      </c>
      <c r="AI123" s="117" t="s">
        <v>48</v>
      </c>
      <c r="AJ123" s="117" t="s">
        <v>48</v>
      </c>
      <c r="AK123" s="182" t="s">
        <v>48</v>
      </c>
      <c r="AL123" s="165" t="s">
        <v>1161</v>
      </c>
      <c r="AM123" s="109" t="s">
        <v>1161</v>
      </c>
      <c r="AN123" s="109" t="s">
        <v>48</v>
      </c>
      <c r="AO123" s="109" t="s">
        <v>48</v>
      </c>
      <c r="AP123" s="109" t="s">
        <v>48</v>
      </c>
      <c r="AQ123" s="109" t="s">
        <v>48</v>
      </c>
      <c r="AR123" s="109" t="s">
        <v>48</v>
      </c>
      <c r="AS123" s="166" t="s">
        <v>48</v>
      </c>
      <c r="AT123" s="165" t="s">
        <v>48</v>
      </c>
      <c r="AU123" s="109" t="s">
        <v>48</v>
      </c>
      <c r="AV123" s="109" t="s">
        <v>48</v>
      </c>
      <c r="AW123" s="109" t="s">
        <v>48</v>
      </c>
      <c r="AX123" s="109" t="s">
        <v>48</v>
      </c>
      <c r="AY123" s="109" t="s">
        <v>48</v>
      </c>
      <c r="AZ123" s="166" t="s">
        <v>48</v>
      </c>
      <c r="BA123" s="162" t="s">
        <v>1243</v>
      </c>
      <c r="BB123" s="109" t="s">
        <v>82</v>
      </c>
      <c r="BC123" s="109"/>
    </row>
    <row r="124" spans="1:55" ht="75" customHeight="1">
      <c r="A124" s="109" t="s">
        <v>1118</v>
      </c>
      <c r="B124" s="109" t="s">
        <v>2476</v>
      </c>
      <c r="C124" s="109" t="s">
        <v>1160</v>
      </c>
      <c r="D124" s="109" t="s">
        <v>1161</v>
      </c>
      <c r="E124" s="161">
        <v>15000</v>
      </c>
      <c r="F124" s="165" t="s">
        <v>729</v>
      </c>
      <c r="G124" s="109" t="s">
        <v>729</v>
      </c>
      <c r="H124" s="109" t="s">
        <v>1912</v>
      </c>
      <c r="I124" s="109" t="s">
        <v>1908</v>
      </c>
      <c r="J124" s="109" t="s">
        <v>1910</v>
      </c>
      <c r="K124" s="109" t="s">
        <v>1910</v>
      </c>
      <c r="L124" s="109" t="s">
        <v>1913</v>
      </c>
      <c r="M124" s="166" t="s">
        <v>795</v>
      </c>
      <c r="N124" s="108" t="s">
        <v>48</v>
      </c>
      <c r="O124" s="109" t="s">
        <v>48</v>
      </c>
      <c r="P124" s="162" t="s">
        <v>48</v>
      </c>
      <c r="Q124" s="109" t="s">
        <v>48</v>
      </c>
      <c r="R124" s="109" t="s">
        <v>48</v>
      </c>
      <c r="S124" s="109" t="s">
        <v>48</v>
      </c>
      <c r="T124" s="109" t="s">
        <v>48</v>
      </c>
      <c r="U124" s="109" t="s">
        <v>48</v>
      </c>
      <c r="V124" s="166" t="s">
        <v>48</v>
      </c>
      <c r="W124" s="165" t="s">
        <v>1161</v>
      </c>
      <c r="X124" s="109" t="s">
        <v>1161</v>
      </c>
      <c r="Y124" s="109" t="s">
        <v>48</v>
      </c>
      <c r="Z124" s="109" t="s">
        <v>48</v>
      </c>
      <c r="AA124" s="109" t="s">
        <v>48</v>
      </c>
      <c r="AB124" s="109" t="s">
        <v>48</v>
      </c>
      <c r="AC124" s="109" t="s">
        <v>48</v>
      </c>
      <c r="AD124" s="166" t="s">
        <v>48</v>
      </c>
      <c r="AE124" s="174" t="s">
        <v>48</v>
      </c>
      <c r="AF124" s="117" t="s">
        <v>48</v>
      </c>
      <c r="AG124" s="117" t="s">
        <v>48</v>
      </c>
      <c r="AH124" s="109" t="s">
        <v>48</v>
      </c>
      <c r="AI124" s="117" t="s">
        <v>48</v>
      </c>
      <c r="AJ124" s="117" t="s">
        <v>48</v>
      </c>
      <c r="AK124" s="182" t="s">
        <v>48</v>
      </c>
      <c r="AL124" s="165" t="s">
        <v>1117</v>
      </c>
      <c r="AM124" s="109" t="s">
        <v>1161</v>
      </c>
      <c r="AN124" s="109" t="s">
        <v>1135</v>
      </c>
      <c r="AO124" s="109" t="s">
        <v>1908</v>
      </c>
      <c r="AP124" s="109" t="s">
        <v>1921</v>
      </c>
      <c r="AQ124" s="109" t="s">
        <v>1921</v>
      </c>
      <c r="AR124" s="109" t="s">
        <v>1926</v>
      </c>
      <c r="AS124" s="166" t="s">
        <v>1119</v>
      </c>
      <c r="AT124" s="165" t="s">
        <v>48</v>
      </c>
      <c r="AU124" s="109" t="s">
        <v>48</v>
      </c>
      <c r="AV124" s="109" t="s">
        <v>48</v>
      </c>
      <c r="AW124" s="109" t="s">
        <v>48</v>
      </c>
      <c r="AX124" s="109" t="s">
        <v>48</v>
      </c>
      <c r="AY124" s="109" t="s">
        <v>48</v>
      </c>
      <c r="AZ124" s="166" t="s">
        <v>48</v>
      </c>
      <c r="BA124" s="162" t="s">
        <v>1243</v>
      </c>
      <c r="BB124" s="109" t="s">
        <v>82</v>
      </c>
      <c r="BC124" s="109"/>
    </row>
    <row r="125" spans="1:55" ht="75" hidden="1" customHeight="1">
      <c r="A125" s="109" t="s">
        <v>1115</v>
      </c>
      <c r="B125" s="109" t="s">
        <v>2479</v>
      </c>
      <c r="C125" s="109" t="s">
        <v>1158</v>
      </c>
      <c r="D125" s="109" t="s">
        <v>1159</v>
      </c>
      <c r="E125" s="161">
        <v>15000</v>
      </c>
      <c r="F125" s="165" t="s">
        <v>729</v>
      </c>
      <c r="G125" s="109" t="s">
        <v>729</v>
      </c>
      <c r="H125" s="109" t="s">
        <v>1912</v>
      </c>
      <c r="I125" s="109" t="s">
        <v>1908</v>
      </c>
      <c r="J125" s="109" t="s">
        <v>1910</v>
      </c>
      <c r="K125" s="109" t="s">
        <v>1910</v>
      </c>
      <c r="L125" s="109" t="s">
        <v>1913</v>
      </c>
      <c r="M125" s="166" t="s">
        <v>795</v>
      </c>
      <c r="N125" s="108" t="s">
        <v>48</v>
      </c>
      <c r="O125" s="109" t="s">
        <v>48</v>
      </c>
      <c r="P125" s="162" t="s">
        <v>48</v>
      </c>
      <c r="Q125" s="109" t="s">
        <v>48</v>
      </c>
      <c r="R125" s="109" t="s">
        <v>48</v>
      </c>
      <c r="S125" s="109" t="s">
        <v>48</v>
      </c>
      <c r="T125" s="109" t="s">
        <v>48</v>
      </c>
      <c r="U125" s="109" t="s">
        <v>48</v>
      </c>
      <c r="V125" s="166" t="s">
        <v>48</v>
      </c>
      <c r="W125" s="165" t="s">
        <v>1159</v>
      </c>
      <c r="X125" s="109" t="s">
        <v>1159</v>
      </c>
      <c r="Y125" s="109" t="s">
        <v>48</v>
      </c>
      <c r="Z125" s="109" t="s">
        <v>48</v>
      </c>
      <c r="AA125" s="109" t="s">
        <v>48</v>
      </c>
      <c r="AB125" s="109" t="s">
        <v>48</v>
      </c>
      <c r="AC125" s="109" t="s">
        <v>48</v>
      </c>
      <c r="AD125" s="166" t="s">
        <v>48</v>
      </c>
      <c r="AE125" s="174" t="s">
        <v>48</v>
      </c>
      <c r="AF125" s="117" t="s">
        <v>48</v>
      </c>
      <c r="AG125" s="117" t="s">
        <v>48</v>
      </c>
      <c r="AH125" s="109" t="s">
        <v>48</v>
      </c>
      <c r="AI125" s="117" t="s">
        <v>48</v>
      </c>
      <c r="AJ125" s="117" t="s">
        <v>48</v>
      </c>
      <c r="AK125" s="182" t="s">
        <v>48</v>
      </c>
      <c r="AL125" s="165" t="s">
        <v>1117</v>
      </c>
      <c r="AM125" s="109" t="s">
        <v>1159</v>
      </c>
      <c r="AN125" s="109" t="s">
        <v>1135</v>
      </c>
      <c r="AO125" s="109" t="s">
        <v>1908</v>
      </c>
      <c r="AP125" s="109" t="s">
        <v>1921</v>
      </c>
      <c r="AQ125" s="109" t="s">
        <v>1921</v>
      </c>
      <c r="AR125" s="109" t="s">
        <v>1926</v>
      </c>
      <c r="AS125" s="166" t="s">
        <v>1119</v>
      </c>
      <c r="AT125" s="165" t="s">
        <v>48</v>
      </c>
      <c r="AU125" s="109" t="s">
        <v>48</v>
      </c>
      <c r="AV125" s="109" t="s">
        <v>48</v>
      </c>
      <c r="AW125" s="109" t="s">
        <v>48</v>
      </c>
      <c r="AX125" s="109" t="s">
        <v>48</v>
      </c>
      <c r="AY125" s="109" t="s">
        <v>48</v>
      </c>
      <c r="AZ125" s="166" t="s">
        <v>48</v>
      </c>
      <c r="BA125" s="162" t="s">
        <v>1243</v>
      </c>
      <c r="BB125" s="109" t="s">
        <v>82</v>
      </c>
      <c r="BC125" s="109"/>
    </row>
    <row r="126" spans="1:55" ht="75" hidden="1" customHeight="1">
      <c r="A126" s="109" t="s">
        <v>1115</v>
      </c>
      <c r="B126" s="109" t="s">
        <v>2478</v>
      </c>
      <c r="C126" s="109" t="s">
        <v>1158</v>
      </c>
      <c r="D126" s="109" t="s">
        <v>1159</v>
      </c>
      <c r="E126" s="161">
        <v>15000</v>
      </c>
      <c r="F126" s="165" t="s">
        <v>945</v>
      </c>
      <c r="G126" s="109" t="s">
        <v>945</v>
      </c>
      <c r="H126" s="109" t="s">
        <v>1918</v>
      </c>
      <c r="I126" s="109" t="s">
        <v>2091</v>
      </c>
      <c r="J126" s="109" t="s">
        <v>1904</v>
      </c>
      <c r="K126" s="109" t="s">
        <v>1904</v>
      </c>
      <c r="L126" s="109" t="s">
        <v>1919</v>
      </c>
      <c r="M126" s="166" t="s">
        <v>1920</v>
      </c>
      <c r="N126" s="108" t="s">
        <v>48</v>
      </c>
      <c r="O126" s="109" t="s">
        <v>48</v>
      </c>
      <c r="P126" s="162" t="s">
        <v>48</v>
      </c>
      <c r="Q126" s="109" t="s">
        <v>48</v>
      </c>
      <c r="R126" s="109" t="s">
        <v>48</v>
      </c>
      <c r="S126" s="109" t="s">
        <v>48</v>
      </c>
      <c r="T126" s="109" t="s">
        <v>48</v>
      </c>
      <c r="U126" s="109" t="s">
        <v>48</v>
      </c>
      <c r="V126" s="166" t="s">
        <v>48</v>
      </c>
      <c r="W126" s="165" t="s">
        <v>1117</v>
      </c>
      <c r="X126" s="109" t="s">
        <v>1159</v>
      </c>
      <c r="Y126" s="109" t="s">
        <v>1925</v>
      </c>
      <c r="Z126" s="109" t="s">
        <v>1908</v>
      </c>
      <c r="AA126" s="109" t="s">
        <v>1921</v>
      </c>
      <c r="AB126" s="109" t="s">
        <v>1921</v>
      </c>
      <c r="AC126" s="109" t="s">
        <v>1926</v>
      </c>
      <c r="AD126" s="166" t="s">
        <v>1119</v>
      </c>
      <c r="AE126" s="174" t="s">
        <v>48</v>
      </c>
      <c r="AF126" s="117" t="s">
        <v>48</v>
      </c>
      <c r="AG126" s="117" t="s">
        <v>48</v>
      </c>
      <c r="AH126" s="109" t="s">
        <v>48</v>
      </c>
      <c r="AI126" s="117" t="s">
        <v>48</v>
      </c>
      <c r="AJ126" s="117" t="s">
        <v>48</v>
      </c>
      <c r="AK126" s="182" t="s">
        <v>48</v>
      </c>
      <c r="AL126" s="165" t="s">
        <v>48</v>
      </c>
      <c r="AM126" s="109" t="s">
        <v>48</v>
      </c>
      <c r="AN126" s="109" t="s">
        <v>48</v>
      </c>
      <c r="AO126" s="109" t="s">
        <v>48</v>
      </c>
      <c r="AP126" s="109" t="s">
        <v>48</v>
      </c>
      <c r="AQ126" s="109" t="s">
        <v>48</v>
      </c>
      <c r="AR126" s="109" t="s">
        <v>48</v>
      </c>
      <c r="AS126" s="166" t="s">
        <v>48</v>
      </c>
      <c r="AT126" s="165" t="s">
        <v>48</v>
      </c>
      <c r="AU126" s="109" t="s">
        <v>48</v>
      </c>
      <c r="AV126" s="109" t="s">
        <v>48</v>
      </c>
      <c r="AW126" s="109" t="s">
        <v>48</v>
      </c>
      <c r="AX126" s="109" t="s">
        <v>48</v>
      </c>
      <c r="AY126" s="109" t="s">
        <v>48</v>
      </c>
      <c r="AZ126" s="166" t="s">
        <v>48</v>
      </c>
      <c r="BA126" s="162" t="s">
        <v>1243</v>
      </c>
      <c r="BB126" s="109" t="s">
        <v>82</v>
      </c>
      <c r="BC126" s="109"/>
    </row>
    <row r="127" spans="1:55" ht="75" customHeight="1">
      <c r="A127" s="109" t="s">
        <v>1118</v>
      </c>
      <c r="B127" s="109" t="s">
        <v>2476</v>
      </c>
      <c r="C127" s="109" t="s">
        <v>1158</v>
      </c>
      <c r="D127" s="109" t="s">
        <v>1159</v>
      </c>
      <c r="E127" s="161">
        <v>15000</v>
      </c>
      <c r="F127" s="165" t="s">
        <v>729</v>
      </c>
      <c r="G127" s="109" t="s">
        <v>729</v>
      </c>
      <c r="H127" s="109" t="s">
        <v>1912</v>
      </c>
      <c r="I127" s="109" t="s">
        <v>1908</v>
      </c>
      <c r="J127" s="109" t="s">
        <v>1910</v>
      </c>
      <c r="K127" s="109" t="s">
        <v>1910</v>
      </c>
      <c r="L127" s="109" t="s">
        <v>1913</v>
      </c>
      <c r="M127" s="166" t="s">
        <v>795</v>
      </c>
      <c r="N127" s="108" t="s">
        <v>48</v>
      </c>
      <c r="O127" s="109" t="s">
        <v>48</v>
      </c>
      <c r="P127" s="162" t="s">
        <v>48</v>
      </c>
      <c r="Q127" s="109" t="s">
        <v>48</v>
      </c>
      <c r="R127" s="109" t="s">
        <v>48</v>
      </c>
      <c r="S127" s="109" t="s">
        <v>48</v>
      </c>
      <c r="T127" s="109" t="s">
        <v>48</v>
      </c>
      <c r="U127" s="109" t="s">
        <v>48</v>
      </c>
      <c r="V127" s="166" t="s">
        <v>48</v>
      </c>
      <c r="W127" s="165" t="s">
        <v>1159</v>
      </c>
      <c r="X127" s="109" t="s">
        <v>1159</v>
      </c>
      <c r="Y127" s="109" t="s">
        <v>48</v>
      </c>
      <c r="Z127" s="109" t="s">
        <v>48</v>
      </c>
      <c r="AA127" s="109" t="s">
        <v>48</v>
      </c>
      <c r="AB127" s="109" t="s">
        <v>48</v>
      </c>
      <c r="AC127" s="109" t="s">
        <v>48</v>
      </c>
      <c r="AD127" s="166" t="s">
        <v>48</v>
      </c>
      <c r="AE127" s="174" t="s">
        <v>48</v>
      </c>
      <c r="AF127" s="117" t="s">
        <v>48</v>
      </c>
      <c r="AG127" s="117" t="s">
        <v>48</v>
      </c>
      <c r="AH127" s="109" t="s">
        <v>48</v>
      </c>
      <c r="AI127" s="117" t="s">
        <v>48</v>
      </c>
      <c r="AJ127" s="117" t="s">
        <v>48</v>
      </c>
      <c r="AK127" s="182" t="s">
        <v>48</v>
      </c>
      <c r="AL127" s="165" t="s">
        <v>1117</v>
      </c>
      <c r="AM127" s="109" t="s">
        <v>1159</v>
      </c>
      <c r="AN127" s="109" t="s">
        <v>1135</v>
      </c>
      <c r="AO127" s="109" t="s">
        <v>1908</v>
      </c>
      <c r="AP127" s="109" t="s">
        <v>1921</v>
      </c>
      <c r="AQ127" s="109" t="s">
        <v>1921</v>
      </c>
      <c r="AR127" s="109" t="s">
        <v>1926</v>
      </c>
      <c r="AS127" s="166" t="s">
        <v>1119</v>
      </c>
      <c r="AT127" s="165" t="s">
        <v>48</v>
      </c>
      <c r="AU127" s="109" t="s">
        <v>48</v>
      </c>
      <c r="AV127" s="109" t="s">
        <v>48</v>
      </c>
      <c r="AW127" s="109" t="s">
        <v>48</v>
      </c>
      <c r="AX127" s="109" t="s">
        <v>48</v>
      </c>
      <c r="AY127" s="109" t="s">
        <v>48</v>
      </c>
      <c r="AZ127" s="166" t="s">
        <v>48</v>
      </c>
      <c r="BA127" s="162" t="s">
        <v>1243</v>
      </c>
      <c r="BB127" s="109" t="s">
        <v>82</v>
      </c>
      <c r="BC127" s="109"/>
    </row>
    <row r="128" spans="1:55" ht="75" customHeight="1">
      <c r="A128" s="109" t="s">
        <v>1578</v>
      </c>
      <c r="B128" s="109" t="s">
        <v>2605</v>
      </c>
      <c r="C128" s="117" t="s">
        <v>1581</v>
      </c>
      <c r="D128" s="109" t="s">
        <v>2606</v>
      </c>
      <c r="E128" s="161">
        <v>15000</v>
      </c>
      <c r="F128" s="165" t="s">
        <v>1587</v>
      </c>
      <c r="G128" s="109" t="s">
        <v>1587</v>
      </c>
      <c r="H128" s="109" t="s">
        <v>48</v>
      </c>
      <c r="I128" s="109" t="s">
        <v>2039</v>
      </c>
      <c r="J128" s="109" t="s">
        <v>48</v>
      </c>
      <c r="K128" s="109" t="s">
        <v>48</v>
      </c>
      <c r="L128" s="109" t="s">
        <v>48</v>
      </c>
      <c r="M128" s="166" t="s">
        <v>1589</v>
      </c>
      <c r="N128" s="108" t="s">
        <v>48</v>
      </c>
      <c r="O128" s="109" t="s">
        <v>48</v>
      </c>
      <c r="P128" s="162" t="s">
        <v>48</v>
      </c>
      <c r="Q128" s="109" t="s">
        <v>48</v>
      </c>
      <c r="R128" s="109" t="s">
        <v>48</v>
      </c>
      <c r="S128" s="109" t="s">
        <v>48</v>
      </c>
      <c r="T128" s="109" t="s">
        <v>48</v>
      </c>
      <c r="U128" s="109" t="s">
        <v>48</v>
      </c>
      <c r="V128" s="166" t="s">
        <v>48</v>
      </c>
      <c r="W128" s="165" t="s">
        <v>1587</v>
      </c>
      <c r="X128" s="109" t="s">
        <v>1587</v>
      </c>
      <c r="Y128" s="109" t="s">
        <v>48</v>
      </c>
      <c r="Z128" s="109" t="s">
        <v>48</v>
      </c>
      <c r="AA128" s="109" t="s">
        <v>48</v>
      </c>
      <c r="AB128" s="109" t="s">
        <v>48</v>
      </c>
      <c r="AC128" s="109" t="s">
        <v>48</v>
      </c>
      <c r="AD128" s="166" t="s">
        <v>48</v>
      </c>
      <c r="AE128" s="174" t="s">
        <v>48</v>
      </c>
      <c r="AF128" s="117" t="s">
        <v>48</v>
      </c>
      <c r="AG128" s="117" t="s">
        <v>48</v>
      </c>
      <c r="AH128" s="109" t="s">
        <v>48</v>
      </c>
      <c r="AI128" s="117" t="s">
        <v>48</v>
      </c>
      <c r="AJ128" s="117" t="s">
        <v>48</v>
      </c>
      <c r="AK128" s="182" t="s">
        <v>48</v>
      </c>
      <c r="AL128" s="165" t="s">
        <v>1587</v>
      </c>
      <c r="AM128" s="109" t="s">
        <v>1587</v>
      </c>
      <c r="AN128" s="109" t="s">
        <v>48</v>
      </c>
      <c r="AO128" s="109" t="s">
        <v>48</v>
      </c>
      <c r="AP128" s="109" t="s">
        <v>48</v>
      </c>
      <c r="AQ128" s="109" t="s">
        <v>48</v>
      </c>
      <c r="AR128" s="109" t="s">
        <v>48</v>
      </c>
      <c r="AS128" s="166" t="s">
        <v>1589</v>
      </c>
      <c r="AT128" s="165" t="s">
        <v>48</v>
      </c>
      <c r="AU128" s="109" t="s">
        <v>48</v>
      </c>
      <c r="AV128" s="109" t="s">
        <v>48</v>
      </c>
      <c r="AW128" s="109" t="s">
        <v>48</v>
      </c>
      <c r="AX128" s="109" t="s">
        <v>48</v>
      </c>
      <c r="AY128" s="109" t="s">
        <v>48</v>
      </c>
      <c r="AZ128" s="166" t="s">
        <v>48</v>
      </c>
      <c r="BA128" s="162" t="s">
        <v>48</v>
      </c>
      <c r="BB128" s="109" t="s">
        <v>82</v>
      </c>
      <c r="BC128" s="109" t="s">
        <v>1612</v>
      </c>
    </row>
    <row r="129" spans="1:55" ht="75" customHeight="1">
      <c r="A129" s="109" t="s">
        <v>1578</v>
      </c>
      <c r="B129" s="109" t="s">
        <v>2047</v>
      </c>
      <c r="C129" s="109" t="s">
        <v>1581</v>
      </c>
      <c r="D129" s="109" t="s">
        <v>2597</v>
      </c>
      <c r="E129" s="161">
        <v>15000</v>
      </c>
      <c r="F129" s="165" t="s">
        <v>2048</v>
      </c>
      <c r="G129" s="109" t="s">
        <v>2048</v>
      </c>
      <c r="H129" s="109" t="s">
        <v>48</v>
      </c>
      <c r="I129" s="109" t="s">
        <v>2039</v>
      </c>
      <c r="J129" s="109" t="s">
        <v>48</v>
      </c>
      <c r="K129" s="109" t="s">
        <v>48</v>
      </c>
      <c r="L129" s="109" t="s">
        <v>48</v>
      </c>
      <c r="M129" s="166" t="s">
        <v>1589</v>
      </c>
      <c r="N129" s="108" t="s">
        <v>48</v>
      </c>
      <c r="O129" s="109" t="s">
        <v>48</v>
      </c>
      <c r="P129" s="162" t="s">
        <v>48</v>
      </c>
      <c r="Q129" s="109" t="s">
        <v>48</v>
      </c>
      <c r="R129" s="109" t="s">
        <v>48</v>
      </c>
      <c r="S129" s="109" t="s">
        <v>48</v>
      </c>
      <c r="T129" s="109" t="s">
        <v>48</v>
      </c>
      <c r="U129" s="109" t="s">
        <v>48</v>
      </c>
      <c r="V129" s="166" t="s">
        <v>48</v>
      </c>
      <c r="W129" s="165" t="s">
        <v>2048</v>
      </c>
      <c r="X129" s="109" t="s">
        <v>2048</v>
      </c>
      <c r="Y129" s="109" t="s">
        <v>48</v>
      </c>
      <c r="Z129" s="109" t="s">
        <v>48</v>
      </c>
      <c r="AA129" s="109" t="s">
        <v>48</v>
      </c>
      <c r="AB129" s="109" t="s">
        <v>48</v>
      </c>
      <c r="AC129" s="109" t="s">
        <v>48</v>
      </c>
      <c r="AD129" s="166" t="s">
        <v>48</v>
      </c>
      <c r="AE129" s="165" t="s">
        <v>48</v>
      </c>
      <c r="AF129" s="109" t="s">
        <v>48</v>
      </c>
      <c r="AG129" s="109" t="s">
        <v>48</v>
      </c>
      <c r="AH129" s="109" t="s">
        <v>48</v>
      </c>
      <c r="AI129" s="109" t="s">
        <v>48</v>
      </c>
      <c r="AJ129" s="109" t="s">
        <v>48</v>
      </c>
      <c r="AK129" s="166" t="s">
        <v>48</v>
      </c>
      <c r="AL129" s="165" t="s">
        <v>2048</v>
      </c>
      <c r="AM129" s="109" t="s">
        <v>2048</v>
      </c>
      <c r="AN129" s="109" t="s">
        <v>48</v>
      </c>
      <c r="AO129" s="109" t="s">
        <v>48</v>
      </c>
      <c r="AP129" s="109" t="s">
        <v>48</v>
      </c>
      <c r="AQ129" s="109" t="s">
        <v>48</v>
      </c>
      <c r="AR129" s="109" t="s">
        <v>48</v>
      </c>
      <c r="AS129" s="166" t="s">
        <v>1589</v>
      </c>
      <c r="AT129" s="165" t="s">
        <v>48</v>
      </c>
      <c r="AU129" s="109" t="s">
        <v>48</v>
      </c>
      <c r="AV129" s="109" t="s">
        <v>48</v>
      </c>
      <c r="AW129" s="109" t="s">
        <v>48</v>
      </c>
      <c r="AX129" s="109" t="s">
        <v>48</v>
      </c>
      <c r="AY129" s="109" t="s">
        <v>48</v>
      </c>
      <c r="AZ129" s="166" t="s">
        <v>48</v>
      </c>
      <c r="BA129" s="162" t="s">
        <v>48</v>
      </c>
      <c r="BB129" s="109" t="s">
        <v>82</v>
      </c>
      <c r="BC129" s="109" t="s">
        <v>2051</v>
      </c>
    </row>
    <row r="130" spans="1:55" ht="75" hidden="1" customHeight="1">
      <c r="A130" s="109" t="s">
        <v>1</v>
      </c>
      <c r="B130" s="109" t="s">
        <v>1</v>
      </c>
      <c r="C130" s="109" t="s">
        <v>60</v>
      </c>
      <c r="D130" s="109">
        <v>5.8</v>
      </c>
      <c r="E130" s="161">
        <v>15000</v>
      </c>
      <c r="F130" s="165">
        <v>5.8</v>
      </c>
      <c r="G130" s="109">
        <f t="shared" ref="G130:G138" si="0">F130</f>
        <v>5.8</v>
      </c>
      <c r="H130" s="109" t="s">
        <v>48</v>
      </c>
      <c r="I130" s="109" t="s">
        <v>48</v>
      </c>
      <c r="J130" s="109" t="s">
        <v>48</v>
      </c>
      <c r="K130" s="109" t="s">
        <v>48</v>
      </c>
      <c r="L130" s="109" t="s">
        <v>48</v>
      </c>
      <c r="M130" s="166" t="s">
        <v>48</v>
      </c>
      <c r="N130" s="108" t="s">
        <v>48</v>
      </c>
      <c r="O130" s="109" t="s">
        <v>48</v>
      </c>
      <c r="P130" s="162" t="s">
        <v>48</v>
      </c>
      <c r="Q130" s="109" t="s">
        <v>48</v>
      </c>
      <c r="R130" s="109" t="s">
        <v>48</v>
      </c>
      <c r="S130" s="109" t="s">
        <v>48</v>
      </c>
      <c r="T130" s="109" t="s">
        <v>48</v>
      </c>
      <c r="U130" s="109" t="s">
        <v>48</v>
      </c>
      <c r="V130" s="166" t="s">
        <v>48</v>
      </c>
      <c r="W130" s="165">
        <v>5.8</v>
      </c>
      <c r="X130" s="109">
        <f t="shared" ref="X130:X138" si="1">W130</f>
        <v>5.8</v>
      </c>
      <c r="Y130" s="109" t="s">
        <v>48</v>
      </c>
      <c r="Z130" s="109" t="s">
        <v>48</v>
      </c>
      <c r="AA130" s="109" t="s">
        <v>48</v>
      </c>
      <c r="AB130" s="109" t="s">
        <v>48</v>
      </c>
      <c r="AC130" s="109" t="s">
        <v>48</v>
      </c>
      <c r="AD130" s="166" t="s">
        <v>48</v>
      </c>
      <c r="AE130" s="165" t="s">
        <v>48</v>
      </c>
      <c r="AF130" s="109" t="s">
        <v>48</v>
      </c>
      <c r="AG130" s="109" t="s">
        <v>48</v>
      </c>
      <c r="AH130" s="109" t="s">
        <v>48</v>
      </c>
      <c r="AI130" s="109" t="s">
        <v>48</v>
      </c>
      <c r="AJ130" s="109" t="s">
        <v>48</v>
      </c>
      <c r="AK130" s="166" t="s">
        <v>48</v>
      </c>
      <c r="AL130" s="165">
        <v>5.8</v>
      </c>
      <c r="AM130" s="109">
        <f t="shared" ref="AM130:AM138" si="2">AL130</f>
        <v>5.8</v>
      </c>
      <c r="AN130" s="109" t="s">
        <v>48</v>
      </c>
      <c r="AO130" s="109" t="s">
        <v>48</v>
      </c>
      <c r="AP130" s="109" t="s">
        <v>48</v>
      </c>
      <c r="AQ130" s="109" t="s">
        <v>48</v>
      </c>
      <c r="AR130" s="109" t="s">
        <v>48</v>
      </c>
      <c r="AS130" s="166" t="s">
        <v>48</v>
      </c>
      <c r="AT130" s="165" t="s">
        <v>48</v>
      </c>
      <c r="AU130" s="109" t="s">
        <v>48</v>
      </c>
      <c r="AV130" s="109" t="s">
        <v>48</v>
      </c>
      <c r="AW130" s="109" t="s">
        <v>48</v>
      </c>
      <c r="AX130" s="109" t="s">
        <v>48</v>
      </c>
      <c r="AY130" s="109" t="s">
        <v>48</v>
      </c>
      <c r="AZ130" s="166" t="s">
        <v>48</v>
      </c>
      <c r="BA130" s="162" t="s">
        <v>48</v>
      </c>
      <c r="BB130" s="109" t="s">
        <v>49</v>
      </c>
      <c r="BC130" s="79"/>
    </row>
    <row r="131" spans="1:55" ht="75" hidden="1" customHeight="1">
      <c r="A131" s="109" t="s">
        <v>1</v>
      </c>
      <c r="B131" s="109" t="s">
        <v>1</v>
      </c>
      <c r="C131" s="109" t="s">
        <v>59</v>
      </c>
      <c r="D131" s="109">
        <v>5.7</v>
      </c>
      <c r="E131" s="161">
        <v>15000</v>
      </c>
      <c r="F131" s="165">
        <v>5.7</v>
      </c>
      <c r="G131" s="109">
        <f t="shared" si="0"/>
        <v>5.7</v>
      </c>
      <c r="H131" s="109" t="s">
        <v>48</v>
      </c>
      <c r="I131" s="109" t="s">
        <v>48</v>
      </c>
      <c r="J131" s="109" t="s">
        <v>48</v>
      </c>
      <c r="K131" s="109" t="s">
        <v>48</v>
      </c>
      <c r="L131" s="109" t="s">
        <v>48</v>
      </c>
      <c r="M131" s="166" t="s">
        <v>48</v>
      </c>
      <c r="N131" s="108" t="s">
        <v>48</v>
      </c>
      <c r="O131" s="109" t="s">
        <v>48</v>
      </c>
      <c r="P131" s="162" t="s">
        <v>48</v>
      </c>
      <c r="Q131" s="109" t="s">
        <v>48</v>
      </c>
      <c r="R131" s="109" t="s">
        <v>48</v>
      </c>
      <c r="S131" s="109" t="s">
        <v>48</v>
      </c>
      <c r="T131" s="109" t="s">
        <v>48</v>
      </c>
      <c r="U131" s="109" t="s">
        <v>48</v>
      </c>
      <c r="V131" s="166" t="s">
        <v>48</v>
      </c>
      <c r="W131" s="165">
        <v>5.7</v>
      </c>
      <c r="X131" s="109">
        <f t="shared" si="1"/>
        <v>5.7</v>
      </c>
      <c r="Y131" s="109" t="s">
        <v>48</v>
      </c>
      <c r="Z131" s="109" t="s">
        <v>48</v>
      </c>
      <c r="AA131" s="109" t="s">
        <v>48</v>
      </c>
      <c r="AB131" s="109" t="s">
        <v>48</v>
      </c>
      <c r="AC131" s="109" t="s">
        <v>48</v>
      </c>
      <c r="AD131" s="166" t="s">
        <v>48</v>
      </c>
      <c r="AE131" s="165" t="s">
        <v>48</v>
      </c>
      <c r="AF131" s="109" t="s">
        <v>48</v>
      </c>
      <c r="AG131" s="109" t="s">
        <v>48</v>
      </c>
      <c r="AH131" s="109" t="s">
        <v>48</v>
      </c>
      <c r="AI131" s="109" t="s">
        <v>48</v>
      </c>
      <c r="AJ131" s="109" t="s">
        <v>48</v>
      </c>
      <c r="AK131" s="166" t="s">
        <v>48</v>
      </c>
      <c r="AL131" s="165">
        <v>5.7</v>
      </c>
      <c r="AM131" s="109">
        <f t="shared" si="2"/>
        <v>5.7</v>
      </c>
      <c r="AN131" s="109" t="s">
        <v>48</v>
      </c>
      <c r="AO131" s="109" t="s">
        <v>48</v>
      </c>
      <c r="AP131" s="109" t="s">
        <v>48</v>
      </c>
      <c r="AQ131" s="109" t="s">
        <v>48</v>
      </c>
      <c r="AR131" s="109" t="s">
        <v>48</v>
      </c>
      <c r="AS131" s="166" t="s">
        <v>48</v>
      </c>
      <c r="AT131" s="165" t="s">
        <v>48</v>
      </c>
      <c r="AU131" s="109" t="s">
        <v>48</v>
      </c>
      <c r="AV131" s="109" t="s">
        <v>48</v>
      </c>
      <c r="AW131" s="109" t="s">
        <v>48</v>
      </c>
      <c r="AX131" s="109" t="s">
        <v>48</v>
      </c>
      <c r="AY131" s="109" t="s">
        <v>48</v>
      </c>
      <c r="AZ131" s="166" t="s">
        <v>48</v>
      </c>
      <c r="BA131" s="162" t="s">
        <v>48</v>
      </c>
      <c r="BB131" s="109" t="s">
        <v>49</v>
      </c>
      <c r="BC131" s="79"/>
    </row>
    <row r="132" spans="1:55" ht="14.4" hidden="1">
      <c r="A132" s="109" t="s">
        <v>1</v>
      </c>
      <c r="B132" s="109" t="s">
        <v>1</v>
      </c>
      <c r="C132" s="109" t="s">
        <v>58</v>
      </c>
      <c r="D132" s="109">
        <v>5.6</v>
      </c>
      <c r="E132" s="161">
        <v>15000</v>
      </c>
      <c r="F132" s="165">
        <v>5.6</v>
      </c>
      <c r="G132" s="109">
        <f t="shared" si="0"/>
        <v>5.6</v>
      </c>
      <c r="H132" s="109" t="s">
        <v>48</v>
      </c>
      <c r="I132" s="109" t="s">
        <v>48</v>
      </c>
      <c r="J132" s="109" t="s">
        <v>48</v>
      </c>
      <c r="K132" s="109" t="s">
        <v>48</v>
      </c>
      <c r="L132" s="109" t="s">
        <v>48</v>
      </c>
      <c r="M132" s="166" t="s">
        <v>48</v>
      </c>
      <c r="N132" s="108" t="s">
        <v>48</v>
      </c>
      <c r="O132" s="109" t="s">
        <v>48</v>
      </c>
      <c r="P132" s="162" t="s">
        <v>48</v>
      </c>
      <c r="Q132" s="109" t="s">
        <v>48</v>
      </c>
      <c r="R132" s="109" t="s">
        <v>48</v>
      </c>
      <c r="S132" s="109" t="s">
        <v>48</v>
      </c>
      <c r="T132" s="109" t="s">
        <v>48</v>
      </c>
      <c r="U132" s="109" t="s">
        <v>48</v>
      </c>
      <c r="V132" s="166" t="s">
        <v>48</v>
      </c>
      <c r="W132" s="165">
        <v>5.6</v>
      </c>
      <c r="X132" s="109">
        <f t="shared" si="1"/>
        <v>5.6</v>
      </c>
      <c r="Y132" s="109" t="s">
        <v>48</v>
      </c>
      <c r="Z132" s="109" t="s">
        <v>48</v>
      </c>
      <c r="AA132" s="109" t="s">
        <v>48</v>
      </c>
      <c r="AB132" s="109" t="s">
        <v>48</v>
      </c>
      <c r="AC132" s="109" t="s">
        <v>48</v>
      </c>
      <c r="AD132" s="166" t="s">
        <v>48</v>
      </c>
      <c r="AE132" s="165" t="s">
        <v>48</v>
      </c>
      <c r="AF132" s="109" t="s">
        <v>48</v>
      </c>
      <c r="AG132" s="109" t="s">
        <v>48</v>
      </c>
      <c r="AH132" s="109" t="s">
        <v>48</v>
      </c>
      <c r="AI132" s="109" t="s">
        <v>48</v>
      </c>
      <c r="AJ132" s="109" t="s">
        <v>48</v>
      </c>
      <c r="AK132" s="166" t="s">
        <v>48</v>
      </c>
      <c r="AL132" s="165">
        <v>5.6</v>
      </c>
      <c r="AM132" s="109">
        <f t="shared" si="2"/>
        <v>5.6</v>
      </c>
      <c r="AN132" s="109" t="s">
        <v>48</v>
      </c>
      <c r="AO132" s="109" t="s">
        <v>48</v>
      </c>
      <c r="AP132" s="109" t="s">
        <v>48</v>
      </c>
      <c r="AQ132" s="109" t="s">
        <v>48</v>
      </c>
      <c r="AR132" s="109" t="s">
        <v>48</v>
      </c>
      <c r="AS132" s="166" t="s">
        <v>48</v>
      </c>
      <c r="AT132" s="165" t="s">
        <v>48</v>
      </c>
      <c r="AU132" s="109" t="s">
        <v>48</v>
      </c>
      <c r="AV132" s="109" t="s">
        <v>48</v>
      </c>
      <c r="AW132" s="109" t="s">
        <v>48</v>
      </c>
      <c r="AX132" s="109" t="s">
        <v>48</v>
      </c>
      <c r="AY132" s="109" t="s">
        <v>48</v>
      </c>
      <c r="AZ132" s="166" t="s">
        <v>48</v>
      </c>
      <c r="BA132" s="162" t="s">
        <v>48</v>
      </c>
      <c r="BB132" s="109" t="s">
        <v>49</v>
      </c>
      <c r="BC132" s="79"/>
    </row>
    <row r="133" spans="1:55" ht="14.4" hidden="1">
      <c r="A133" s="109" t="s">
        <v>1</v>
      </c>
      <c r="B133" s="109" t="s">
        <v>1</v>
      </c>
      <c r="C133" s="109" t="s">
        <v>57</v>
      </c>
      <c r="D133" s="109">
        <v>5.5</v>
      </c>
      <c r="E133" s="161">
        <v>15000</v>
      </c>
      <c r="F133" s="165">
        <v>5.5</v>
      </c>
      <c r="G133" s="109">
        <f t="shared" si="0"/>
        <v>5.5</v>
      </c>
      <c r="H133" s="109" t="s">
        <v>48</v>
      </c>
      <c r="I133" s="109" t="s">
        <v>48</v>
      </c>
      <c r="J133" s="109" t="s">
        <v>48</v>
      </c>
      <c r="K133" s="109" t="s">
        <v>48</v>
      </c>
      <c r="L133" s="109" t="s">
        <v>48</v>
      </c>
      <c r="M133" s="166" t="s">
        <v>48</v>
      </c>
      <c r="N133" s="108" t="s">
        <v>48</v>
      </c>
      <c r="O133" s="109" t="s">
        <v>48</v>
      </c>
      <c r="P133" s="162" t="s">
        <v>48</v>
      </c>
      <c r="Q133" s="109" t="s">
        <v>48</v>
      </c>
      <c r="R133" s="109" t="s">
        <v>48</v>
      </c>
      <c r="S133" s="109" t="s">
        <v>48</v>
      </c>
      <c r="T133" s="109" t="s">
        <v>48</v>
      </c>
      <c r="U133" s="109" t="s">
        <v>48</v>
      </c>
      <c r="V133" s="166" t="s">
        <v>48</v>
      </c>
      <c r="W133" s="165">
        <v>5.5</v>
      </c>
      <c r="X133" s="109">
        <f t="shared" si="1"/>
        <v>5.5</v>
      </c>
      <c r="Y133" s="109" t="s">
        <v>48</v>
      </c>
      <c r="Z133" s="109" t="s">
        <v>48</v>
      </c>
      <c r="AA133" s="109" t="s">
        <v>48</v>
      </c>
      <c r="AB133" s="109" t="s">
        <v>48</v>
      </c>
      <c r="AC133" s="109" t="s">
        <v>48</v>
      </c>
      <c r="AD133" s="166" t="s">
        <v>48</v>
      </c>
      <c r="AE133" s="165" t="s">
        <v>48</v>
      </c>
      <c r="AF133" s="109" t="s">
        <v>48</v>
      </c>
      <c r="AG133" s="109" t="s">
        <v>48</v>
      </c>
      <c r="AH133" s="109" t="s">
        <v>48</v>
      </c>
      <c r="AI133" s="109" t="s">
        <v>48</v>
      </c>
      <c r="AJ133" s="109" t="s">
        <v>48</v>
      </c>
      <c r="AK133" s="166" t="s">
        <v>48</v>
      </c>
      <c r="AL133" s="165">
        <v>5.5</v>
      </c>
      <c r="AM133" s="109">
        <f t="shared" si="2"/>
        <v>5.5</v>
      </c>
      <c r="AN133" s="109" t="s">
        <v>48</v>
      </c>
      <c r="AO133" s="109" t="s">
        <v>48</v>
      </c>
      <c r="AP133" s="109" t="s">
        <v>48</v>
      </c>
      <c r="AQ133" s="109" t="s">
        <v>48</v>
      </c>
      <c r="AR133" s="109" t="s">
        <v>48</v>
      </c>
      <c r="AS133" s="166" t="s">
        <v>48</v>
      </c>
      <c r="AT133" s="165" t="s">
        <v>48</v>
      </c>
      <c r="AU133" s="109" t="s">
        <v>48</v>
      </c>
      <c r="AV133" s="109" t="s">
        <v>48</v>
      </c>
      <c r="AW133" s="109" t="s">
        <v>48</v>
      </c>
      <c r="AX133" s="109" t="s">
        <v>48</v>
      </c>
      <c r="AY133" s="109" t="s">
        <v>48</v>
      </c>
      <c r="AZ133" s="166" t="s">
        <v>48</v>
      </c>
      <c r="BA133" s="162" t="s">
        <v>48</v>
      </c>
      <c r="BB133" s="109" t="s">
        <v>49</v>
      </c>
      <c r="BC133" s="79"/>
    </row>
    <row r="134" spans="1:55" ht="42.75" hidden="1" customHeight="1">
      <c r="A134" s="109" t="s">
        <v>0</v>
      </c>
      <c r="B134" s="109" t="s">
        <v>0</v>
      </c>
      <c r="C134" s="109" t="s">
        <v>57</v>
      </c>
      <c r="D134" s="109">
        <v>5.5</v>
      </c>
      <c r="E134" s="161">
        <v>15000</v>
      </c>
      <c r="F134" s="165">
        <v>5.5</v>
      </c>
      <c r="G134" s="109">
        <f t="shared" si="0"/>
        <v>5.5</v>
      </c>
      <c r="H134" s="109" t="s">
        <v>48</v>
      </c>
      <c r="I134" s="109" t="s">
        <v>48</v>
      </c>
      <c r="J134" s="109" t="s">
        <v>48</v>
      </c>
      <c r="K134" s="109" t="s">
        <v>48</v>
      </c>
      <c r="L134" s="109" t="s">
        <v>48</v>
      </c>
      <c r="M134" s="166" t="s">
        <v>48</v>
      </c>
      <c r="N134" s="108" t="s">
        <v>48</v>
      </c>
      <c r="O134" s="109" t="s">
        <v>48</v>
      </c>
      <c r="P134" s="162" t="s">
        <v>48</v>
      </c>
      <c r="Q134" s="109" t="s">
        <v>48</v>
      </c>
      <c r="R134" s="109" t="s">
        <v>48</v>
      </c>
      <c r="S134" s="109" t="s">
        <v>48</v>
      </c>
      <c r="T134" s="109" t="s">
        <v>48</v>
      </c>
      <c r="U134" s="109" t="s">
        <v>48</v>
      </c>
      <c r="V134" s="166" t="s">
        <v>48</v>
      </c>
      <c r="W134" s="165">
        <v>5.5</v>
      </c>
      <c r="X134" s="109">
        <f t="shared" si="1"/>
        <v>5.5</v>
      </c>
      <c r="Y134" s="109" t="s">
        <v>48</v>
      </c>
      <c r="Z134" s="109" t="s">
        <v>48</v>
      </c>
      <c r="AA134" s="109" t="s">
        <v>48</v>
      </c>
      <c r="AB134" s="109" t="s">
        <v>48</v>
      </c>
      <c r="AC134" s="109" t="s">
        <v>48</v>
      </c>
      <c r="AD134" s="166" t="s">
        <v>48</v>
      </c>
      <c r="AE134" s="165" t="s">
        <v>48</v>
      </c>
      <c r="AF134" s="109" t="s">
        <v>48</v>
      </c>
      <c r="AG134" s="109" t="s">
        <v>48</v>
      </c>
      <c r="AH134" s="109" t="s">
        <v>48</v>
      </c>
      <c r="AI134" s="109" t="s">
        <v>48</v>
      </c>
      <c r="AJ134" s="109" t="s">
        <v>48</v>
      </c>
      <c r="AK134" s="166" t="s">
        <v>48</v>
      </c>
      <c r="AL134" s="165">
        <v>5.5</v>
      </c>
      <c r="AM134" s="109">
        <f t="shared" si="2"/>
        <v>5.5</v>
      </c>
      <c r="AN134" s="109" t="s">
        <v>48</v>
      </c>
      <c r="AO134" s="109" t="s">
        <v>48</v>
      </c>
      <c r="AP134" s="109" t="s">
        <v>48</v>
      </c>
      <c r="AQ134" s="109" t="s">
        <v>48</v>
      </c>
      <c r="AR134" s="109" t="s">
        <v>48</v>
      </c>
      <c r="AS134" s="166" t="s">
        <v>48</v>
      </c>
      <c r="AT134" s="165" t="s">
        <v>48</v>
      </c>
      <c r="AU134" s="109" t="s">
        <v>48</v>
      </c>
      <c r="AV134" s="109" t="s">
        <v>48</v>
      </c>
      <c r="AW134" s="109" t="s">
        <v>48</v>
      </c>
      <c r="AX134" s="109" t="s">
        <v>48</v>
      </c>
      <c r="AY134" s="109" t="s">
        <v>48</v>
      </c>
      <c r="AZ134" s="166" t="s">
        <v>48</v>
      </c>
      <c r="BA134" s="162" t="s">
        <v>48</v>
      </c>
      <c r="BB134" s="109" t="s">
        <v>49</v>
      </c>
      <c r="BC134" s="79"/>
    </row>
    <row r="135" spans="1:55" ht="42.75" hidden="1" customHeight="1">
      <c r="A135" s="109" t="s">
        <v>0</v>
      </c>
      <c r="B135" s="109" t="s">
        <v>0</v>
      </c>
      <c r="C135" s="109" t="s">
        <v>54</v>
      </c>
      <c r="D135" s="109">
        <v>5.4</v>
      </c>
      <c r="E135" s="161">
        <v>15000</v>
      </c>
      <c r="F135" s="165">
        <v>5.4</v>
      </c>
      <c r="G135" s="109">
        <f t="shared" si="0"/>
        <v>5.4</v>
      </c>
      <c r="H135" s="109" t="s">
        <v>48</v>
      </c>
      <c r="I135" s="109" t="s">
        <v>48</v>
      </c>
      <c r="J135" s="109" t="s">
        <v>48</v>
      </c>
      <c r="K135" s="109" t="s">
        <v>48</v>
      </c>
      <c r="L135" s="109" t="s">
        <v>48</v>
      </c>
      <c r="M135" s="166" t="s">
        <v>48</v>
      </c>
      <c r="N135" s="108" t="s">
        <v>48</v>
      </c>
      <c r="O135" s="109" t="s">
        <v>48</v>
      </c>
      <c r="P135" s="162" t="s">
        <v>48</v>
      </c>
      <c r="Q135" s="109" t="s">
        <v>48</v>
      </c>
      <c r="R135" s="109" t="s">
        <v>48</v>
      </c>
      <c r="S135" s="109" t="s">
        <v>48</v>
      </c>
      <c r="T135" s="109" t="s">
        <v>48</v>
      </c>
      <c r="U135" s="109" t="s">
        <v>48</v>
      </c>
      <c r="V135" s="166" t="s">
        <v>48</v>
      </c>
      <c r="W135" s="165">
        <v>5.4</v>
      </c>
      <c r="X135" s="109">
        <f t="shared" si="1"/>
        <v>5.4</v>
      </c>
      <c r="Y135" s="109" t="s">
        <v>48</v>
      </c>
      <c r="Z135" s="109" t="s">
        <v>48</v>
      </c>
      <c r="AA135" s="109" t="s">
        <v>48</v>
      </c>
      <c r="AB135" s="109" t="s">
        <v>48</v>
      </c>
      <c r="AC135" s="109" t="s">
        <v>48</v>
      </c>
      <c r="AD135" s="166" t="s">
        <v>48</v>
      </c>
      <c r="AE135" s="165" t="s">
        <v>48</v>
      </c>
      <c r="AF135" s="109" t="s">
        <v>48</v>
      </c>
      <c r="AG135" s="109" t="s">
        <v>48</v>
      </c>
      <c r="AH135" s="109" t="s">
        <v>48</v>
      </c>
      <c r="AI135" s="109" t="s">
        <v>48</v>
      </c>
      <c r="AJ135" s="109" t="s">
        <v>48</v>
      </c>
      <c r="AK135" s="166" t="s">
        <v>48</v>
      </c>
      <c r="AL135" s="165">
        <v>5.4</v>
      </c>
      <c r="AM135" s="109">
        <f t="shared" si="2"/>
        <v>5.4</v>
      </c>
      <c r="AN135" s="109" t="s">
        <v>48</v>
      </c>
      <c r="AO135" s="109" t="s">
        <v>48</v>
      </c>
      <c r="AP135" s="109" t="s">
        <v>48</v>
      </c>
      <c r="AQ135" s="109" t="s">
        <v>48</v>
      </c>
      <c r="AR135" s="109" t="s">
        <v>48</v>
      </c>
      <c r="AS135" s="166" t="s">
        <v>48</v>
      </c>
      <c r="AT135" s="165" t="s">
        <v>48</v>
      </c>
      <c r="AU135" s="109" t="s">
        <v>48</v>
      </c>
      <c r="AV135" s="109" t="s">
        <v>48</v>
      </c>
      <c r="AW135" s="109" t="s">
        <v>48</v>
      </c>
      <c r="AX135" s="109" t="s">
        <v>48</v>
      </c>
      <c r="AY135" s="109" t="s">
        <v>48</v>
      </c>
      <c r="AZ135" s="166" t="s">
        <v>48</v>
      </c>
      <c r="BA135" s="162" t="s">
        <v>48</v>
      </c>
      <c r="BB135" s="109" t="s">
        <v>49</v>
      </c>
      <c r="BC135" s="79"/>
    </row>
    <row r="136" spans="1:55" ht="14.4" hidden="1">
      <c r="A136" s="109" t="s">
        <v>1</v>
      </c>
      <c r="B136" s="109" t="s">
        <v>1</v>
      </c>
      <c r="C136" s="109" t="s">
        <v>54</v>
      </c>
      <c r="D136" s="109" t="s">
        <v>55</v>
      </c>
      <c r="E136" s="161">
        <v>15000</v>
      </c>
      <c r="F136" s="165" t="s">
        <v>55</v>
      </c>
      <c r="G136" s="109" t="str">
        <f t="shared" si="0"/>
        <v>5.4.3 / 5.4.3z</v>
      </c>
      <c r="H136" s="109" t="s">
        <v>48</v>
      </c>
      <c r="I136" s="109" t="s">
        <v>48</v>
      </c>
      <c r="J136" s="109" t="s">
        <v>48</v>
      </c>
      <c r="K136" s="109" t="s">
        <v>48</v>
      </c>
      <c r="L136" s="109" t="s">
        <v>48</v>
      </c>
      <c r="M136" s="166" t="s">
        <v>48</v>
      </c>
      <c r="N136" s="108" t="s">
        <v>48</v>
      </c>
      <c r="O136" s="109" t="s">
        <v>48</v>
      </c>
      <c r="P136" s="162" t="s">
        <v>48</v>
      </c>
      <c r="Q136" s="109" t="s">
        <v>48</v>
      </c>
      <c r="R136" s="109" t="s">
        <v>48</v>
      </c>
      <c r="S136" s="109" t="s">
        <v>48</v>
      </c>
      <c r="T136" s="109" t="s">
        <v>48</v>
      </c>
      <c r="U136" s="109" t="s">
        <v>48</v>
      </c>
      <c r="V136" s="166" t="s">
        <v>48</v>
      </c>
      <c r="W136" s="165" t="s">
        <v>55</v>
      </c>
      <c r="X136" s="109" t="str">
        <f t="shared" si="1"/>
        <v>5.4.3 / 5.4.3z</v>
      </c>
      <c r="Y136" s="109" t="s">
        <v>48</v>
      </c>
      <c r="Z136" s="109" t="s">
        <v>48</v>
      </c>
      <c r="AA136" s="109" t="s">
        <v>48</v>
      </c>
      <c r="AB136" s="109" t="s">
        <v>48</v>
      </c>
      <c r="AC136" s="109" t="s">
        <v>48</v>
      </c>
      <c r="AD136" s="166" t="s">
        <v>48</v>
      </c>
      <c r="AE136" s="165" t="s">
        <v>48</v>
      </c>
      <c r="AF136" s="109" t="s">
        <v>48</v>
      </c>
      <c r="AG136" s="109" t="s">
        <v>56</v>
      </c>
      <c r="AH136" s="109" t="s">
        <v>1908</v>
      </c>
      <c r="AI136" s="109" t="s">
        <v>48</v>
      </c>
      <c r="AJ136" s="109"/>
      <c r="AK136" s="166"/>
      <c r="AL136" s="165" t="s">
        <v>55</v>
      </c>
      <c r="AM136" s="109" t="str">
        <f t="shared" si="2"/>
        <v>5.4.3 / 5.4.3z</v>
      </c>
      <c r="AN136" s="109" t="s">
        <v>48</v>
      </c>
      <c r="AO136" s="109" t="s">
        <v>48</v>
      </c>
      <c r="AP136" s="109" t="s">
        <v>48</v>
      </c>
      <c r="AQ136" s="109" t="s">
        <v>48</v>
      </c>
      <c r="AR136" s="109" t="s">
        <v>48</v>
      </c>
      <c r="AS136" s="166" t="s">
        <v>48</v>
      </c>
      <c r="AT136" s="165" t="s">
        <v>48</v>
      </c>
      <c r="AU136" s="109" t="s">
        <v>48</v>
      </c>
      <c r="AV136" s="109" t="s">
        <v>48</v>
      </c>
      <c r="AW136" s="109" t="s">
        <v>48</v>
      </c>
      <c r="AX136" s="109" t="s">
        <v>48</v>
      </c>
      <c r="AY136" s="109" t="s">
        <v>48</v>
      </c>
      <c r="AZ136" s="166" t="s">
        <v>48</v>
      </c>
      <c r="BA136" s="162" t="s">
        <v>270</v>
      </c>
      <c r="BB136" s="109" t="s">
        <v>49</v>
      </c>
      <c r="BC136" s="79"/>
    </row>
    <row r="137" spans="1:55" ht="14.4" hidden="1">
      <c r="A137" s="109" t="s">
        <v>1</v>
      </c>
      <c r="B137" s="109" t="s">
        <v>1</v>
      </c>
      <c r="C137" s="109" t="s">
        <v>52</v>
      </c>
      <c r="D137" s="109" t="s">
        <v>53</v>
      </c>
      <c r="E137" s="161">
        <v>15000</v>
      </c>
      <c r="F137" s="165" t="s">
        <v>53</v>
      </c>
      <c r="G137" s="109" t="str">
        <f t="shared" si="0"/>
        <v>5.3.2</v>
      </c>
      <c r="H137" s="109" t="s">
        <v>48</v>
      </c>
      <c r="I137" s="109" t="s">
        <v>48</v>
      </c>
      <c r="J137" s="109" t="s">
        <v>48</v>
      </c>
      <c r="K137" s="109" t="s">
        <v>48</v>
      </c>
      <c r="L137" s="109" t="s">
        <v>48</v>
      </c>
      <c r="M137" s="166" t="s">
        <v>48</v>
      </c>
      <c r="N137" s="108" t="s">
        <v>48</v>
      </c>
      <c r="O137" s="109" t="s">
        <v>48</v>
      </c>
      <c r="P137" s="162" t="s">
        <v>48</v>
      </c>
      <c r="Q137" s="109" t="s">
        <v>48</v>
      </c>
      <c r="R137" s="109" t="s">
        <v>48</v>
      </c>
      <c r="S137" s="109" t="s">
        <v>48</v>
      </c>
      <c r="T137" s="109" t="s">
        <v>48</v>
      </c>
      <c r="U137" s="109" t="s">
        <v>48</v>
      </c>
      <c r="V137" s="166" t="s">
        <v>48</v>
      </c>
      <c r="W137" s="165" t="s">
        <v>53</v>
      </c>
      <c r="X137" s="109" t="str">
        <f t="shared" si="1"/>
        <v>5.3.2</v>
      </c>
      <c r="Y137" s="109" t="s">
        <v>48</v>
      </c>
      <c r="Z137" s="109" t="s">
        <v>48</v>
      </c>
      <c r="AA137" s="109" t="s">
        <v>48</v>
      </c>
      <c r="AB137" s="109" t="s">
        <v>48</v>
      </c>
      <c r="AC137" s="109" t="s">
        <v>48</v>
      </c>
      <c r="AD137" s="166" t="s">
        <v>48</v>
      </c>
      <c r="AE137" s="165" t="s">
        <v>48</v>
      </c>
      <c r="AF137" s="109" t="s">
        <v>48</v>
      </c>
      <c r="AG137" s="109" t="s">
        <v>48</v>
      </c>
      <c r="AH137" s="109" t="s">
        <v>48</v>
      </c>
      <c r="AI137" s="109" t="s">
        <v>48</v>
      </c>
      <c r="AJ137" s="109" t="s">
        <v>48</v>
      </c>
      <c r="AK137" s="166" t="s">
        <v>48</v>
      </c>
      <c r="AL137" s="165" t="s">
        <v>53</v>
      </c>
      <c r="AM137" s="109" t="str">
        <f t="shared" si="2"/>
        <v>5.3.2</v>
      </c>
      <c r="AN137" s="109" t="s">
        <v>48</v>
      </c>
      <c r="AO137" s="109" t="s">
        <v>48</v>
      </c>
      <c r="AP137" s="109" t="s">
        <v>48</v>
      </c>
      <c r="AQ137" s="109" t="s">
        <v>48</v>
      </c>
      <c r="AR137" s="109" t="s">
        <v>48</v>
      </c>
      <c r="AS137" s="166" t="s">
        <v>48</v>
      </c>
      <c r="AT137" s="165" t="s">
        <v>48</v>
      </c>
      <c r="AU137" s="109" t="s">
        <v>48</v>
      </c>
      <c r="AV137" s="109" t="s">
        <v>48</v>
      </c>
      <c r="AW137" s="109" t="s">
        <v>48</v>
      </c>
      <c r="AX137" s="109" t="s">
        <v>48</v>
      </c>
      <c r="AY137" s="109" t="s">
        <v>48</v>
      </c>
      <c r="AZ137" s="166" t="s">
        <v>48</v>
      </c>
      <c r="BA137" s="162" t="s">
        <v>48</v>
      </c>
      <c r="BB137" s="109" t="s">
        <v>49</v>
      </c>
      <c r="BC137" s="79"/>
    </row>
    <row r="138" spans="1:55" ht="42.75" hidden="1" customHeight="1">
      <c r="A138" s="109" t="s">
        <v>0</v>
      </c>
      <c r="B138" s="109" t="s">
        <v>0</v>
      </c>
      <c r="C138" s="109" t="s">
        <v>50</v>
      </c>
      <c r="D138" s="109" t="s">
        <v>51</v>
      </c>
      <c r="E138" s="161">
        <v>15000</v>
      </c>
      <c r="F138" s="165" t="s">
        <v>51</v>
      </c>
      <c r="G138" s="109" t="str">
        <f t="shared" si="0"/>
        <v>4.8.10</v>
      </c>
      <c r="H138" s="109" t="s">
        <v>48</v>
      </c>
      <c r="I138" s="109" t="s">
        <v>48</v>
      </c>
      <c r="J138" s="109" t="s">
        <v>48</v>
      </c>
      <c r="K138" s="109" t="s">
        <v>48</v>
      </c>
      <c r="L138" s="109" t="s">
        <v>48</v>
      </c>
      <c r="M138" s="166" t="s">
        <v>48</v>
      </c>
      <c r="N138" s="108" t="s">
        <v>48</v>
      </c>
      <c r="O138" s="109" t="s">
        <v>48</v>
      </c>
      <c r="P138" s="162" t="s">
        <v>48</v>
      </c>
      <c r="Q138" s="109" t="s">
        <v>48</v>
      </c>
      <c r="R138" s="109" t="s">
        <v>48</v>
      </c>
      <c r="S138" s="109" t="s">
        <v>48</v>
      </c>
      <c r="T138" s="109" t="s">
        <v>48</v>
      </c>
      <c r="U138" s="109" t="s">
        <v>48</v>
      </c>
      <c r="V138" s="166" t="s">
        <v>48</v>
      </c>
      <c r="W138" s="165" t="s">
        <v>51</v>
      </c>
      <c r="X138" s="109" t="str">
        <f t="shared" si="1"/>
        <v>4.8.10</v>
      </c>
      <c r="Y138" s="109" t="s">
        <v>48</v>
      </c>
      <c r="Z138" s="109" t="s">
        <v>48</v>
      </c>
      <c r="AA138" s="109" t="s">
        <v>48</v>
      </c>
      <c r="AB138" s="109" t="s">
        <v>48</v>
      </c>
      <c r="AC138" s="109" t="s">
        <v>48</v>
      </c>
      <c r="AD138" s="166" t="s">
        <v>48</v>
      </c>
      <c r="AE138" s="165" t="s">
        <v>48</v>
      </c>
      <c r="AF138" s="109" t="s">
        <v>48</v>
      </c>
      <c r="AG138" s="109" t="s">
        <v>48</v>
      </c>
      <c r="AH138" s="109" t="s">
        <v>48</v>
      </c>
      <c r="AI138" s="109" t="s">
        <v>48</v>
      </c>
      <c r="AJ138" s="109" t="s">
        <v>48</v>
      </c>
      <c r="AK138" s="166" t="s">
        <v>48</v>
      </c>
      <c r="AL138" s="165" t="s">
        <v>51</v>
      </c>
      <c r="AM138" s="109" t="str">
        <f t="shared" si="2"/>
        <v>4.8.10</v>
      </c>
      <c r="AN138" s="109" t="s">
        <v>48</v>
      </c>
      <c r="AO138" s="109" t="s">
        <v>48</v>
      </c>
      <c r="AP138" s="109" t="s">
        <v>48</v>
      </c>
      <c r="AQ138" s="109" t="s">
        <v>48</v>
      </c>
      <c r="AR138" s="109" t="s">
        <v>48</v>
      </c>
      <c r="AS138" s="166" t="s">
        <v>48</v>
      </c>
      <c r="AT138" s="165" t="s">
        <v>48</v>
      </c>
      <c r="AU138" s="109" t="s">
        <v>48</v>
      </c>
      <c r="AV138" s="109" t="s">
        <v>48</v>
      </c>
      <c r="AW138" s="109" t="s">
        <v>48</v>
      </c>
      <c r="AX138" s="109" t="s">
        <v>48</v>
      </c>
      <c r="AY138" s="109" t="s">
        <v>48</v>
      </c>
      <c r="AZ138" s="166" t="s">
        <v>48</v>
      </c>
      <c r="BA138" s="162" t="s">
        <v>48</v>
      </c>
      <c r="BB138" s="109" t="s">
        <v>49</v>
      </c>
      <c r="BC138" s="79"/>
    </row>
    <row r="139" spans="1:55" ht="42.75" hidden="1" customHeight="1">
      <c r="A139" s="109" t="s">
        <v>31</v>
      </c>
      <c r="B139" s="109" t="s">
        <v>2019</v>
      </c>
      <c r="C139" s="109" t="s">
        <v>643</v>
      </c>
      <c r="D139" s="109" t="s">
        <v>644</v>
      </c>
      <c r="E139" s="161">
        <v>30000</v>
      </c>
      <c r="F139" s="165" t="s">
        <v>644</v>
      </c>
      <c r="G139" s="109" t="s">
        <v>644</v>
      </c>
      <c r="H139" s="109" t="s">
        <v>48</v>
      </c>
      <c r="I139" s="109" t="s">
        <v>48</v>
      </c>
      <c r="J139" s="109" t="s">
        <v>48</v>
      </c>
      <c r="K139" s="109" t="s">
        <v>48</v>
      </c>
      <c r="L139" s="109" t="s">
        <v>48</v>
      </c>
      <c r="M139" s="166" t="s">
        <v>48</v>
      </c>
      <c r="N139" s="108" t="s">
        <v>48</v>
      </c>
      <c r="O139" s="109" t="s">
        <v>48</v>
      </c>
      <c r="P139" s="162" t="s">
        <v>48</v>
      </c>
      <c r="Q139" s="109" t="s">
        <v>48</v>
      </c>
      <c r="R139" s="109" t="s">
        <v>48</v>
      </c>
      <c r="S139" s="109" t="s">
        <v>48</v>
      </c>
      <c r="T139" s="109" t="s">
        <v>48</v>
      </c>
      <c r="U139" s="109" t="s">
        <v>48</v>
      </c>
      <c r="V139" s="166" t="s">
        <v>48</v>
      </c>
      <c r="W139" s="165" t="s">
        <v>644</v>
      </c>
      <c r="X139" s="109" t="s">
        <v>644</v>
      </c>
      <c r="Y139" s="109" t="s">
        <v>48</v>
      </c>
      <c r="Z139" s="109" t="s">
        <v>48</v>
      </c>
      <c r="AA139" s="109" t="s">
        <v>48</v>
      </c>
      <c r="AB139" s="109" t="s">
        <v>48</v>
      </c>
      <c r="AC139" s="109" t="s">
        <v>48</v>
      </c>
      <c r="AD139" s="166" t="s">
        <v>48</v>
      </c>
      <c r="AE139" s="165" t="s">
        <v>48</v>
      </c>
      <c r="AF139" s="109" t="s">
        <v>48</v>
      </c>
      <c r="AG139" s="109" t="s">
        <v>48</v>
      </c>
      <c r="AH139" s="109" t="s">
        <v>48</v>
      </c>
      <c r="AI139" s="109" t="s">
        <v>48</v>
      </c>
      <c r="AJ139" s="109" t="s">
        <v>48</v>
      </c>
      <c r="AK139" s="166" t="s">
        <v>48</v>
      </c>
      <c r="AL139" s="165" t="s">
        <v>644</v>
      </c>
      <c r="AM139" s="109" t="s">
        <v>644</v>
      </c>
      <c r="AN139" s="109" t="s">
        <v>48</v>
      </c>
      <c r="AO139" s="109" t="s">
        <v>48</v>
      </c>
      <c r="AP139" s="109" t="s">
        <v>48</v>
      </c>
      <c r="AQ139" s="109" t="s">
        <v>48</v>
      </c>
      <c r="AR139" s="109" t="s">
        <v>48</v>
      </c>
      <c r="AS139" s="166" t="s">
        <v>48</v>
      </c>
      <c r="AT139" s="165" t="s">
        <v>48</v>
      </c>
      <c r="AU139" s="109" t="s">
        <v>48</v>
      </c>
      <c r="AV139" s="109" t="s">
        <v>48</v>
      </c>
      <c r="AW139" s="109" t="s">
        <v>48</v>
      </c>
      <c r="AX139" s="109" t="s">
        <v>48</v>
      </c>
      <c r="AY139" s="109" t="s">
        <v>48</v>
      </c>
      <c r="AZ139" s="166" t="s">
        <v>48</v>
      </c>
      <c r="BA139" s="162" t="s">
        <v>48</v>
      </c>
      <c r="BB139" s="117" t="s">
        <v>49</v>
      </c>
      <c r="BC139" s="79" t="s">
        <v>645</v>
      </c>
    </row>
    <row r="140" spans="1:55" ht="14.4" hidden="1">
      <c r="A140" s="109" t="s">
        <v>31</v>
      </c>
      <c r="B140" s="109" t="s">
        <v>2027</v>
      </c>
      <c r="C140" s="109" t="s">
        <v>643</v>
      </c>
      <c r="D140" s="109" t="s">
        <v>644</v>
      </c>
      <c r="E140" s="161">
        <v>30000</v>
      </c>
      <c r="F140" s="165" t="s">
        <v>644</v>
      </c>
      <c r="G140" s="109" t="s">
        <v>644</v>
      </c>
      <c r="H140" s="109" t="s">
        <v>48</v>
      </c>
      <c r="I140" s="109" t="s">
        <v>48</v>
      </c>
      <c r="J140" s="109" t="s">
        <v>48</v>
      </c>
      <c r="K140" s="109" t="s">
        <v>48</v>
      </c>
      <c r="L140" s="109" t="s">
        <v>48</v>
      </c>
      <c r="M140" s="166" t="s">
        <v>48</v>
      </c>
      <c r="N140" s="108" t="s">
        <v>48</v>
      </c>
      <c r="O140" s="109" t="s">
        <v>48</v>
      </c>
      <c r="P140" s="162" t="s">
        <v>48</v>
      </c>
      <c r="Q140" s="109" t="s">
        <v>48</v>
      </c>
      <c r="R140" s="109" t="s">
        <v>48</v>
      </c>
      <c r="S140" s="109" t="s">
        <v>48</v>
      </c>
      <c r="T140" s="109" t="s">
        <v>48</v>
      </c>
      <c r="U140" s="109" t="s">
        <v>48</v>
      </c>
      <c r="V140" s="166" t="s">
        <v>48</v>
      </c>
      <c r="W140" s="165" t="s">
        <v>644</v>
      </c>
      <c r="X140" s="109" t="s">
        <v>644</v>
      </c>
      <c r="Y140" s="109" t="s">
        <v>48</v>
      </c>
      <c r="Z140" s="109" t="s">
        <v>48</v>
      </c>
      <c r="AA140" s="109" t="s">
        <v>48</v>
      </c>
      <c r="AB140" s="109" t="s">
        <v>48</v>
      </c>
      <c r="AC140" s="109" t="s">
        <v>48</v>
      </c>
      <c r="AD140" s="166" t="s">
        <v>48</v>
      </c>
      <c r="AE140" s="165" t="s">
        <v>48</v>
      </c>
      <c r="AF140" s="109" t="s">
        <v>48</v>
      </c>
      <c r="AG140" s="109" t="s">
        <v>48</v>
      </c>
      <c r="AH140" s="109" t="s">
        <v>48</v>
      </c>
      <c r="AI140" s="109" t="s">
        <v>48</v>
      </c>
      <c r="AJ140" s="109" t="s">
        <v>48</v>
      </c>
      <c r="AK140" s="166" t="s">
        <v>48</v>
      </c>
      <c r="AL140" s="165" t="s">
        <v>644</v>
      </c>
      <c r="AM140" s="109" t="s">
        <v>644</v>
      </c>
      <c r="AN140" s="109" t="s">
        <v>48</v>
      </c>
      <c r="AO140" s="109" t="s">
        <v>48</v>
      </c>
      <c r="AP140" s="109" t="s">
        <v>48</v>
      </c>
      <c r="AQ140" s="109" t="s">
        <v>48</v>
      </c>
      <c r="AR140" s="109" t="s">
        <v>48</v>
      </c>
      <c r="AS140" s="166" t="s">
        <v>48</v>
      </c>
      <c r="AT140" s="165" t="s">
        <v>48</v>
      </c>
      <c r="AU140" s="109" t="s">
        <v>48</v>
      </c>
      <c r="AV140" s="109" t="s">
        <v>48</v>
      </c>
      <c r="AW140" s="109" t="s">
        <v>48</v>
      </c>
      <c r="AX140" s="109" t="s">
        <v>48</v>
      </c>
      <c r="AY140" s="109" t="s">
        <v>48</v>
      </c>
      <c r="AZ140" s="166" t="s">
        <v>48</v>
      </c>
      <c r="BA140" s="162" t="s">
        <v>48</v>
      </c>
      <c r="BB140" s="117" t="s">
        <v>49</v>
      </c>
      <c r="BC140" s="79" t="s">
        <v>645</v>
      </c>
    </row>
    <row r="141" spans="1:55" ht="43.2" hidden="1">
      <c r="A141" s="109" t="s">
        <v>31</v>
      </c>
      <c r="B141" s="117" t="s">
        <v>2019</v>
      </c>
      <c r="C141" s="117" t="s">
        <v>227</v>
      </c>
      <c r="D141" s="109" t="s">
        <v>242</v>
      </c>
      <c r="E141" s="161">
        <v>30000</v>
      </c>
      <c r="F141" s="165" t="s">
        <v>242</v>
      </c>
      <c r="G141" s="109" t="s">
        <v>242</v>
      </c>
      <c r="H141" s="109" t="s">
        <v>48</v>
      </c>
      <c r="I141" s="109" t="s">
        <v>48</v>
      </c>
      <c r="J141" s="109" t="s">
        <v>48</v>
      </c>
      <c r="K141" s="109" t="s">
        <v>48</v>
      </c>
      <c r="L141" s="109" t="s">
        <v>48</v>
      </c>
      <c r="M141" s="166" t="s">
        <v>48</v>
      </c>
      <c r="N141" s="108" t="s">
        <v>48</v>
      </c>
      <c r="O141" s="109" t="s">
        <v>48</v>
      </c>
      <c r="P141" s="162" t="s">
        <v>48</v>
      </c>
      <c r="Q141" s="109" t="s">
        <v>48</v>
      </c>
      <c r="R141" s="109" t="s">
        <v>48</v>
      </c>
      <c r="S141" s="109" t="s">
        <v>48</v>
      </c>
      <c r="T141" s="109" t="s">
        <v>48</v>
      </c>
      <c r="U141" s="109" t="s">
        <v>48</v>
      </c>
      <c r="V141" s="166" t="s">
        <v>48</v>
      </c>
      <c r="W141" s="165" t="s">
        <v>644</v>
      </c>
      <c r="X141" s="109" t="s">
        <v>242</v>
      </c>
      <c r="Y141" s="117" t="s">
        <v>651</v>
      </c>
      <c r="Z141" s="117" t="s">
        <v>1908</v>
      </c>
      <c r="AA141" s="109" t="s">
        <v>629</v>
      </c>
      <c r="AB141" s="109" t="s">
        <v>629</v>
      </c>
      <c r="AC141" s="109" t="s">
        <v>653</v>
      </c>
      <c r="AD141" s="166" t="s">
        <v>652</v>
      </c>
      <c r="AE141" s="174" t="s">
        <v>80</v>
      </c>
      <c r="AF141" s="117" t="s">
        <v>228</v>
      </c>
      <c r="AG141" s="117" t="s">
        <v>245</v>
      </c>
      <c r="AH141" s="109" t="s">
        <v>48</v>
      </c>
      <c r="AI141" s="117" t="s">
        <v>615</v>
      </c>
      <c r="AJ141" s="109" t="s">
        <v>788</v>
      </c>
      <c r="AK141" s="166" t="s">
        <v>48</v>
      </c>
      <c r="AL141" s="165" t="s">
        <v>242</v>
      </c>
      <c r="AM141" s="109" t="s">
        <v>242</v>
      </c>
      <c r="AN141" s="109" t="s">
        <v>48</v>
      </c>
      <c r="AO141" s="109" t="s">
        <v>48</v>
      </c>
      <c r="AP141" s="109" t="s">
        <v>48</v>
      </c>
      <c r="AQ141" s="109" t="s">
        <v>48</v>
      </c>
      <c r="AR141" s="109" t="s">
        <v>48</v>
      </c>
      <c r="AS141" s="166" t="s">
        <v>48</v>
      </c>
      <c r="AT141" s="165" t="s">
        <v>48</v>
      </c>
      <c r="AU141" s="109" t="s">
        <v>48</v>
      </c>
      <c r="AV141" s="109" t="s">
        <v>48</v>
      </c>
      <c r="AW141" s="109" t="s">
        <v>48</v>
      </c>
      <c r="AX141" s="109" t="s">
        <v>48</v>
      </c>
      <c r="AY141" s="109" t="s">
        <v>48</v>
      </c>
      <c r="AZ141" s="166" t="s">
        <v>48</v>
      </c>
      <c r="BA141" s="187" t="s">
        <v>48</v>
      </c>
      <c r="BB141" s="117" t="s">
        <v>49</v>
      </c>
      <c r="BC141" s="80" t="s">
        <v>229</v>
      </c>
    </row>
    <row r="142" spans="1:55" ht="42.75" hidden="1" customHeight="1">
      <c r="A142" s="109" t="s">
        <v>31</v>
      </c>
      <c r="B142" s="117" t="s">
        <v>2027</v>
      </c>
      <c r="C142" s="117" t="s">
        <v>227</v>
      </c>
      <c r="D142" s="109" t="s">
        <v>242</v>
      </c>
      <c r="E142" s="161">
        <v>30000</v>
      </c>
      <c r="F142" s="165" t="s">
        <v>242</v>
      </c>
      <c r="G142" s="109" t="s">
        <v>242</v>
      </c>
      <c r="H142" s="109" t="s">
        <v>48</v>
      </c>
      <c r="I142" s="109" t="s">
        <v>48</v>
      </c>
      <c r="J142" s="109" t="s">
        <v>48</v>
      </c>
      <c r="K142" s="109" t="s">
        <v>48</v>
      </c>
      <c r="L142" s="109" t="s">
        <v>48</v>
      </c>
      <c r="M142" s="166" t="s">
        <v>48</v>
      </c>
      <c r="N142" s="108" t="s">
        <v>48</v>
      </c>
      <c r="O142" s="109" t="s">
        <v>48</v>
      </c>
      <c r="P142" s="162" t="s">
        <v>48</v>
      </c>
      <c r="Q142" s="109" t="s">
        <v>48</v>
      </c>
      <c r="R142" s="109" t="s">
        <v>48</v>
      </c>
      <c r="S142" s="109" t="s">
        <v>48</v>
      </c>
      <c r="T142" s="109" t="s">
        <v>48</v>
      </c>
      <c r="U142" s="109" t="s">
        <v>48</v>
      </c>
      <c r="V142" s="166" t="s">
        <v>48</v>
      </c>
      <c r="W142" s="165" t="s">
        <v>644</v>
      </c>
      <c r="X142" s="109" t="s">
        <v>242</v>
      </c>
      <c r="Y142" s="117" t="s">
        <v>651</v>
      </c>
      <c r="Z142" s="117" t="s">
        <v>1908</v>
      </c>
      <c r="AA142" s="109" t="s">
        <v>629</v>
      </c>
      <c r="AB142" s="109" t="s">
        <v>629</v>
      </c>
      <c r="AC142" s="109" t="s">
        <v>653</v>
      </c>
      <c r="AD142" s="166" t="s">
        <v>652</v>
      </c>
      <c r="AE142" s="174" t="s">
        <v>80</v>
      </c>
      <c r="AF142" s="117" t="s">
        <v>228</v>
      </c>
      <c r="AG142" s="117" t="s">
        <v>245</v>
      </c>
      <c r="AH142" s="109" t="s">
        <v>48</v>
      </c>
      <c r="AI142" s="117" t="s">
        <v>615</v>
      </c>
      <c r="AJ142" s="109" t="s">
        <v>788</v>
      </c>
      <c r="AK142" s="166" t="s">
        <v>48</v>
      </c>
      <c r="AL142" s="165" t="s">
        <v>242</v>
      </c>
      <c r="AM142" s="109" t="s">
        <v>242</v>
      </c>
      <c r="AN142" s="109" t="s">
        <v>48</v>
      </c>
      <c r="AO142" s="109" t="s">
        <v>48</v>
      </c>
      <c r="AP142" s="109" t="s">
        <v>48</v>
      </c>
      <c r="AQ142" s="109" t="s">
        <v>48</v>
      </c>
      <c r="AR142" s="109" t="s">
        <v>48</v>
      </c>
      <c r="AS142" s="166" t="s">
        <v>48</v>
      </c>
      <c r="AT142" s="165" t="s">
        <v>48</v>
      </c>
      <c r="AU142" s="109" t="s">
        <v>48</v>
      </c>
      <c r="AV142" s="109" t="s">
        <v>48</v>
      </c>
      <c r="AW142" s="109" t="s">
        <v>48</v>
      </c>
      <c r="AX142" s="109" t="s">
        <v>48</v>
      </c>
      <c r="AY142" s="109" t="s">
        <v>48</v>
      </c>
      <c r="AZ142" s="166" t="s">
        <v>48</v>
      </c>
      <c r="BA142" s="187" t="s">
        <v>48</v>
      </c>
      <c r="BB142" s="117" t="s">
        <v>49</v>
      </c>
      <c r="BC142" s="80" t="s">
        <v>229</v>
      </c>
    </row>
    <row r="143" spans="1:55" ht="42.55" hidden="1" customHeight="1">
      <c r="A143" s="109" t="s">
        <v>41</v>
      </c>
      <c r="B143" s="117" t="s">
        <v>2018</v>
      </c>
      <c r="C143" s="109" t="s">
        <v>1619</v>
      </c>
      <c r="D143" s="109" t="s">
        <v>1618</v>
      </c>
      <c r="E143" s="161">
        <v>15000</v>
      </c>
      <c r="F143" s="165" t="s">
        <v>1698</v>
      </c>
      <c r="G143" s="109" t="s">
        <v>1698</v>
      </c>
      <c r="H143" s="109" t="s">
        <v>1967</v>
      </c>
      <c r="I143" s="109" t="s">
        <v>1908</v>
      </c>
      <c r="J143" s="109" t="s">
        <v>1708</v>
      </c>
      <c r="K143" s="109" t="s">
        <v>1708</v>
      </c>
      <c r="L143" s="109" t="s">
        <v>2003</v>
      </c>
      <c r="M143" s="166" t="s">
        <v>1687</v>
      </c>
      <c r="N143" s="108" t="s">
        <v>48</v>
      </c>
      <c r="O143" s="109" t="s">
        <v>48</v>
      </c>
      <c r="P143" s="162" t="s">
        <v>48</v>
      </c>
      <c r="Q143" s="109" t="s">
        <v>48</v>
      </c>
      <c r="R143" s="109" t="s">
        <v>48</v>
      </c>
      <c r="S143" s="109" t="s">
        <v>48</v>
      </c>
      <c r="T143" s="109" t="s">
        <v>48</v>
      </c>
      <c r="U143" s="109" t="s">
        <v>48</v>
      </c>
      <c r="V143" s="196" t="s">
        <v>48</v>
      </c>
      <c r="W143" s="208" t="s">
        <v>2653</v>
      </c>
      <c r="X143" s="208" t="s">
        <v>2653</v>
      </c>
      <c r="Y143" s="109" t="s">
        <v>2654</v>
      </c>
      <c r="Z143" s="109" t="s">
        <v>2641</v>
      </c>
      <c r="AA143" s="109" t="s">
        <v>48</v>
      </c>
      <c r="AB143" s="109" t="s">
        <v>48</v>
      </c>
      <c r="AC143" s="109" t="s">
        <v>2655</v>
      </c>
      <c r="AD143" s="166" t="s">
        <v>2643</v>
      </c>
      <c r="AE143" s="174" t="s">
        <v>48</v>
      </c>
      <c r="AF143" s="117" t="s">
        <v>48</v>
      </c>
      <c r="AG143" s="117" t="s">
        <v>48</v>
      </c>
      <c r="AH143" s="109" t="s">
        <v>48</v>
      </c>
      <c r="AI143" s="117" t="s">
        <v>48</v>
      </c>
      <c r="AJ143" s="117" t="s">
        <v>48</v>
      </c>
      <c r="AK143" s="182" t="s">
        <v>48</v>
      </c>
      <c r="AL143" s="165" t="s">
        <v>1618</v>
      </c>
      <c r="AM143" s="109" t="s">
        <v>1618</v>
      </c>
      <c r="AN143" s="109" t="s">
        <v>48</v>
      </c>
      <c r="AO143" s="109" t="s">
        <v>48</v>
      </c>
      <c r="AP143" s="109" t="s">
        <v>48</v>
      </c>
      <c r="AQ143" s="109" t="s">
        <v>48</v>
      </c>
      <c r="AR143" s="109" t="s">
        <v>48</v>
      </c>
      <c r="AS143" s="166" t="s">
        <v>48</v>
      </c>
      <c r="AT143" s="165" t="s">
        <v>48</v>
      </c>
      <c r="AU143" s="109" t="s">
        <v>48</v>
      </c>
      <c r="AV143" s="109" t="s">
        <v>48</v>
      </c>
      <c r="AW143" s="109" t="s">
        <v>48</v>
      </c>
      <c r="AX143" s="109" t="s">
        <v>48</v>
      </c>
      <c r="AY143" s="109" t="s">
        <v>48</v>
      </c>
      <c r="AZ143" s="166" t="s">
        <v>48</v>
      </c>
      <c r="BA143" s="162" t="s">
        <v>1816</v>
      </c>
      <c r="BB143" s="109" t="s">
        <v>82</v>
      </c>
      <c r="BC143" s="109" t="s">
        <v>1700</v>
      </c>
    </row>
    <row r="144" spans="1:55" ht="14.4" hidden="1">
      <c r="A144" s="109" t="s">
        <v>38</v>
      </c>
      <c r="B144" s="109" t="s">
        <v>2032</v>
      </c>
      <c r="C144" s="109" t="s">
        <v>1619</v>
      </c>
      <c r="D144" s="109" t="s">
        <v>1618</v>
      </c>
      <c r="E144" s="161">
        <v>15000</v>
      </c>
      <c r="F144" s="165" t="s">
        <v>1698</v>
      </c>
      <c r="G144" s="109" t="s">
        <v>1698</v>
      </c>
      <c r="H144" s="109" t="s">
        <v>1961</v>
      </c>
      <c r="I144" s="109" t="s">
        <v>1908</v>
      </c>
      <c r="J144" s="109" t="s">
        <v>1708</v>
      </c>
      <c r="K144" s="109" t="s">
        <v>1708</v>
      </c>
      <c r="L144" s="109" t="s">
        <v>1997</v>
      </c>
      <c r="M144" s="166" t="s">
        <v>1687</v>
      </c>
      <c r="N144" s="108" t="s">
        <v>48</v>
      </c>
      <c r="O144" s="109" t="s">
        <v>48</v>
      </c>
      <c r="P144" s="162" t="s">
        <v>48</v>
      </c>
      <c r="Q144" s="109" t="s">
        <v>48</v>
      </c>
      <c r="R144" s="109" t="s">
        <v>48</v>
      </c>
      <c r="S144" s="109" t="s">
        <v>48</v>
      </c>
      <c r="T144" s="109" t="s">
        <v>48</v>
      </c>
      <c r="U144" s="109" t="s">
        <v>48</v>
      </c>
      <c r="V144" s="196" t="s">
        <v>48</v>
      </c>
      <c r="W144" s="208" t="s">
        <v>2653</v>
      </c>
      <c r="X144" s="208" t="s">
        <v>2653</v>
      </c>
      <c r="Y144" s="109" t="s">
        <v>2654</v>
      </c>
      <c r="Z144" s="109" t="s">
        <v>2641</v>
      </c>
      <c r="AA144" s="109" t="s">
        <v>48</v>
      </c>
      <c r="AB144" s="109" t="s">
        <v>48</v>
      </c>
      <c r="AC144" s="109" t="s">
        <v>2655</v>
      </c>
      <c r="AD144" s="166" t="s">
        <v>2643</v>
      </c>
      <c r="AE144" s="174" t="s">
        <v>48</v>
      </c>
      <c r="AF144" s="109" t="s">
        <v>48</v>
      </c>
      <c r="AG144" s="117" t="s">
        <v>48</v>
      </c>
      <c r="AH144" s="109" t="s">
        <v>48</v>
      </c>
      <c r="AI144" s="109" t="s">
        <v>48</v>
      </c>
      <c r="AJ144" s="109" t="s">
        <v>48</v>
      </c>
      <c r="AK144" s="166" t="s">
        <v>48</v>
      </c>
      <c r="AL144" s="165" t="s">
        <v>1618</v>
      </c>
      <c r="AM144" s="109" t="s">
        <v>1618</v>
      </c>
      <c r="AN144" s="109" t="s">
        <v>48</v>
      </c>
      <c r="AO144" s="109" t="s">
        <v>48</v>
      </c>
      <c r="AP144" s="109" t="s">
        <v>48</v>
      </c>
      <c r="AQ144" s="109" t="s">
        <v>48</v>
      </c>
      <c r="AR144" s="109" t="s">
        <v>48</v>
      </c>
      <c r="AS144" s="166" t="s">
        <v>48</v>
      </c>
      <c r="AT144" s="165" t="s">
        <v>48</v>
      </c>
      <c r="AU144" s="109" t="s">
        <v>48</v>
      </c>
      <c r="AV144" s="109" t="s">
        <v>48</v>
      </c>
      <c r="AW144" s="109" t="s">
        <v>48</v>
      </c>
      <c r="AX144" s="109" t="s">
        <v>48</v>
      </c>
      <c r="AY144" s="109" t="s">
        <v>48</v>
      </c>
      <c r="AZ144" s="166" t="s">
        <v>48</v>
      </c>
      <c r="BA144" s="162" t="s">
        <v>1788</v>
      </c>
      <c r="BB144" s="109" t="s">
        <v>82</v>
      </c>
      <c r="BC144" s="109" t="s">
        <v>1700</v>
      </c>
    </row>
    <row r="145" spans="1:55" ht="14.4" hidden="1">
      <c r="A145" s="109" t="s">
        <v>38</v>
      </c>
      <c r="B145" s="109" t="s">
        <v>2024</v>
      </c>
      <c r="C145" s="109" t="s">
        <v>1619</v>
      </c>
      <c r="D145" s="109" t="s">
        <v>1618</v>
      </c>
      <c r="E145" s="161">
        <v>15000</v>
      </c>
      <c r="F145" s="165" t="s">
        <v>1698</v>
      </c>
      <c r="G145" s="109" t="s">
        <v>1698</v>
      </c>
      <c r="H145" s="109" t="s">
        <v>1961</v>
      </c>
      <c r="I145" s="109" t="s">
        <v>1908</v>
      </c>
      <c r="J145" s="109" t="s">
        <v>1708</v>
      </c>
      <c r="K145" s="109" t="s">
        <v>1708</v>
      </c>
      <c r="L145" s="109" t="s">
        <v>1997</v>
      </c>
      <c r="M145" s="166" t="s">
        <v>1687</v>
      </c>
      <c r="N145" s="108" t="s">
        <v>48</v>
      </c>
      <c r="O145" s="109" t="s">
        <v>48</v>
      </c>
      <c r="P145" s="162" t="s">
        <v>48</v>
      </c>
      <c r="Q145" s="109" t="s">
        <v>48</v>
      </c>
      <c r="R145" s="109" t="s">
        <v>48</v>
      </c>
      <c r="S145" s="109" t="s">
        <v>48</v>
      </c>
      <c r="T145" s="109" t="s">
        <v>48</v>
      </c>
      <c r="U145" s="109" t="s">
        <v>48</v>
      </c>
      <c r="V145" s="196" t="s">
        <v>48</v>
      </c>
      <c r="W145" s="208" t="s">
        <v>2653</v>
      </c>
      <c r="X145" s="208" t="s">
        <v>2653</v>
      </c>
      <c r="Y145" s="109" t="s">
        <v>2654</v>
      </c>
      <c r="Z145" s="109" t="s">
        <v>2641</v>
      </c>
      <c r="AA145" s="109" t="s">
        <v>48</v>
      </c>
      <c r="AB145" s="109" t="s">
        <v>48</v>
      </c>
      <c r="AC145" s="109" t="s">
        <v>2655</v>
      </c>
      <c r="AD145" s="166" t="s">
        <v>2643</v>
      </c>
      <c r="AE145" s="174" t="s">
        <v>48</v>
      </c>
      <c r="AF145" s="109" t="s">
        <v>48</v>
      </c>
      <c r="AG145" s="117" t="s">
        <v>48</v>
      </c>
      <c r="AH145" s="109" t="s">
        <v>48</v>
      </c>
      <c r="AI145" s="109" t="s">
        <v>48</v>
      </c>
      <c r="AJ145" s="109" t="s">
        <v>48</v>
      </c>
      <c r="AK145" s="166" t="s">
        <v>48</v>
      </c>
      <c r="AL145" s="165" t="s">
        <v>1618</v>
      </c>
      <c r="AM145" s="109" t="s">
        <v>1618</v>
      </c>
      <c r="AN145" s="109" t="s">
        <v>48</v>
      </c>
      <c r="AO145" s="109" t="s">
        <v>48</v>
      </c>
      <c r="AP145" s="109" t="s">
        <v>48</v>
      </c>
      <c r="AQ145" s="109" t="s">
        <v>48</v>
      </c>
      <c r="AR145" s="109" t="s">
        <v>48</v>
      </c>
      <c r="AS145" s="166" t="s">
        <v>48</v>
      </c>
      <c r="AT145" s="165" t="s">
        <v>48</v>
      </c>
      <c r="AU145" s="109" t="s">
        <v>48</v>
      </c>
      <c r="AV145" s="109" t="s">
        <v>48</v>
      </c>
      <c r="AW145" s="109" t="s">
        <v>48</v>
      </c>
      <c r="AX145" s="109" t="s">
        <v>48</v>
      </c>
      <c r="AY145" s="109" t="s">
        <v>48</v>
      </c>
      <c r="AZ145" s="166" t="s">
        <v>48</v>
      </c>
      <c r="BA145" s="162" t="s">
        <v>1788</v>
      </c>
      <c r="BB145" s="109" t="s">
        <v>82</v>
      </c>
      <c r="BC145" s="109" t="s">
        <v>1700</v>
      </c>
    </row>
    <row r="146" spans="1:55" ht="42.75" hidden="1" customHeight="1">
      <c r="A146" s="109" t="s">
        <v>41</v>
      </c>
      <c r="B146" s="117" t="s">
        <v>2018</v>
      </c>
      <c r="C146" s="109" t="s">
        <v>1619</v>
      </c>
      <c r="D146" s="109" t="s">
        <v>1698</v>
      </c>
      <c r="E146" s="161">
        <v>15000</v>
      </c>
      <c r="F146" s="165" t="s">
        <v>1698</v>
      </c>
      <c r="G146" s="109" t="s">
        <v>1698</v>
      </c>
      <c r="H146" s="109" t="s">
        <v>48</v>
      </c>
      <c r="I146" s="109" t="s">
        <v>48</v>
      </c>
      <c r="J146" s="109" t="s">
        <v>48</v>
      </c>
      <c r="K146" s="109" t="s">
        <v>48</v>
      </c>
      <c r="L146" s="109" t="s">
        <v>48</v>
      </c>
      <c r="M146" s="166" t="s">
        <v>1620</v>
      </c>
      <c r="N146" s="108" t="s">
        <v>48</v>
      </c>
      <c r="O146" s="109" t="s">
        <v>48</v>
      </c>
      <c r="P146" s="162" t="s">
        <v>48</v>
      </c>
      <c r="Q146" s="109" t="s">
        <v>48</v>
      </c>
      <c r="R146" s="109" t="s">
        <v>48</v>
      </c>
      <c r="S146" s="109" t="s">
        <v>48</v>
      </c>
      <c r="T146" s="109" t="s">
        <v>48</v>
      </c>
      <c r="U146" s="109" t="s">
        <v>48</v>
      </c>
      <c r="V146" s="196" t="s">
        <v>48</v>
      </c>
      <c r="W146" s="208" t="s">
        <v>2653</v>
      </c>
      <c r="X146" s="208" t="s">
        <v>2653</v>
      </c>
      <c r="Y146" s="109" t="s">
        <v>2654</v>
      </c>
      <c r="Z146" s="109" t="s">
        <v>2641</v>
      </c>
      <c r="AA146" s="109" t="s">
        <v>48</v>
      </c>
      <c r="AB146" s="109" t="s">
        <v>48</v>
      </c>
      <c r="AC146" s="109" t="s">
        <v>2655</v>
      </c>
      <c r="AD146" s="166" t="s">
        <v>2643</v>
      </c>
      <c r="AE146" s="174" t="s">
        <v>48</v>
      </c>
      <c r="AF146" s="117" t="s">
        <v>48</v>
      </c>
      <c r="AG146" s="117" t="s">
        <v>48</v>
      </c>
      <c r="AH146" s="109" t="s">
        <v>48</v>
      </c>
      <c r="AI146" s="117" t="s">
        <v>48</v>
      </c>
      <c r="AJ146" s="117" t="s">
        <v>48</v>
      </c>
      <c r="AK146" s="182" t="s">
        <v>48</v>
      </c>
      <c r="AL146" s="165" t="s">
        <v>1698</v>
      </c>
      <c r="AM146" s="109" t="s">
        <v>1698</v>
      </c>
      <c r="AN146" s="109" t="s">
        <v>48</v>
      </c>
      <c r="AO146" s="109" t="s">
        <v>48</v>
      </c>
      <c r="AP146" s="109" t="s">
        <v>48</v>
      </c>
      <c r="AQ146" s="109" t="s">
        <v>48</v>
      </c>
      <c r="AR146" s="109" t="s">
        <v>48</v>
      </c>
      <c r="AS146" s="166" t="s">
        <v>1620</v>
      </c>
      <c r="AT146" s="165" t="s">
        <v>893</v>
      </c>
      <c r="AU146" s="109" t="s">
        <v>2372</v>
      </c>
      <c r="AV146" s="109" t="s">
        <v>2371</v>
      </c>
      <c r="AW146" s="109" t="s">
        <v>1908</v>
      </c>
      <c r="AX146" s="109" t="s">
        <v>2364</v>
      </c>
      <c r="AY146" s="109" t="s">
        <v>2370</v>
      </c>
      <c r="AZ146" s="166" t="s">
        <v>2363</v>
      </c>
      <c r="BA146" s="162" t="s">
        <v>2397</v>
      </c>
      <c r="BB146" s="109" t="s">
        <v>82</v>
      </c>
      <c r="BC146" s="109" t="s">
        <v>2396</v>
      </c>
    </row>
    <row r="147" spans="1:55" ht="27.6" hidden="1">
      <c r="A147" s="109" t="s">
        <v>38</v>
      </c>
      <c r="B147" s="109" t="s">
        <v>2032</v>
      </c>
      <c r="C147" s="109" t="s">
        <v>1619</v>
      </c>
      <c r="D147" s="109" t="s">
        <v>1698</v>
      </c>
      <c r="E147" s="161">
        <v>15000</v>
      </c>
      <c r="F147" s="165" t="s">
        <v>1698</v>
      </c>
      <c r="G147" s="109" t="s">
        <v>1698</v>
      </c>
      <c r="H147" s="109" t="s">
        <v>48</v>
      </c>
      <c r="I147" s="109" t="s">
        <v>48</v>
      </c>
      <c r="J147" s="109" t="s">
        <v>48</v>
      </c>
      <c r="K147" s="109" t="s">
        <v>48</v>
      </c>
      <c r="L147" s="109" t="s">
        <v>48</v>
      </c>
      <c r="M147" s="166" t="s">
        <v>1620</v>
      </c>
      <c r="N147" s="108" t="s">
        <v>48</v>
      </c>
      <c r="O147" s="109" t="s">
        <v>48</v>
      </c>
      <c r="P147" s="162" t="s">
        <v>48</v>
      </c>
      <c r="Q147" s="109" t="s">
        <v>48</v>
      </c>
      <c r="R147" s="109" t="s">
        <v>48</v>
      </c>
      <c r="S147" s="109" t="s">
        <v>48</v>
      </c>
      <c r="T147" s="109" t="s">
        <v>48</v>
      </c>
      <c r="U147" s="109" t="s">
        <v>48</v>
      </c>
      <c r="V147" s="196" t="s">
        <v>48</v>
      </c>
      <c r="W147" s="208" t="s">
        <v>2653</v>
      </c>
      <c r="X147" s="208" t="s">
        <v>2653</v>
      </c>
      <c r="Y147" s="109" t="s">
        <v>2654</v>
      </c>
      <c r="Z147" s="109" t="s">
        <v>2641</v>
      </c>
      <c r="AA147" s="109" t="s">
        <v>48</v>
      </c>
      <c r="AB147" s="109" t="s">
        <v>48</v>
      </c>
      <c r="AC147" s="109" t="s">
        <v>2655</v>
      </c>
      <c r="AD147" s="166" t="s">
        <v>2643</v>
      </c>
      <c r="AE147" s="174" t="s">
        <v>48</v>
      </c>
      <c r="AF147" s="117" t="s">
        <v>48</v>
      </c>
      <c r="AG147" s="117" t="s">
        <v>48</v>
      </c>
      <c r="AH147" s="109" t="s">
        <v>48</v>
      </c>
      <c r="AI147" s="117" t="s">
        <v>48</v>
      </c>
      <c r="AJ147" s="117" t="s">
        <v>48</v>
      </c>
      <c r="AK147" s="182" t="s">
        <v>48</v>
      </c>
      <c r="AL147" s="165" t="s">
        <v>1698</v>
      </c>
      <c r="AM147" s="109" t="s">
        <v>1698</v>
      </c>
      <c r="AN147" s="109" t="s">
        <v>48</v>
      </c>
      <c r="AO147" s="109" t="s">
        <v>48</v>
      </c>
      <c r="AP147" s="109" t="s">
        <v>48</v>
      </c>
      <c r="AQ147" s="109" t="s">
        <v>48</v>
      </c>
      <c r="AR147" s="109" t="s">
        <v>48</v>
      </c>
      <c r="AS147" s="166" t="s">
        <v>1620</v>
      </c>
      <c r="AT147" s="165" t="s">
        <v>893</v>
      </c>
      <c r="AU147" s="109" t="s">
        <v>2372</v>
      </c>
      <c r="AV147" s="109" t="s">
        <v>2371</v>
      </c>
      <c r="AW147" s="109" t="s">
        <v>1908</v>
      </c>
      <c r="AX147" s="109" t="s">
        <v>2364</v>
      </c>
      <c r="AY147" s="109" t="s">
        <v>2370</v>
      </c>
      <c r="AZ147" s="166" t="s">
        <v>2363</v>
      </c>
      <c r="BA147" s="162" t="s">
        <v>2397</v>
      </c>
      <c r="BB147" s="109" t="s">
        <v>82</v>
      </c>
      <c r="BC147" s="109" t="s">
        <v>2396</v>
      </c>
    </row>
    <row r="148" spans="1:55" ht="42.75" hidden="1" customHeight="1">
      <c r="A148" s="109" t="s">
        <v>38</v>
      </c>
      <c r="B148" s="109" t="s">
        <v>2024</v>
      </c>
      <c r="C148" s="109" t="s">
        <v>1619</v>
      </c>
      <c r="D148" s="109" t="s">
        <v>1698</v>
      </c>
      <c r="E148" s="161">
        <v>15000</v>
      </c>
      <c r="F148" s="165" t="s">
        <v>1698</v>
      </c>
      <c r="G148" s="109" t="s">
        <v>1698</v>
      </c>
      <c r="H148" s="109" t="s">
        <v>48</v>
      </c>
      <c r="I148" s="109" t="s">
        <v>48</v>
      </c>
      <c r="J148" s="109" t="s">
        <v>48</v>
      </c>
      <c r="K148" s="109" t="s">
        <v>48</v>
      </c>
      <c r="L148" s="109" t="s">
        <v>48</v>
      </c>
      <c r="M148" s="166" t="s">
        <v>1620</v>
      </c>
      <c r="N148" s="108" t="s">
        <v>48</v>
      </c>
      <c r="O148" s="109" t="s">
        <v>48</v>
      </c>
      <c r="P148" s="162" t="s">
        <v>48</v>
      </c>
      <c r="Q148" s="109" t="s">
        <v>48</v>
      </c>
      <c r="R148" s="109" t="s">
        <v>48</v>
      </c>
      <c r="S148" s="109" t="s">
        <v>48</v>
      </c>
      <c r="T148" s="109" t="s">
        <v>48</v>
      </c>
      <c r="U148" s="109" t="s">
        <v>48</v>
      </c>
      <c r="V148" s="196" t="s">
        <v>48</v>
      </c>
      <c r="W148" s="208" t="s">
        <v>2653</v>
      </c>
      <c r="X148" s="208" t="s">
        <v>2653</v>
      </c>
      <c r="Y148" s="109" t="s">
        <v>2654</v>
      </c>
      <c r="Z148" s="109" t="s">
        <v>2641</v>
      </c>
      <c r="AA148" s="109" t="s">
        <v>48</v>
      </c>
      <c r="AB148" s="109" t="s">
        <v>48</v>
      </c>
      <c r="AC148" s="109" t="s">
        <v>2655</v>
      </c>
      <c r="AD148" s="166" t="s">
        <v>2643</v>
      </c>
      <c r="AE148" s="174" t="s">
        <v>48</v>
      </c>
      <c r="AF148" s="117" t="s">
        <v>48</v>
      </c>
      <c r="AG148" s="117" t="s">
        <v>48</v>
      </c>
      <c r="AH148" s="109" t="s">
        <v>48</v>
      </c>
      <c r="AI148" s="117" t="s">
        <v>48</v>
      </c>
      <c r="AJ148" s="117" t="s">
        <v>48</v>
      </c>
      <c r="AK148" s="182" t="s">
        <v>48</v>
      </c>
      <c r="AL148" s="165" t="s">
        <v>1698</v>
      </c>
      <c r="AM148" s="109" t="s">
        <v>1698</v>
      </c>
      <c r="AN148" s="109" t="s">
        <v>48</v>
      </c>
      <c r="AO148" s="109" t="s">
        <v>48</v>
      </c>
      <c r="AP148" s="109" t="s">
        <v>48</v>
      </c>
      <c r="AQ148" s="109" t="s">
        <v>48</v>
      </c>
      <c r="AR148" s="109" t="s">
        <v>48</v>
      </c>
      <c r="AS148" s="166" t="s">
        <v>1620</v>
      </c>
      <c r="AT148" s="165" t="s">
        <v>893</v>
      </c>
      <c r="AU148" s="109" t="s">
        <v>2372</v>
      </c>
      <c r="AV148" s="109" t="s">
        <v>2371</v>
      </c>
      <c r="AW148" s="109" t="s">
        <v>1908</v>
      </c>
      <c r="AX148" s="109" t="s">
        <v>2364</v>
      </c>
      <c r="AY148" s="109" t="s">
        <v>2370</v>
      </c>
      <c r="AZ148" s="166" t="s">
        <v>2363</v>
      </c>
      <c r="BA148" s="162" t="s">
        <v>2397</v>
      </c>
      <c r="BB148" s="109" t="s">
        <v>82</v>
      </c>
      <c r="BC148" s="109" t="s">
        <v>2396</v>
      </c>
    </row>
    <row r="149" spans="1:55" ht="14.4" hidden="1">
      <c r="A149" s="109" t="s">
        <v>2336</v>
      </c>
      <c r="B149" s="109" t="s">
        <v>2010</v>
      </c>
      <c r="C149" s="109" t="s">
        <v>1619</v>
      </c>
      <c r="D149" s="109" t="s">
        <v>1623</v>
      </c>
      <c r="E149" s="161">
        <v>15000</v>
      </c>
      <c r="F149" s="165" t="s">
        <v>1703</v>
      </c>
      <c r="G149" s="109" t="s">
        <v>1703</v>
      </c>
      <c r="H149" s="109" t="s">
        <v>1968</v>
      </c>
      <c r="I149" s="109" t="s">
        <v>1908</v>
      </c>
      <c r="J149" s="109" t="s">
        <v>1708</v>
      </c>
      <c r="K149" s="109" t="s">
        <v>1708</v>
      </c>
      <c r="L149" s="109" t="s">
        <v>2004</v>
      </c>
      <c r="M149" s="166" t="s">
        <v>1620</v>
      </c>
      <c r="N149" s="108" t="s">
        <v>48</v>
      </c>
      <c r="O149" s="109" t="s">
        <v>48</v>
      </c>
      <c r="P149" s="162" t="s">
        <v>48</v>
      </c>
      <c r="Q149" s="109" t="s">
        <v>48</v>
      </c>
      <c r="R149" s="109" t="s">
        <v>48</v>
      </c>
      <c r="S149" s="109" t="s">
        <v>48</v>
      </c>
      <c r="T149" s="109" t="s">
        <v>48</v>
      </c>
      <c r="U149" s="109" t="s">
        <v>48</v>
      </c>
      <c r="V149" s="166" t="s">
        <v>48</v>
      </c>
      <c r="W149" s="165" t="s">
        <v>2650</v>
      </c>
      <c r="X149" s="165" t="s">
        <v>2650</v>
      </c>
      <c r="Y149" s="109" t="s">
        <v>2651</v>
      </c>
      <c r="Z149" s="109" t="s">
        <v>2641</v>
      </c>
      <c r="AA149" s="109" t="s">
        <v>48</v>
      </c>
      <c r="AB149" s="109" t="s">
        <v>48</v>
      </c>
      <c r="AC149" s="109" t="s">
        <v>2652</v>
      </c>
      <c r="AD149" s="166" t="s">
        <v>2643</v>
      </c>
      <c r="AE149" s="165" t="s">
        <v>48</v>
      </c>
      <c r="AF149" s="109" t="s">
        <v>48</v>
      </c>
      <c r="AG149" s="109" t="s">
        <v>48</v>
      </c>
      <c r="AH149" s="109" t="s">
        <v>48</v>
      </c>
      <c r="AI149" s="109" t="s">
        <v>48</v>
      </c>
      <c r="AJ149" s="109" t="s">
        <v>48</v>
      </c>
      <c r="AK149" s="166" t="s">
        <v>48</v>
      </c>
      <c r="AL149" s="165" t="s">
        <v>1623</v>
      </c>
      <c r="AM149" s="109" t="s">
        <v>1623</v>
      </c>
      <c r="AN149" s="109" t="s">
        <v>48</v>
      </c>
      <c r="AO149" s="109" t="s">
        <v>48</v>
      </c>
      <c r="AP149" s="109" t="s">
        <v>48</v>
      </c>
      <c r="AQ149" s="109" t="s">
        <v>48</v>
      </c>
      <c r="AR149" s="109" t="s">
        <v>48</v>
      </c>
      <c r="AS149" s="166" t="s">
        <v>48</v>
      </c>
      <c r="AT149" s="165" t="s">
        <v>48</v>
      </c>
      <c r="AU149" s="109" t="s">
        <v>48</v>
      </c>
      <c r="AV149" s="109" t="s">
        <v>48</v>
      </c>
      <c r="AW149" s="109" t="s">
        <v>48</v>
      </c>
      <c r="AX149" s="109" t="s">
        <v>48</v>
      </c>
      <c r="AY149" s="109" t="s">
        <v>48</v>
      </c>
      <c r="AZ149" s="166" t="s">
        <v>48</v>
      </c>
      <c r="BA149" s="162" t="s">
        <v>1816</v>
      </c>
      <c r="BB149" s="109" t="s">
        <v>82</v>
      </c>
      <c r="BC149" s="109" t="s">
        <v>1621</v>
      </c>
    </row>
    <row r="150" spans="1:55" ht="42.75" hidden="1" customHeight="1">
      <c r="A150" s="109" t="s">
        <v>2337</v>
      </c>
      <c r="B150" s="109" t="s">
        <v>2011</v>
      </c>
      <c r="C150" s="109" t="s">
        <v>1619</v>
      </c>
      <c r="D150" s="109" t="s">
        <v>1623</v>
      </c>
      <c r="E150" s="161">
        <v>15000</v>
      </c>
      <c r="F150" s="165" t="s">
        <v>1703</v>
      </c>
      <c r="G150" s="109" t="s">
        <v>1703</v>
      </c>
      <c r="H150" s="109" t="s">
        <v>1968</v>
      </c>
      <c r="I150" s="109" t="s">
        <v>1908</v>
      </c>
      <c r="J150" s="109" t="s">
        <v>1708</v>
      </c>
      <c r="K150" s="109" t="s">
        <v>1708</v>
      </c>
      <c r="L150" s="109" t="s">
        <v>2004</v>
      </c>
      <c r="M150" s="166" t="s">
        <v>1620</v>
      </c>
      <c r="N150" s="108" t="s">
        <v>48</v>
      </c>
      <c r="O150" s="109" t="s">
        <v>48</v>
      </c>
      <c r="P150" s="162" t="s">
        <v>48</v>
      </c>
      <c r="Q150" s="109" t="s">
        <v>48</v>
      </c>
      <c r="R150" s="109" t="s">
        <v>48</v>
      </c>
      <c r="S150" s="109" t="s">
        <v>48</v>
      </c>
      <c r="T150" s="109" t="s">
        <v>48</v>
      </c>
      <c r="U150" s="109" t="s">
        <v>48</v>
      </c>
      <c r="V150" s="166" t="s">
        <v>48</v>
      </c>
      <c r="W150" s="165" t="s">
        <v>2650</v>
      </c>
      <c r="X150" s="165" t="s">
        <v>2650</v>
      </c>
      <c r="Y150" s="109" t="s">
        <v>2651</v>
      </c>
      <c r="Z150" s="109" t="s">
        <v>2412</v>
      </c>
      <c r="AA150" s="109" t="s">
        <v>48</v>
      </c>
      <c r="AB150" s="109" t="s">
        <v>48</v>
      </c>
      <c r="AC150" s="109" t="s">
        <v>2652</v>
      </c>
      <c r="AD150" s="166" t="s">
        <v>2643</v>
      </c>
      <c r="AE150" s="165" t="s">
        <v>48</v>
      </c>
      <c r="AF150" s="109" t="s">
        <v>48</v>
      </c>
      <c r="AG150" s="109" t="s">
        <v>48</v>
      </c>
      <c r="AH150" s="109" t="s">
        <v>48</v>
      </c>
      <c r="AI150" s="109" t="s">
        <v>48</v>
      </c>
      <c r="AJ150" s="109" t="s">
        <v>48</v>
      </c>
      <c r="AK150" s="166" t="s">
        <v>48</v>
      </c>
      <c r="AL150" s="165" t="s">
        <v>1623</v>
      </c>
      <c r="AM150" s="109" t="s">
        <v>1623</v>
      </c>
      <c r="AN150" s="109" t="s">
        <v>48</v>
      </c>
      <c r="AO150" s="109" t="s">
        <v>48</v>
      </c>
      <c r="AP150" s="109" t="s">
        <v>48</v>
      </c>
      <c r="AQ150" s="109" t="s">
        <v>48</v>
      </c>
      <c r="AR150" s="109" t="s">
        <v>48</v>
      </c>
      <c r="AS150" s="166" t="s">
        <v>48</v>
      </c>
      <c r="AT150" s="165" t="s">
        <v>48</v>
      </c>
      <c r="AU150" s="109" t="s">
        <v>48</v>
      </c>
      <c r="AV150" s="109" t="s">
        <v>48</v>
      </c>
      <c r="AW150" s="109" t="s">
        <v>48</v>
      </c>
      <c r="AX150" s="109" t="s">
        <v>48</v>
      </c>
      <c r="AY150" s="109" t="s">
        <v>48</v>
      </c>
      <c r="AZ150" s="166" t="s">
        <v>48</v>
      </c>
      <c r="BA150" s="162" t="s">
        <v>1816</v>
      </c>
      <c r="BB150" s="109" t="s">
        <v>82</v>
      </c>
      <c r="BC150" s="109" t="s">
        <v>1621</v>
      </c>
    </row>
    <row r="151" spans="1:55" ht="42.75" hidden="1" customHeight="1">
      <c r="A151" s="109" t="s">
        <v>2338</v>
      </c>
      <c r="B151" s="109" t="s">
        <v>2012</v>
      </c>
      <c r="C151" s="109" t="s">
        <v>1619</v>
      </c>
      <c r="D151" s="109" t="s">
        <v>1623</v>
      </c>
      <c r="E151" s="161">
        <v>15000</v>
      </c>
      <c r="F151" s="165" t="s">
        <v>1703</v>
      </c>
      <c r="G151" s="109" t="s">
        <v>1703</v>
      </c>
      <c r="H151" s="109" t="s">
        <v>1968</v>
      </c>
      <c r="I151" s="109" t="s">
        <v>1908</v>
      </c>
      <c r="J151" s="109" t="s">
        <v>1708</v>
      </c>
      <c r="K151" s="109" t="s">
        <v>1708</v>
      </c>
      <c r="L151" s="109" t="s">
        <v>2004</v>
      </c>
      <c r="M151" s="166" t="s">
        <v>1620</v>
      </c>
      <c r="N151" s="108" t="s">
        <v>48</v>
      </c>
      <c r="O151" s="109" t="s">
        <v>48</v>
      </c>
      <c r="P151" s="162" t="s">
        <v>48</v>
      </c>
      <c r="Q151" s="109" t="s">
        <v>48</v>
      </c>
      <c r="R151" s="109" t="s">
        <v>48</v>
      </c>
      <c r="S151" s="109" t="s">
        <v>48</v>
      </c>
      <c r="T151" s="109" t="s">
        <v>48</v>
      </c>
      <c r="U151" s="109" t="s">
        <v>48</v>
      </c>
      <c r="V151" s="166" t="s">
        <v>48</v>
      </c>
      <c r="W151" s="165" t="s">
        <v>2650</v>
      </c>
      <c r="X151" s="165" t="s">
        <v>2650</v>
      </c>
      <c r="Y151" s="109" t="s">
        <v>2651</v>
      </c>
      <c r="Z151" s="109" t="s">
        <v>2412</v>
      </c>
      <c r="AA151" s="109" t="s">
        <v>48</v>
      </c>
      <c r="AB151" s="109" t="s">
        <v>48</v>
      </c>
      <c r="AC151" s="109" t="s">
        <v>2652</v>
      </c>
      <c r="AD151" s="166" t="s">
        <v>2643</v>
      </c>
      <c r="AE151" s="165" t="s">
        <v>48</v>
      </c>
      <c r="AF151" s="109" t="s">
        <v>48</v>
      </c>
      <c r="AG151" s="109" t="s">
        <v>48</v>
      </c>
      <c r="AH151" s="109" t="s">
        <v>48</v>
      </c>
      <c r="AI151" s="109" t="s">
        <v>48</v>
      </c>
      <c r="AJ151" s="109" t="s">
        <v>48</v>
      </c>
      <c r="AK151" s="166" t="s">
        <v>48</v>
      </c>
      <c r="AL151" s="165" t="s">
        <v>1623</v>
      </c>
      <c r="AM151" s="109" t="s">
        <v>1623</v>
      </c>
      <c r="AN151" s="109" t="s">
        <v>48</v>
      </c>
      <c r="AO151" s="109" t="s">
        <v>48</v>
      </c>
      <c r="AP151" s="109" t="s">
        <v>48</v>
      </c>
      <c r="AQ151" s="109" t="s">
        <v>48</v>
      </c>
      <c r="AR151" s="109" t="s">
        <v>48</v>
      </c>
      <c r="AS151" s="166" t="s">
        <v>48</v>
      </c>
      <c r="AT151" s="165" t="s">
        <v>48</v>
      </c>
      <c r="AU151" s="109" t="s">
        <v>48</v>
      </c>
      <c r="AV151" s="109" t="s">
        <v>48</v>
      </c>
      <c r="AW151" s="109" t="s">
        <v>48</v>
      </c>
      <c r="AX151" s="109" t="s">
        <v>48</v>
      </c>
      <c r="AY151" s="109" t="s">
        <v>48</v>
      </c>
      <c r="AZ151" s="166" t="s">
        <v>48</v>
      </c>
      <c r="BA151" s="162" t="s">
        <v>1816</v>
      </c>
      <c r="BB151" s="109" t="s">
        <v>82</v>
      </c>
      <c r="BC151" s="109" t="s">
        <v>1621</v>
      </c>
    </row>
    <row r="152" spans="1:55" ht="27.6" hidden="1">
      <c r="A152" s="109" t="s">
        <v>2336</v>
      </c>
      <c r="B152" s="109" t="s">
        <v>2010</v>
      </c>
      <c r="C152" s="109" t="s">
        <v>1619</v>
      </c>
      <c r="D152" s="109" t="s">
        <v>1703</v>
      </c>
      <c r="E152" s="161">
        <v>15000</v>
      </c>
      <c r="F152" s="165" t="s">
        <v>1703</v>
      </c>
      <c r="G152" s="109" t="s">
        <v>1703</v>
      </c>
      <c r="H152" s="109" t="s">
        <v>48</v>
      </c>
      <c r="I152" s="109" t="s">
        <v>48</v>
      </c>
      <c r="J152" s="109" t="s">
        <v>48</v>
      </c>
      <c r="K152" s="109" t="s">
        <v>48</v>
      </c>
      <c r="L152" s="109" t="s">
        <v>48</v>
      </c>
      <c r="M152" s="166" t="s">
        <v>1620</v>
      </c>
      <c r="N152" s="108" t="s">
        <v>48</v>
      </c>
      <c r="O152" s="109" t="s">
        <v>48</v>
      </c>
      <c r="P152" s="162" t="s">
        <v>48</v>
      </c>
      <c r="Q152" s="109" t="s">
        <v>48</v>
      </c>
      <c r="R152" s="109" t="s">
        <v>48</v>
      </c>
      <c r="S152" s="109" t="s">
        <v>48</v>
      </c>
      <c r="T152" s="109" t="s">
        <v>48</v>
      </c>
      <c r="U152" s="109" t="s">
        <v>48</v>
      </c>
      <c r="V152" s="166" t="s">
        <v>48</v>
      </c>
      <c r="W152" s="165" t="s">
        <v>2650</v>
      </c>
      <c r="X152" s="165" t="s">
        <v>2650</v>
      </c>
      <c r="Y152" s="109" t="s">
        <v>2651</v>
      </c>
      <c r="Z152" s="109" t="s">
        <v>2412</v>
      </c>
      <c r="AA152" s="109" t="s">
        <v>48</v>
      </c>
      <c r="AB152" s="109" t="s">
        <v>48</v>
      </c>
      <c r="AC152" s="109" t="s">
        <v>2652</v>
      </c>
      <c r="AD152" s="166" t="s">
        <v>2643</v>
      </c>
      <c r="AE152" s="174" t="s">
        <v>48</v>
      </c>
      <c r="AF152" s="117" t="s">
        <v>48</v>
      </c>
      <c r="AG152" s="117" t="s">
        <v>48</v>
      </c>
      <c r="AH152" s="109" t="s">
        <v>48</v>
      </c>
      <c r="AI152" s="117" t="s">
        <v>48</v>
      </c>
      <c r="AJ152" s="117" t="s">
        <v>48</v>
      </c>
      <c r="AK152" s="182" t="s">
        <v>48</v>
      </c>
      <c r="AL152" s="165" t="s">
        <v>1703</v>
      </c>
      <c r="AM152" s="109" t="s">
        <v>1703</v>
      </c>
      <c r="AN152" s="109" t="s">
        <v>48</v>
      </c>
      <c r="AO152" s="109" t="s">
        <v>48</v>
      </c>
      <c r="AP152" s="109" t="s">
        <v>48</v>
      </c>
      <c r="AQ152" s="109" t="s">
        <v>48</v>
      </c>
      <c r="AR152" s="109" t="s">
        <v>48</v>
      </c>
      <c r="AS152" s="166" t="s">
        <v>1620</v>
      </c>
      <c r="AT152" s="165" t="s">
        <v>893</v>
      </c>
      <c r="AU152" s="109" t="s">
        <v>2379</v>
      </c>
      <c r="AV152" s="109" t="s">
        <v>2380</v>
      </c>
      <c r="AW152" s="109" t="s">
        <v>1908</v>
      </c>
      <c r="AX152" s="109" t="s">
        <v>2364</v>
      </c>
      <c r="AY152" s="109" t="s">
        <v>2381</v>
      </c>
      <c r="AZ152" s="166" t="s">
        <v>2363</v>
      </c>
      <c r="BA152" s="162" t="s">
        <v>2397</v>
      </c>
      <c r="BB152" s="109" t="s">
        <v>82</v>
      </c>
      <c r="BC152" s="109" t="s">
        <v>2396</v>
      </c>
    </row>
    <row r="153" spans="1:55" ht="27.6" hidden="1">
      <c r="A153" s="109" t="s">
        <v>2337</v>
      </c>
      <c r="B153" s="109" t="s">
        <v>2011</v>
      </c>
      <c r="C153" s="109" t="s">
        <v>1619</v>
      </c>
      <c r="D153" s="109" t="s">
        <v>1703</v>
      </c>
      <c r="E153" s="161">
        <v>15000</v>
      </c>
      <c r="F153" s="165" t="s">
        <v>1703</v>
      </c>
      <c r="G153" s="109" t="s">
        <v>1703</v>
      </c>
      <c r="H153" s="109" t="s">
        <v>48</v>
      </c>
      <c r="I153" s="109" t="s">
        <v>48</v>
      </c>
      <c r="J153" s="109" t="s">
        <v>48</v>
      </c>
      <c r="K153" s="109" t="s">
        <v>48</v>
      </c>
      <c r="L153" s="109" t="s">
        <v>48</v>
      </c>
      <c r="M153" s="166" t="s">
        <v>1620</v>
      </c>
      <c r="N153" s="108" t="s">
        <v>48</v>
      </c>
      <c r="O153" s="109" t="s">
        <v>48</v>
      </c>
      <c r="P153" s="162" t="s">
        <v>48</v>
      </c>
      <c r="Q153" s="109" t="s">
        <v>48</v>
      </c>
      <c r="R153" s="109" t="s">
        <v>48</v>
      </c>
      <c r="S153" s="109" t="s">
        <v>48</v>
      </c>
      <c r="T153" s="109" t="s">
        <v>48</v>
      </c>
      <c r="U153" s="109" t="s">
        <v>48</v>
      </c>
      <c r="V153" s="166" t="s">
        <v>48</v>
      </c>
      <c r="W153" s="165" t="s">
        <v>2650</v>
      </c>
      <c r="X153" s="165" t="s">
        <v>2650</v>
      </c>
      <c r="Y153" s="109" t="s">
        <v>2651</v>
      </c>
      <c r="Z153" s="109" t="s">
        <v>2412</v>
      </c>
      <c r="AA153" s="109" t="s">
        <v>48</v>
      </c>
      <c r="AB153" s="109" t="s">
        <v>48</v>
      </c>
      <c r="AC153" s="109" t="s">
        <v>2652</v>
      </c>
      <c r="AD153" s="166" t="s">
        <v>2643</v>
      </c>
      <c r="AE153" s="174" t="s">
        <v>48</v>
      </c>
      <c r="AF153" s="117" t="s">
        <v>48</v>
      </c>
      <c r="AG153" s="117" t="s">
        <v>48</v>
      </c>
      <c r="AH153" s="109" t="s">
        <v>48</v>
      </c>
      <c r="AI153" s="117" t="s">
        <v>48</v>
      </c>
      <c r="AJ153" s="117" t="s">
        <v>48</v>
      </c>
      <c r="AK153" s="182" t="s">
        <v>48</v>
      </c>
      <c r="AL153" s="165" t="s">
        <v>1703</v>
      </c>
      <c r="AM153" s="109" t="s">
        <v>1703</v>
      </c>
      <c r="AN153" s="109" t="s">
        <v>48</v>
      </c>
      <c r="AO153" s="109" t="s">
        <v>48</v>
      </c>
      <c r="AP153" s="109" t="s">
        <v>48</v>
      </c>
      <c r="AQ153" s="109" t="s">
        <v>48</v>
      </c>
      <c r="AR153" s="109" t="s">
        <v>48</v>
      </c>
      <c r="AS153" s="166" t="s">
        <v>1620</v>
      </c>
      <c r="AT153" s="165" t="s">
        <v>893</v>
      </c>
      <c r="AU153" s="109" t="s">
        <v>2379</v>
      </c>
      <c r="AV153" s="109" t="s">
        <v>2380</v>
      </c>
      <c r="AW153" s="109" t="s">
        <v>1908</v>
      </c>
      <c r="AX153" s="109" t="s">
        <v>2364</v>
      </c>
      <c r="AY153" s="109" t="s">
        <v>2381</v>
      </c>
      <c r="AZ153" s="166" t="s">
        <v>2363</v>
      </c>
      <c r="BA153" s="162" t="s">
        <v>2397</v>
      </c>
      <c r="BB153" s="109" t="s">
        <v>82</v>
      </c>
      <c r="BC153" s="109" t="s">
        <v>2396</v>
      </c>
    </row>
    <row r="154" spans="1:55" ht="42.75" hidden="1" customHeight="1">
      <c r="A154" s="109" t="s">
        <v>2338</v>
      </c>
      <c r="B154" s="109" t="s">
        <v>2012</v>
      </c>
      <c r="C154" s="109" t="s">
        <v>1619</v>
      </c>
      <c r="D154" s="109" t="s">
        <v>1703</v>
      </c>
      <c r="E154" s="161">
        <v>15000</v>
      </c>
      <c r="F154" s="165" t="s">
        <v>1703</v>
      </c>
      <c r="G154" s="109" t="s">
        <v>1703</v>
      </c>
      <c r="H154" s="109" t="s">
        <v>48</v>
      </c>
      <c r="I154" s="109" t="s">
        <v>48</v>
      </c>
      <c r="J154" s="109" t="s">
        <v>48</v>
      </c>
      <c r="K154" s="109" t="s">
        <v>48</v>
      </c>
      <c r="L154" s="109" t="s">
        <v>48</v>
      </c>
      <c r="M154" s="166" t="s">
        <v>1620</v>
      </c>
      <c r="N154" s="108" t="s">
        <v>48</v>
      </c>
      <c r="O154" s="109" t="s">
        <v>48</v>
      </c>
      <c r="P154" s="162" t="s">
        <v>48</v>
      </c>
      <c r="Q154" s="109" t="s">
        <v>48</v>
      </c>
      <c r="R154" s="109" t="s">
        <v>48</v>
      </c>
      <c r="S154" s="109" t="s">
        <v>48</v>
      </c>
      <c r="T154" s="109" t="s">
        <v>48</v>
      </c>
      <c r="U154" s="109" t="s">
        <v>48</v>
      </c>
      <c r="V154" s="166" t="s">
        <v>48</v>
      </c>
      <c r="W154" s="165" t="s">
        <v>2650</v>
      </c>
      <c r="X154" s="165" t="s">
        <v>2650</v>
      </c>
      <c r="Y154" s="109" t="s">
        <v>2651</v>
      </c>
      <c r="Z154" s="109" t="s">
        <v>2412</v>
      </c>
      <c r="AA154" s="109" t="s">
        <v>48</v>
      </c>
      <c r="AB154" s="109" t="s">
        <v>48</v>
      </c>
      <c r="AC154" s="109" t="s">
        <v>2652</v>
      </c>
      <c r="AD154" s="166" t="s">
        <v>2643</v>
      </c>
      <c r="AE154" s="174" t="s">
        <v>48</v>
      </c>
      <c r="AF154" s="117" t="s">
        <v>48</v>
      </c>
      <c r="AG154" s="117" t="s">
        <v>48</v>
      </c>
      <c r="AH154" s="109" t="s">
        <v>48</v>
      </c>
      <c r="AI154" s="117" t="s">
        <v>48</v>
      </c>
      <c r="AJ154" s="117" t="s">
        <v>48</v>
      </c>
      <c r="AK154" s="182" t="s">
        <v>48</v>
      </c>
      <c r="AL154" s="165" t="s">
        <v>1703</v>
      </c>
      <c r="AM154" s="109" t="s">
        <v>1703</v>
      </c>
      <c r="AN154" s="109" t="s">
        <v>48</v>
      </c>
      <c r="AO154" s="109" t="s">
        <v>48</v>
      </c>
      <c r="AP154" s="109" t="s">
        <v>48</v>
      </c>
      <c r="AQ154" s="109" t="s">
        <v>48</v>
      </c>
      <c r="AR154" s="109" t="s">
        <v>48</v>
      </c>
      <c r="AS154" s="166" t="s">
        <v>1620</v>
      </c>
      <c r="AT154" s="165" t="s">
        <v>893</v>
      </c>
      <c r="AU154" s="109" t="s">
        <v>2379</v>
      </c>
      <c r="AV154" s="109" t="s">
        <v>2380</v>
      </c>
      <c r="AW154" s="109" t="s">
        <v>1908</v>
      </c>
      <c r="AX154" s="109" t="s">
        <v>2364</v>
      </c>
      <c r="AY154" s="109" t="s">
        <v>2381</v>
      </c>
      <c r="AZ154" s="166" t="s">
        <v>2363</v>
      </c>
      <c r="BA154" s="162" t="s">
        <v>2397</v>
      </c>
      <c r="BB154" s="109" t="s">
        <v>82</v>
      </c>
      <c r="BC154" s="109" t="s">
        <v>2396</v>
      </c>
    </row>
    <row r="155" spans="1:55" ht="42.75" hidden="1" customHeight="1">
      <c r="A155" s="109" t="s">
        <v>660</v>
      </c>
      <c r="B155" s="117" t="s">
        <v>2013</v>
      </c>
      <c r="C155" s="109" t="s">
        <v>1619</v>
      </c>
      <c r="D155" s="109" t="s">
        <v>1713</v>
      </c>
      <c r="E155" s="161">
        <v>15000</v>
      </c>
      <c r="F155" s="165" t="s">
        <v>1713</v>
      </c>
      <c r="G155" s="109" t="s">
        <v>1713</v>
      </c>
      <c r="H155" s="109" t="s">
        <v>48</v>
      </c>
      <c r="I155" s="109" t="s">
        <v>48</v>
      </c>
      <c r="J155" s="109" t="s">
        <v>48</v>
      </c>
      <c r="K155" s="109" t="s">
        <v>48</v>
      </c>
      <c r="L155" s="109" t="s">
        <v>48</v>
      </c>
      <c r="M155" s="166" t="s">
        <v>1620</v>
      </c>
      <c r="N155" s="108" t="s">
        <v>48</v>
      </c>
      <c r="O155" s="109" t="s">
        <v>48</v>
      </c>
      <c r="P155" s="162" t="s">
        <v>48</v>
      </c>
      <c r="Q155" s="109" t="s">
        <v>48</v>
      </c>
      <c r="R155" s="109" t="s">
        <v>48</v>
      </c>
      <c r="S155" s="109" t="s">
        <v>48</v>
      </c>
      <c r="T155" s="109" t="s">
        <v>48</v>
      </c>
      <c r="U155" s="109" t="s">
        <v>48</v>
      </c>
      <c r="V155" s="166" t="s">
        <v>48</v>
      </c>
      <c r="W155" s="210" t="s">
        <v>2674</v>
      </c>
      <c r="X155" s="210" t="s">
        <v>2674</v>
      </c>
      <c r="Y155" s="109" t="s">
        <v>2666</v>
      </c>
      <c r="Z155" s="109" t="s">
        <v>2667</v>
      </c>
      <c r="AA155" s="109" t="s">
        <v>48</v>
      </c>
      <c r="AB155" s="109" t="s">
        <v>48</v>
      </c>
      <c r="AC155" s="109" t="s">
        <v>2668</v>
      </c>
      <c r="AD155" s="166" t="s">
        <v>2669</v>
      </c>
      <c r="AE155" s="165" t="s">
        <v>48</v>
      </c>
      <c r="AF155" s="109" t="s">
        <v>48</v>
      </c>
      <c r="AG155" s="109" t="s">
        <v>48</v>
      </c>
      <c r="AH155" s="109" t="s">
        <v>48</v>
      </c>
      <c r="AI155" s="109" t="s">
        <v>48</v>
      </c>
      <c r="AJ155" s="109" t="s">
        <v>48</v>
      </c>
      <c r="AK155" s="166" t="s">
        <v>48</v>
      </c>
      <c r="AL155" s="165" t="s">
        <v>1713</v>
      </c>
      <c r="AM155" s="109" t="s">
        <v>1713</v>
      </c>
      <c r="AN155" s="109" t="s">
        <v>48</v>
      </c>
      <c r="AO155" s="109" t="s">
        <v>48</v>
      </c>
      <c r="AP155" s="109" t="s">
        <v>48</v>
      </c>
      <c r="AQ155" s="109" t="s">
        <v>48</v>
      </c>
      <c r="AR155" s="109" t="s">
        <v>48</v>
      </c>
      <c r="AS155" s="166" t="s">
        <v>1620</v>
      </c>
      <c r="AT155" s="165" t="s">
        <v>893</v>
      </c>
      <c r="AU155" s="109" t="s">
        <v>2382</v>
      </c>
      <c r="AV155" s="109" t="s">
        <v>2383</v>
      </c>
      <c r="AW155" s="109" t="s">
        <v>2039</v>
      </c>
      <c r="AX155" s="109" t="s">
        <v>2364</v>
      </c>
      <c r="AY155" s="109" t="s">
        <v>2384</v>
      </c>
      <c r="AZ155" s="166" t="s">
        <v>2363</v>
      </c>
      <c r="BA155" s="162" t="s">
        <v>2398</v>
      </c>
      <c r="BB155" s="109" t="s">
        <v>82</v>
      </c>
      <c r="BC155" s="109" t="s">
        <v>1700</v>
      </c>
    </row>
    <row r="156" spans="1:55" ht="14.4" hidden="1">
      <c r="A156" s="109" t="s">
        <v>1584</v>
      </c>
      <c r="B156" s="109" t="s">
        <v>2016</v>
      </c>
      <c r="C156" s="109" t="s">
        <v>1619</v>
      </c>
      <c r="D156" s="109" t="s">
        <v>1715</v>
      </c>
      <c r="E156" s="161">
        <v>15000</v>
      </c>
      <c r="F156" s="165" t="s">
        <v>1715</v>
      </c>
      <c r="G156" s="109" t="s">
        <v>1715</v>
      </c>
      <c r="H156" s="109" t="s">
        <v>48</v>
      </c>
      <c r="I156" s="109" t="s">
        <v>48</v>
      </c>
      <c r="J156" s="109" t="s">
        <v>48</v>
      </c>
      <c r="K156" s="109" t="s">
        <v>48</v>
      </c>
      <c r="L156" s="109" t="s">
        <v>48</v>
      </c>
      <c r="M156" s="166" t="s">
        <v>1620</v>
      </c>
      <c r="N156" s="108" t="s">
        <v>48</v>
      </c>
      <c r="O156" s="109" t="s">
        <v>48</v>
      </c>
      <c r="P156" s="162" t="s">
        <v>48</v>
      </c>
      <c r="Q156" s="109" t="s">
        <v>48</v>
      </c>
      <c r="R156" s="109" t="s">
        <v>48</v>
      </c>
      <c r="S156" s="109" t="s">
        <v>48</v>
      </c>
      <c r="T156" s="109" t="s">
        <v>48</v>
      </c>
      <c r="U156" s="109" t="s">
        <v>48</v>
      </c>
      <c r="V156" s="196" t="s">
        <v>48</v>
      </c>
      <c r="W156" s="208" t="s">
        <v>2671</v>
      </c>
      <c r="X156" s="208" t="s">
        <v>2671</v>
      </c>
      <c r="Y156" s="109" t="s">
        <v>2672</v>
      </c>
      <c r="Z156" s="109" t="s">
        <v>2667</v>
      </c>
      <c r="AA156" s="109" t="s">
        <v>48</v>
      </c>
      <c r="AB156" s="109" t="s">
        <v>48</v>
      </c>
      <c r="AC156" s="109" t="s">
        <v>2673</v>
      </c>
      <c r="AD156" s="166" t="s">
        <v>2669</v>
      </c>
      <c r="AE156" s="165" t="s">
        <v>48</v>
      </c>
      <c r="AF156" s="109" t="s">
        <v>48</v>
      </c>
      <c r="AG156" s="109" t="s">
        <v>48</v>
      </c>
      <c r="AH156" s="109" t="s">
        <v>48</v>
      </c>
      <c r="AI156" s="109" t="s">
        <v>48</v>
      </c>
      <c r="AJ156" s="109" t="s">
        <v>48</v>
      </c>
      <c r="AK156" s="166" t="s">
        <v>48</v>
      </c>
      <c r="AL156" s="165" t="s">
        <v>1715</v>
      </c>
      <c r="AM156" s="109" t="s">
        <v>1715</v>
      </c>
      <c r="AN156" s="109" t="s">
        <v>48</v>
      </c>
      <c r="AO156" s="109" t="s">
        <v>48</v>
      </c>
      <c r="AP156" s="109" t="s">
        <v>48</v>
      </c>
      <c r="AQ156" s="109" t="s">
        <v>48</v>
      </c>
      <c r="AR156" s="109" t="s">
        <v>48</v>
      </c>
      <c r="AS156" s="166" t="s">
        <v>1620</v>
      </c>
      <c r="AT156" s="165" t="s">
        <v>893</v>
      </c>
      <c r="AU156" s="109" t="s">
        <v>2385</v>
      </c>
      <c r="AV156" s="109" t="s">
        <v>2386</v>
      </c>
      <c r="AW156" s="109" t="s">
        <v>2039</v>
      </c>
      <c r="AX156" s="109" t="s">
        <v>2364</v>
      </c>
      <c r="AY156" s="109" t="s">
        <v>2387</v>
      </c>
      <c r="AZ156" s="166" t="s">
        <v>2363</v>
      </c>
      <c r="BA156" s="162" t="s">
        <v>2398</v>
      </c>
      <c r="BB156" s="109" t="s">
        <v>82</v>
      </c>
      <c r="BC156" s="109" t="s">
        <v>1700</v>
      </c>
    </row>
    <row r="157" spans="1:55" ht="42.75" hidden="1" customHeight="1">
      <c r="A157" s="109" t="s">
        <v>1583</v>
      </c>
      <c r="B157" s="109" t="s">
        <v>2016</v>
      </c>
      <c r="C157" s="109" t="s">
        <v>1619</v>
      </c>
      <c r="D157" s="109" t="s">
        <v>1715</v>
      </c>
      <c r="E157" s="161">
        <v>15000</v>
      </c>
      <c r="F157" s="165" t="s">
        <v>1715</v>
      </c>
      <c r="G157" s="109" t="s">
        <v>1715</v>
      </c>
      <c r="H157" s="109" t="s">
        <v>48</v>
      </c>
      <c r="I157" s="109" t="s">
        <v>48</v>
      </c>
      <c r="J157" s="109" t="s">
        <v>48</v>
      </c>
      <c r="K157" s="109" t="s">
        <v>48</v>
      </c>
      <c r="L157" s="109" t="s">
        <v>48</v>
      </c>
      <c r="M157" s="166" t="s">
        <v>1620</v>
      </c>
      <c r="N157" s="108" t="s">
        <v>48</v>
      </c>
      <c r="O157" s="109" t="s">
        <v>48</v>
      </c>
      <c r="P157" s="162" t="s">
        <v>48</v>
      </c>
      <c r="Q157" s="109" t="s">
        <v>48</v>
      </c>
      <c r="R157" s="109" t="s">
        <v>48</v>
      </c>
      <c r="S157" s="109" t="s">
        <v>48</v>
      </c>
      <c r="T157" s="109" t="s">
        <v>48</v>
      </c>
      <c r="U157" s="109" t="s">
        <v>48</v>
      </c>
      <c r="V157" s="196" t="s">
        <v>48</v>
      </c>
      <c r="W157" s="208" t="s">
        <v>2671</v>
      </c>
      <c r="X157" s="208" t="s">
        <v>2671</v>
      </c>
      <c r="Y157" s="109" t="s">
        <v>2672</v>
      </c>
      <c r="Z157" s="109" t="s">
        <v>2667</v>
      </c>
      <c r="AA157" s="109" t="s">
        <v>48</v>
      </c>
      <c r="AB157" s="109" t="s">
        <v>48</v>
      </c>
      <c r="AC157" s="109" t="s">
        <v>2673</v>
      </c>
      <c r="AD157" s="166" t="s">
        <v>2669</v>
      </c>
      <c r="AE157" s="165" t="s">
        <v>48</v>
      </c>
      <c r="AF157" s="109" t="s">
        <v>48</v>
      </c>
      <c r="AG157" s="109" t="s">
        <v>48</v>
      </c>
      <c r="AH157" s="109" t="s">
        <v>48</v>
      </c>
      <c r="AI157" s="109" t="s">
        <v>48</v>
      </c>
      <c r="AJ157" s="109" t="s">
        <v>48</v>
      </c>
      <c r="AK157" s="166" t="s">
        <v>48</v>
      </c>
      <c r="AL157" s="165" t="s">
        <v>1715</v>
      </c>
      <c r="AM157" s="109" t="s">
        <v>1715</v>
      </c>
      <c r="AN157" s="109" t="s">
        <v>48</v>
      </c>
      <c r="AO157" s="109" t="s">
        <v>48</v>
      </c>
      <c r="AP157" s="109" t="s">
        <v>48</v>
      </c>
      <c r="AQ157" s="109" t="s">
        <v>48</v>
      </c>
      <c r="AR157" s="109" t="s">
        <v>48</v>
      </c>
      <c r="AS157" s="166" t="s">
        <v>1620</v>
      </c>
      <c r="AT157" s="165" t="s">
        <v>893</v>
      </c>
      <c r="AU157" s="109" t="s">
        <v>2385</v>
      </c>
      <c r="AV157" s="109" t="s">
        <v>2386</v>
      </c>
      <c r="AW157" s="109" t="s">
        <v>2039</v>
      </c>
      <c r="AX157" s="109" t="s">
        <v>2364</v>
      </c>
      <c r="AY157" s="109" t="s">
        <v>2387</v>
      </c>
      <c r="AZ157" s="166" t="s">
        <v>2363</v>
      </c>
      <c r="BA157" s="162" t="s">
        <v>2398</v>
      </c>
      <c r="BB157" s="109" t="s">
        <v>82</v>
      </c>
      <c r="BC157" s="109" t="s">
        <v>1700</v>
      </c>
    </row>
    <row r="158" spans="1:55" ht="42.75" hidden="1" customHeight="1">
      <c r="A158" s="109" t="s">
        <v>1115</v>
      </c>
      <c r="B158" s="109" t="s">
        <v>2030</v>
      </c>
      <c r="C158" s="109" t="s">
        <v>1619</v>
      </c>
      <c r="D158" s="109" t="s">
        <v>1715</v>
      </c>
      <c r="E158" s="161">
        <v>15000</v>
      </c>
      <c r="F158" s="165" t="s">
        <v>1715</v>
      </c>
      <c r="G158" s="109" t="s">
        <v>1715</v>
      </c>
      <c r="H158" s="109" t="s">
        <v>48</v>
      </c>
      <c r="I158" s="109" t="s">
        <v>48</v>
      </c>
      <c r="J158" s="109" t="s">
        <v>48</v>
      </c>
      <c r="K158" s="109" t="s">
        <v>48</v>
      </c>
      <c r="L158" s="109" t="s">
        <v>48</v>
      </c>
      <c r="M158" s="166" t="s">
        <v>1620</v>
      </c>
      <c r="N158" s="108" t="s">
        <v>48</v>
      </c>
      <c r="O158" s="109" t="s">
        <v>48</v>
      </c>
      <c r="P158" s="162" t="s">
        <v>48</v>
      </c>
      <c r="Q158" s="109" t="s">
        <v>48</v>
      </c>
      <c r="R158" s="109" t="s">
        <v>48</v>
      </c>
      <c r="S158" s="109" t="s">
        <v>48</v>
      </c>
      <c r="T158" s="109" t="s">
        <v>48</v>
      </c>
      <c r="U158" s="109" t="s">
        <v>48</v>
      </c>
      <c r="V158" s="196" t="s">
        <v>48</v>
      </c>
      <c r="W158" s="208" t="s">
        <v>2671</v>
      </c>
      <c r="X158" s="208" t="s">
        <v>2671</v>
      </c>
      <c r="Y158" s="109" t="s">
        <v>2672</v>
      </c>
      <c r="Z158" s="109" t="s">
        <v>2667</v>
      </c>
      <c r="AA158" s="109" t="s">
        <v>48</v>
      </c>
      <c r="AB158" s="109" t="s">
        <v>48</v>
      </c>
      <c r="AC158" s="109" t="s">
        <v>2673</v>
      </c>
      <c r="AD158" s="166" t="s">
        <v>2669</v>
      </c>
      <c r="AE158" s="165" t="s">
        <v>48</v>
      </c>
      <c r="AF158" s="109" t="s">
        <v>48</v>
      </c>
      <c r="AG158" s="109" t="s">
        <v>48</v>
      </c>
      <c r="AH158" s="109" t="s">
        <v>48</v>
      </c>
      <c r="AI158" s="109" t="s">
        <v>48</v>
      </c>
      <c r="AJ158" s="109" t="s">
        <v>48</v>
      </c>
      <c r="AK158" s="166" t="s">
        <v>48</v>
      </c>
      <c r="AL158" s="165" t="s">
        <v>1715</v>
      </c>
      <c r="AM158" s="109" t="s">
        <v>1715</v>
      </c>
      <c r="AN158" s="109" t="s">
        <v>48</v>
      </c>
      <c r="AO158" s="109" t="s">
        <v>48</v>
      </c>
      <c r="AP158" s="109" t="s">
        <v>48</v>
      </c>
      <c r="AQ158" s="109" t="s">
        <v>48</v>
      </c>
      <c r="AR158" s="109" t="s">
        <v>48</v>
      </c>
      <c r="AS158" s="166" t="s">
        <v>1620</v>
      </c>
      <c r="AT158" s="165" t="s">
        <v>893</v>
      </c>
      <c r="AU158" s="109" t="s">
        <v>2385</v>
      </c>
      <c r="AV158" s="109" t="s">
        <v>2386</v>
      </c>
      <c r="AW158" s="109" t="s">
        <v>2039</v>
      </c>
      <c r="AX158" s="109" t="s">
        <v>2364</v>
      </c>
      <c r="AY158" s="109" t="s">
        <v>2387</v>
      </c>
      <c r="AZ158" s="166" t="s">
        <v>2363</v>
      </c>
      <c r="BA158" s="162" t="s">
        <v>2398</v>
      </c>
      <c r="BB158" s="109" t="s">
        <v>82</v>
      </c>
      <c r="BC158" s="109" t="s">
        <v>1700</v>
      </c>
    </row>
    <row r="159" spans="1:55" ht="14.4">
      <c r="A159" s="109" t="s">
        <v>1118</v>
      </c>
      <c r="B159" s="109" t="s">
        <v>2030</v>
      </c>
      <c r="C159" s="109" t="s">
        <v>1619</v>
      </c>
      <c r="D159" s="109" t="s">
        <v>1715</v>
      </c>
      <c r="E159" s="161">
        <v>15000</v>
      </c>
      <c r="F159" s="165" t="s">
        <v>1715</v>
      </c>
      <c r="G159" s="109" t="s">
        <v>1715</v>
      </c>
      <c r="H159" s="109" t="s">
        <v>48</v>
      </c>
      <c r="I159" s="109" t="s">
        <v>48</v>
      </c>
      <c r="J159" s="109" t="s">
        <v>48</v>
      </c>
      <c r="K159" s="109" t="s">
        <v>48</v>
      </c>
      <c r="L159" s="109" t="s">
        <v>48</v>
      </c>
      <c r="M159" s="166" t="s">
        <v>1620</v>
      </c>
      <c r="N159" s="108" t="s">
        <v>48</v>
      </c>
      <c r="O159" s="109" t="s">
        <v>48</v>
      </c>
      <c r="P159" s="162" t="s">
        <v>48</v>
      </c>
      <c r="Q159" s="109" t="s">
        <v>48</v>
      </c>
      <c r="R159" s="109" t="s">
        <v>48</v>
      </c>
      <c r="S159" s="109" t="s">
        <v>48</v>
      </c>
      <c r="T159" s="109" t="s">
        <v>48</v>
      </c>
      <c r="U159" s="109" t="s">
        <v>48</v>
      </c>
      <c r="V159" s="196" t="s">
        <v>48</v>
      </c>
      <c r="W159" s="208" t="s">
        <v>2671</v>
      </c>
      <c r="X159" s="208" t="s">
        <v>2671</v>
      </c>
      <c r="Y159" s="109" t="s">
        <v>2672</v>
      </c>
      <c r="Z159" s="109" t="s">
        <v>2667</v>
      </c>
      <c r="AA159" s="109" t="s">
        <v>48</v>
      </c>
      <c r="AB159" s="109" t="s">
        <v>48</v>
      </c>
      <c r="AC159" s="109" t="s">
        <v>2673</v>
      </c>
      <c r="AD159" s="166" t="s">
        <v>2669</v>
      </c>
      <c r="AE159" s="165" t="s">
        <v>48</v>
      </c>
      <c r="AF159" s="109" t="s">
        <v>48</v>
      </c>
      <c r="AG159" s="109" t="s">
        <v>48</v>
      </c>
      <c r="AH159" s="109" t="s">
        <v>48</v>
      </c>
      <c r="AI159" s="109" t="s">
        <v>48</v>
      </c>
      <c r="AJ159" s="109" t="s">
        <v>48</v>
      </c>
      <c r="AK159" s="166" t="s">
        <v>48</v>
      </c>
      <c r="AL159" s="165" t="s">
        <v>1715</v>
      </c>
      <c r="AM159" s="109" t="s">
        <v>1715</v>
      </c>
      <c r="AN159" s="109" t="s">
        <v>48</v>
      </c>
      <c r="AO159" s="109" t="s">
        <v>48</v>
      </c>
      <c r="AP159" s="109" t="s">
        <v>48</v>
      </c>
      <c r="AQ159" s="109" t="s">
        <v>48</v>
      </c>
      <c r="AR159" s="109" t="s">
        <v>48</v>
      </c>
      <c r="AS159" s="166" t="s">
        <v>1620</v>
      </c>
      <c r="AT159" s="165" t="s">
        <v>893</v>
      </c>
      <c r="AU159" s="109" t="s">
        <v>2385</v>
      </c>
      <c r="AV159" s="109" t="s">
        <v>2386</v>
      </c>
      <c r="AW159" s="109" t="s">
        <v>2039</v>
      </c>
      <c r="AX159" s="109" t="s">
        <v>2364</v>
      </c>
      <c r="AY159" s="109" t="s">
        <v>2387</v>
      </c>
      <c r="AZ159" s="166" t="s">
        <v>2363</v>
      </c>
      <c r="BA159" s="162" t="s">
        <v>2398</v>
      </c>
      <c r="BB159" s="109" t="s">
        <v>82</v>
      </c>
      <c r="BC159" s="109" t="s">
        <v>1700</v>
      </c>
    </row>
    <row r="160" spans="1:55" ht="14.4" hidden="1">
      <c r="A160" s="109" t="s">
        <v>1115</v>
      </c>
      <c r="B160" s="109" t="s">
        <v>2030</v>
      </c>
      <c r="C160" s="109" t="s">
        <v>1619</v>
      </c>
      <c r="D160" s="109" t="s">
        <v>1624</v>
      </c>
      <c r="E160" s="161">
        <v>15000</v>
      </c>
      <c r="F160" s="165" t="s">
        <v>1702</v>
      </c>
      <c r="G160" s="109" t="s">
        <v>1702</v>
      </c>
      <c r="H160" s="109" t="s">
        <v>1969</v>
      </c>
      <c r="I160" s="109" t="s">
        <v>1908</v>
      </c>
      <c r="J160" s="109" t="s">
        <v>1708</v>
      </c>
      <c r="K160" s="109" t="s">
        <v>1708</v>
      </c>
      <c r="L160" s="109" t="s">
        <v>2005</v>
      </c>
      <c r="M160" s="166" t="s">
        <v>1620</v>
      </c>
      <c r="N160" s="108" t="s">
        <v>48</v>
      </c>
      <c r="O160" s="109" t="s">
        <v>48</v>
      </c>
      <c r="P160" s="162" t="s">
        <v>48</v>
      </c>
      <c r="Q160" s="109" t="s">
        <v>48</v>
      </c>
      <c r="R160" s="109" t="s">
        <v>48</v>
      </c>
      <c r="S160" s="109" t="s">
        <v>48</v>
      </c>
      <c r="T160" s="109" t="s">
        <v>48</v>
      </c>
      <c r="U160" s="109" t="s">
        <v>48</v>
      </c>
      <c r="V160" s="196" t="s">
        <v>48</v>
      </c>
      <c r="W160" s="208" t="s">
        <v>2646</v>
      </c>
      <c r="X160" s="208" t="s">
        <v>2646</v>
      </c>
      <c r="Y160" s="109" t="s">
        <v>2648</v>
      </c>
      <c r="Z160" s="109" t="s">
        <v>2412</v>
      </c>
      <c r="AA160" s="109" t="s">
        <v>48</v>
      </c>
      <c r="AB160" s="109" t="s">
        <v>48</v>
      </c>
      <c r="AC160" s="109" t="s">
        <v>2649</v>
      </c>
      <c r="AD160" s="166" t="s">
        <v>2643</v>
      </c>
      <c r="AE160" s="174" t="s">
        <v>48</v>
      </c>
      <c r="AF160" s="117" t="s">
        <v>48</v>
      </c>
      <c r="AG160" s="117" t="s">
        <v>48</v>
      </c>
      <c r="AH160" s="109" t="s">
        <v>48</v>
      </c>
      <c r="AI160" s="117" t="s">
        <v>48</v>
      </c>
      <c r="AJ160" s="117" t="s">
        <v>48</v>
      </c>
      <c r="AK160" s="182" t="s">
        <v>48</v>
      </c>
      <c r="AL160" s="165" t="s">
        <v>1624</v>
      </c>
      <c r="AM160" s="109" t="s">
        <v>1624</v>
      </c>
      <c r="AN160" s="109" t="s">
        <v>48</v>
      </c>
      <c r="AO160" s="109" t="s">
        <v>48</v>
      </c>
      <c r="AP160" s="109" t="s">
        <v>48</v>
      </c>
      <c r="AQ160" s="109" t="s">
        <v>48</v>
      </c>
      <c r="AR160" s="109" t="s">
        <v>48</v>
      </c>
      <c r="AS160" s="166" t="s">
        <v>48</v>
      </c>
      <c r="AT160" s="165" t="s">
        <v>48</v>
      </c>
      <c r="AU160" s="109" t="s">
        <v>48</v>
      </c>
      <c r="AV160" s="109" t="s">
        <v>48</v>
      </c>
      <c r="AW160" s="109" t="s">
        <v>48</v>
      </c>
      <c r="AX160" s="109" t="s">
        <v>48</v>
      </c>
      <c r="AY160" s="109" t="s">
        <v>48</v>
      </c>
      <c r="AZ160" s="166" t="s">
        <v>48</v>
      </c>
      <c r="BA160" s="162" t="s">
        <v>1816</v>
      </c>
      <c r="BB160" s="109" t="s">
        <v>82</v>
      </c>
      <c r="BC160" s="109" t="s">
        <v>1700</v>
      </c>
    </row>
    <row r="161" spans="1:55" ht="42.75" customHeight="1">
      <c r="A161" s="109" t="s">
        <v>1118</v>
      </c>
      <c r="B161" s="109" t="s">
        <v>2030</v>
      </c>
      <c r="C161" s="109" t="s">
        <v>1619</v>
      </c>
      <c r="D161" s="109" t="s">
        <v>1624</v>
      </c>
      <c r="E161" s="161">
        <v>15000</v>
      </c>
      <c r="F161" s="165" t="s">
        <v>1702</v>
      </c>
      <c r="G161" s="109" t="s">
        <v>1702</v>
      </c>
      <c r="H161" s="109" t="s">
        <v>1969</v>
      </c>
      <c r="I161" s="109" t="s">
        <v>1908</v>
      </c>
      <c r="J161" s="109" t="s">
        <v>1708</v>
      </c>
      <c r="K161" s="109" t="s">
        <v>1708</v>
      </c>
      <c r="L161" s="109" t="s">
        <v>2005</v>
      </c>
      <c r="M161" s="166" t="s">
        <v>1620</v>
      </c>
      <c r="N161" s="108" t="s">
        <v>48</v>
      </c>
      <c r="O161" s="109" t="s">
        <v>48</v>
      </c>
      <c r="P161" s="162" t="s">
        <v>48</v>
      </c>
      <c r="Q161" s="109" t="s">
        <v>48</v>
      </c>
      <c r="R161" s="109" t="s">
        <v>48</v>
      </c>
      <c r="S161" s="109" t="s">
        <v>48</v>
      </c>
      <c r="T161" s="109" t="s">
        <v>48</v>
      </c>
      <c r="U161" s="109" t="s">
        <v>48</v>
      </c>
      <c r="V161" s="196" t="s">
        <v>48</v>
      </c>
      <c r="W161" s="208" t="s">
        <v>2647</v>
      </c>
      <c r="X161" s="208" t="s">
        <v>2646</v>
      </c>
      <c r="Y161" s="109" t="s">
        <v>2648</v>
      </c>
      <c r="Z161" s="109" t="s">
        <v>2412</v>
      </c>
      <c r="AA161" s="109" t="s">
        <v>48</v>
      </c>
      <c r="AB161" s="109" t="s">
        <v>48</v>
      </c>
      <c r="AC161" s="109" t="s">
        <v>2649</v>
      </c>
      <c r="AD161" s="166" t="s">
        <v>2643</v>
      </c>
      <c r="AE161" s="174" t="s">
        <v>48</v>
      </c>
      <c r="AF161" s="117" t="s">
        <v>48</v>
      </c>
      <c r="AG161" s="117" t="s">
        <v>48</v>
      </c>
      <c r="AH161" s="109" t="s">
        <v>48</v>
      </c>
      <c r="AI161" s="117" t="s">
        <v>48</v>
      </c>
      <c r="AJ161" s="117" t="s">
        <v>48</v>
      </c>
      <c r="AK161" s="182" t="s">
        <v>48</v>
      </c>
      <c r="AL161" s="165" t="s">
        <v>1624</v>
      </c>
      <c r="AM161" s="109" t="s">
        <v>1624</v>
      </c>
      <c r="AN161" s="109" t="s">
        <v>48</v>
      </c>
      <c r="AO161" s="109" t="s">
        <v>48</v>
      </c>
      <c r="AP161" s="109" t="s">
        <v>48</v>
      </c>
      <c r="AQ161" s="109" t="s">
        <v>48</v>
      </c>
      <c r="AR161" s="109" t="s">
        <v>48</v>
      </c>
      <c r="AS161" s="166" t="s">
        <v>48</v>
      </c>
      <c r="AT161" s="165" t="s">
        <v>48</v>
      </c>
      <c r="AU161" s="109" t="s">
        <v>48</v>
      </c>
      <c r="AV161" s="109" t="s">
        <v>48</v>
      </c>
      <c r="AW161" s="109" t="s">
        <v>48</v>
      </c>
      <c r="AX161" s="109" t="s">
        <v>48</v>
      </c>
      <c r="AY161" s="109" t="s">
        <v>48</v>
      </c>
      <c r="AZ161" s="166" t="s">
        <v>48</v>
      </c>
      <c r="BA161" s="162" t="s">
        <v>1816</v>
      </c>
      <c r="BB161" s="109" t="s">
        <v>82</v>
      </c>
      <c r="BC161" s="109" t="s">
        <v>1700</v>
      </c>
    </row>
    <row r="162" spans="1:55" ht="14.4" hidden="1">
      <c r="A162" s="109" t="s">
        <v>1115</v>
      </c>
      <c r="B162" s="109" t="s">
        <v>2030</v>
      </c>
      <c r="C162" s="109" t="s">
        <v>1619</v>
      </c>
      <c r="D162" s="109" t="s">
        <v>2683</v>
      </c>
      <c r="E162" s="161">
        <v>15000</v>
      </c>
      <c r="F162" s="109" t="s">
        <v>2683</v>
      </c>
      <c r="G162" s="109" t="s">
        <v>2683</v>
      </c>
      <c r="H162" s="109" t="s">
        <v>2679</v>
      </c>
      <c r="I162" s="109" t="s">
        <v>2679</v>
      </c>
      <c r="J162" s="109" t="s">
        <v>2679</v>
      </c>
      <c r="K162" s="109" t="s">
        <v>2679</v>
      </c>
      <c r="L162" s="109" t="s">
        <v>2679</v>
      </c>
      <c r="M162" s="109" t="s">
        <v>2679</v>
      </c>
      <c r="N162" s="108" t="s">
        <v>48</v>
      </c>
      <c r="O162" s="109" t="s">
        <v>48</v>
      </c>
      <c r="P162" s="162" t="s">
        <v>48</v>
      </c>
      <c r="Q162" s="109" t="s">
        <v>48</v>
      </c>
      <c r="R162" s="109" t="s">
        <v>48</v>
      </c>
      <c r="S162" s="109" t="s">
        <v>48</v>
      </c>
      <c r="T162" s="109" t="s">
        <v>48</v>
      </c>
      <c r="U162" s="109" t="s">
        <v>48</v>
      </c>
      <c r="V162" s="196" t="s">
        <v>48</v>
      </c>
      <c r="W162" s="208" t="s">
        <v>2685</v>
      </c>
      <c r="X162" s="208" t="s">
        <v>2685</v>
      </c>
      <c r="Y162" s="109" t="s">
        <v>2672</v>
      </c>
      <c r="Z162" s="109" t="s">
        <v>2419</v>
      </c>
      <c r="AA162" s="109" t="s">
        <v>48</v>
      </c>
      <c r="AB162" s="109" t="s">
        <v>48</v>
      </c>
      <c r="AC162" s="109" t="s">
        <v>2673</v>
      </c>
      <c r="AD162" s="166" t="s">
        <v>2669</v>
      </c>
      <c r="AE162" s="174" t="s">
        <v>48</v>
      </c>
      <c r="AF162" s="117" t="s">
        <v>48</v>
      </c>
      <c r="AG162" s="117" t="s">
        <v>48</v>
      </c>
      <c r="AH162" s="109" t="s">
        <v>48</v>
      </c>
      <c r="AI162" s="117" t="s">
        <v>48</v>
      </c>
      <c r="AJ162" s="117" t="s">
        <v>48</v>
      </c>
      <c r="AK162" s="182" t="s">
        <v>48</v>
      </c>
      <c r="AL162" s="165" t="s">
        <v>2683</v>
      </c>
      <c r="AM162" s="165" t="s">
        <v>2683</v>
      </c>
      <c r="AN162" s="109" t="s">
        <v>48</v>
      </c>
      <c r="AO162" s="109" t="s">
        <v>48</v>
      </c>
      <c r="AP162" s="109" t="s">
        <v>48</v>
      </c>
      <c r="AQ162" s="109" t="s">
        <v>48</v>
      </c>
      <c r="AR162" s="109" t="s">
        <v>48</v>
      </c>
      <c r="AS162" s="166" t="s">
        <v>48</v>
      </c>
      <c r="AT162" s="165" t="s">
        <v>48</v>
      </c>
      <c r="AU162" s="109" t="s">
        <v>48</v>
      </c>
      <c r="AV162" s="109" t="s">
        <v>48</v>
      </c>
      <c r="AW162" s="109" t="s">
        <v>48</v>
      </c>
      <c r="AX162" s="109" t="s">
        <v>48</v>
      </c>
      <c r="AY162" s="109" t="s">
        <v>48</v>
      </c>
      <c r="AZ162" s="166" t="s">
        <v>48</v>
      </c>
      <c r="BA162" s="162" t="s">
        <v>2681</v>
      </c>
      <c r="BB162" s="109" t="s">
        <v>82</v>
      </c>
      <c r="BC162" s="109" t="s">
        <v>1700</v>
      </c>
    </row>
    <row r="163" spans="1:55" ht="42.75" customHeight="1">
      <c r="A163" s="109" t="s">
        <v>1118</v>
      </c>
      <c r="B163" s="109" t="s">
        <v>2030</v>
      </c>
      <c r="C163" s="109" t="s">
        <v>1619</v>
      </c>
      <c r="D163" s="109" t="s">
        <v>2683</v>
      </c>
      <c r="E163" s="161">
        <v>15000</v>
      </c>
      <c r="F163" s="109" t="s">
        <v>2683</v>
      </c>
      <c r="G163" s="109" t="s">
        <v>2683</v>
      </c>
      <c r="H163" s="109" t="s">
        <v>2679</v>
      </c>
      <c r="I163" s="109" t="s">
        <v>2679</v>
      </c>
      <c r="J163" s="109" t="s">
        <v>2679</v>
      </c>
      <c r="K163" s="109" t="s">
        <v>2679</v>
      </c>
      <c r="L163" s="109" t="s">
        <v>2679</v>
      </c>
      <c r="M163" s="109" t="s">
        <v>2679</v>
      </c>
      <c r="N163" s="108" t="s">
        <v>48</v>
      </c>
      <c r="O163" s="109" t="s">
        <v>48</v>
      </c>
      <c r="P163" s="162" t="s">
        <v>48</v>
      </c>
      <c r="Q163" s="109" t="s">
        <v>48</v>
      </c>
      <c r="R163" s="109" t="s">
        <v>48</v>
      </c>
      <c r="S163" s="109" t="s">
        <v>48</v>
      </c>
      <c r="T163" s="109" t="s">
        <v>48</v>
      </c>
      <c r="U163" s="109" t="s">
        <v>48</v>
      </c>
      <c r="V163" s="196" t="s">
        <v>48</v>
      </c>
      <c r="W163" s="208" t="s">
        <v>2685</v>
      </c>
      <c r="X163" s="208" t="s">
        <v>2685</v>
      </c>
      <c r="Y163" s="109" t="s">
        <v>2672</v>
      </c>
      <c r="Z163" s="109" t="s">
        <v>2419</v>
      </c>
      <c r="AA163" s="109" t="s">
        <v>48</v>
      </c>
      <c r="AB163" s="109" t="s">
        <v>48</v>
      </c>
      <c r="AC163" s="109" t="s">
        <v>2673</v>
      </c>
      <c r="AD163" s="166" t="s">
        <v>2669</v>
      </c>
      <c r="AE163" s="174" t="s">
        <v>48</v>
      </c>
      <c r="AF163" s="117" t="s">
        <v>48</v>
      </c>
      <c r="AG163" s="117" t="s">
        <v>48</v>
      </c>
      <c r="AH163" s="109" t="s">
        <v>48</v>
      </c>
      <c r="AI163" s="117" t="s">
        <v>48</v>
      </c>
      <c r="AJ163" s="117" t="s">
        <v>48</v>
      </c>
      <c r="AK163" s="182" t="s">
        <v>48</v>
      </c>
      <c r="AL163" s="165" t="s">
        <v>2683</v>
      </c>
      <c r="AM163" s="165" t="s">
        <v>2683</v>
      </c>
      <c r="AN163" s="109" t="s">
        <v>48</v>
      </c>
      <c r="AO163" s="109" t="s">
        <v>48</v>
      </c>
      <c r="AP163" s="109" t="s">
        <v>48</v>
      </c>
      <c r="AQ163" s="109" t="s">
        <v>48</v>
      </c>
      <c r="AR163" s="109" t="s">
        <v>48</v>
      </c>
      <c r="AS163" s="166" t="s">
        <v>48</v>
      </c>
      <c r="AT163" s="165" t="s">
        <v>48</v>
      </c>
      <c r="AU163" s="109" t="s">
        <v>48</v>
      </c>
      <c r="AV163" s="109" t="s">
        <v>48</v>
      </c>
      <c r="AW163" s="109" t="s">
        <v>48</v>
      </c>
      <c r="AX163" s="109" t="s">
        <v>48</v>
      </c>
      <c r="AY163" s="109" t="s">
        <v>48</v>
      </c>
      <c r="AZ163" s="166" t="s">
        <v>48</v>
      </c>
      <c r="BA163" s="162" t="s">
        <v>2681</v>
      </c>
      <c r="BB163" s="109" t="s">
        <v>82</v>
      </c>
      <c r="BC163" s="109" t="s">
        <v>1700</v>
      </c>
    </row>
    <row r="164" spans="1:55" ht="14.4" hidden="1">
      <c r="A164" s="1" t="s">
        <v>1583</v>
      </c>
      <c r="B164" s="109" t="s">
        <v>2016</v>
      </c>
      <c r="C164" s="109" t="s">
        <v>1619</v>
      </c>
      <c r="D164" s="109" t="s">
        <v>2683</v>
      </c>
      <c r="E164" s="161">
        <v>15000</v>
      </c>
      <c r="F164" s="109" t="s">
        <v>2683</v>
      </c>
      <c r="G164" s="109" t="s">
        <v>2683</v>
      </c>
      <c r="H164" s="109" t="s">
        <v>2679</v>
      </c>
      <c r="I164" s="109" t="s">
        <v>2679</v>
      </c>
      <c r="J164" s="109" t="s">
        <v>2679</v>
      </c>
      <c r="K164" s="109" t="s">
        <v>2679</v>
      </c>
      <c r="L164" s="109" t="s">
        <v>2679</v>
      </c>
      <c r="M164" s="109" t="s">
        <v>2679</v>
      </c>
      <c r="N164" s="108" t="s">
        <v>48</v>
      </c>
      <c r="O164" s="109" t="s">
        <v>48</v>
      </c>
      <c r="P164" s="162" t="s">
        <v>48</v>
      </c>
      <c r="Q164" s="109" t="s">
        <v>48</v>
      </c>
      <c r="R164" s="109" t="s">
        <v>48</v>
      </c>
      <c r="S164" s="109" t="s">
        <v>48</v>
      </c>
      <c r="T164" s="109" t="s">
        <v>48</v>
      </c>
      <c r="U164" s="109" t="s">
        <v>48</v>
      </c>
      <c r="V164" s="196" t="s">
        <v>48</v>
      </c>
      <c r="W164" s="208" t="s">
        <v>2685</v>
      </c>
      <c r="X164" s="208" t="s">
        <v>2685</v>
      </c>
      <c r="Y164" s="109" t="s">
        <v>2672</v>
      </c>
      <c r="Z164" s="109" t="s">
        <v>2419</v>
      </c>
      <c r="AA164" s="109" t="s">
        <v>48</v>
      </c>
      <c r="AB164" s="109" t="s">
        <v>48</v>
      </c>
      <c r="AC164" s="109" t="s">
        <v>2673</v>
      </c>
      <c r="AD164" s="166" t="s">
        <v>2669</v>
      </c>
      <c r="AE164" s="174" t="s">
        <v>48</v>
      </c>
      <c r="AF164" s="117" t="s">
        <v>48</v>
      </c>
      <c r="AG164" s="117" t="s">
        <v>48</v>
      </c>
      <c r="AH164" s="109" t="s">
        <v>48</v>
      </c>
      <c r="AI164" s="117" t="s">
        <v>48</v>
      </c>
      <c r="AJ164" s="117" t="s">
        <v>48</v>
      </c>
      <c r="AK164" s="182" t="s">
        <v>48</v>
      </c>
      <c r="AL164" s="165" t="s">
        <v>2683</v>
      </c>
      <c r="AM164" s="165" t="s">
        <v>2683</v>
      </c>
      <c r="AN164" s="109" t="s">
        <v>48</v>
      </c>
      <c r="AO164" s="109" t="s">
        <v>48</v>
      </c>
      <c r="AP164" s="109" t="s">
        <v>48</v>
      </c>
      <c r="AQ164" s="109" t="s">
        <v>48</v>
      </c>
      <c r="AR164" s="109" t="s">
        <v>48</v>
      </c>
      <c r="AS164" s="166" t="s">
        <v>48</v>
      </c>
      <c r="AT164" s="165" t="s">
        <v>48</v>
      </c>
      <c r="AU164" s="109" t="s">
        <v>48</v>
      </c>
      <c r="AV164" s="109" t="s">
        <v>48</v>
      </c>
      <c r="AW164" s="109" t="s">
        <v>48</v>
      </c>
      <c r="AX164" s="109" t="s">
        <v>48</v>
      </c>
      <c r="AY164" s="109" t="s">
        <v>48</v>
      </c>
      <c r="AZ164" s="166" t="s">
        <v>48</v>
      </c>
      <c r="BA164" s="162" t="s">
        <v>2681</v>
      </c>
      <c r="BB164" s="109" t="s">
        <v>82</v>
      </c>
      <c r="BC164" s="109" t="s">
        <v>1700</v>
      </c>
    </row>
    <row r="165" spans="1:55" ht="42.75" hidden="1" customHeight="1">
      <c r="A165" s="1" t="s">
        <v>2688</v>
      </c>
      <c r="B165" s="109" t="s">
        <v>2016</v>
      </c>
      <c r="C165" s="109" t="s">
        <v>1619</v>
      </c>
      <c r="D165" s="109" t="s">
        <v>2683</v>
      </c>
      <c r="E165" s="161">
        <v>15000</v>
      </c>
      <c r="F165" s="109" t="s">
        <v>2683</v>
      </c>
      <c r="G165" s="109" t="s">
        <v>2683</v>
      </c>
      <c r="H165" s="109" t="s">
        <v>2679</v>
      </c>
      <c r="I165" s="109" t="s">
        <v>2679</v>
      </c>
      <c r="J165" s="109" t="s">
        <v>2679</v>
      </c>
      <c r="K165" s="109" t="s">
        <v>2679</v>
      </c>
      <c r="L165" s="109" t="s">
        <v>2679</v>
      </c>
      <c r="M165" s="109" t="s">
        <v>2679</v>
      </c>
      <c r="N165" s="108" t="s">
        <v>48</v>
      </c>
      <c r="O165" s="109" t="s">
        <v>48</v>
      </c>
      <c r="P165" s="162" t="s">
        <v>48</v>
      </c>
      <c r="Q165" s="109" t="s">
        <v>48</v>
      </c>
      <c r="R165" s="109" t="s">
        <v>48</v>
      </c>
      <c r="S165" s="109" t="s">
        <v>48</v>
      </c>
      <c r="T165" s="109" t="s">
        <v>48</v>
      </c>
      <c r="U165" s="109" t="s">
        <v>48</v>
      </c>
      <c r="V165" s="196" t="s">
        <v>48</v>
      </c>
      <c r="W165" s="208" t="s">
        <v>2685</v>
      </c>
      <c r="X165" s="208" t="s">
        <v>2685</v>
      </c>
      <c r="Y165" s="109" t="s">
        <v>2672</v>
      </c>
      <c r="Z165" s="109" t="s">
        <v>2419</v>
      </c>
      <c r="AA165" s="109" t="s">
        <v>48</v>
      </c>
      <c r="AB165" s="109" t="s">
        <v>48</v>
      </c>
      <c r="AC165" s="109" t="s">
        <v>2673</v>
      </c>
      <c r="AD165" s="166" t="s">
        <v>2669</v>
      </c>
      <c r="AE165" s="174" t="s">
        <v>48</v>
      </c>
      <c r="AF165" s="117" t="s">
        <v>48</v>
      </c>
      <c r="AG165" s="117" t="s">
        <v>48</v>
      </c>
      <c r="AH165" s="109" t="s">
        <v>48</v>
      </c>
      <c r="AI165" s="117" t="s">
        <v>48</v>
      </c>
      <c r="AJ165" s="117" t="s">
        <v>48</v>
      </c>
      <c r="AK165" s="182" t="s">
        <v>48</v>
      </c>
      <c r="AL165" s="165" t="s">
        <v>2683</v>
      </c>
      <c r="AM165" s="165" t="s">
        <v>2683</v>
      </c>
      <c r="AN165" s="109" t="s">
        <v>48</v>
      </c>
      <c r="AO165" s="109" t="s">
        <v>48</v>
      </c>
      <c r="AP165" s="109" t="s">
        <v>48</v>
      </c>
      <c r="AQ165" s="109" t="s">
        <v>48</v>
      </c>
      <c r="AR165" s="109" t="s">
        <v>48</v>
      </c>
      <c r="AS165" s="166" t="s">
        <v>48</v>
      </c>
      <c r="AT165" s="165" t="s">
        <v>48</v>
      </c>
      <c r="AU165" s="109" t="s">
        <v>48</v>
      </c>
      <c r="AV165" s="109" t="s">
        <v>48</v>
      </c>
      <c r="AW165" s="109" t="s">
        <v>48</v>
      </c>
      <c r="AX165" s="109" t="s">
        <v>48</v>
      </c>
      <c r="AY165" s="109" t="s">
        <v>48</v>
      </c>
      <c r="AZ165" s="166" t="s">
        <v>48</v>
      </c>
      <c r="BA165" s="162" t="s">
        <v>2681</v>
      </c>
      <c r="BB165" s="109" t="s">
        <v>82</v>
      </c>
      <c r="BC165" s="109" t="s">
        <v>1700</v>
      </c>
    </row>
    <row r="166" spans="1:55" ht="42.75" hidden="1" customHeight="1">
      <c r="A166" s="109" t="s">
        <v>1115</v>
      </c>
      <c r="B166" s="109" t="s">
        <v>2030</v>
      </c>
      <c r="C166" s="109" t="s">
        <v>1619</v>
      </c>
      <c r="D166" s="109" t="s">
        <v>1702</v>
      </c>
      <c r="E166" s="161">
        <v>15000</v>
      </c>
      <c r="F166" s="165" t="s">
        <v>1702</v>
      </c>
      <c r="G166" s="109" t="s">
        <v>1702</v>
      </c>
      <c r="H166" s="109" t="s">
        <v>48</v>
      </c>
      <c r="I166" s="109" t="s">
        <v>48</v>
      </c>
      <c r="J166" s="109" t="s">
        <v>48</v>
      </c>
      <c r="K166" s="109" t="s">
        <v>48</v>
      </c>
      <c r="L166" s="109" t="s">
        <v>48</v>
      </c>
      <c r="M166" s="166" t="s">
        <v>1620</v>
      </c>
      <c r="N166" s="108" t="s">
        <v>48</v>
      </c>
      <c r="O166" s="109" t="s">
        <v>48</v>
      </c>
      <c r="P166" s="162" t="s">
        <v>48</v>
      </c>
      <c r="Q166" s="109" t="s">
        <v>48</v>
      </c>
      <c r="R166" s="109" t="s">
        <v>48</v>
      </c>
      <c r="S166" s="109" t="s">
        <v>48</v>
      </c>
      <c r="T166" s="109" t="s">
        <v>48</v>
      </c>
      <c r="U166" s="109" t="s">
        <v>48</v>
      </c>
      <c r="V166" s="196" t="s">
        <v>48</v>
      </c>
      <c r="W166" s="208" t="s">
        <v>2646</v>
      </c>
      <c r="X166" s="208" t="s">
        <v>2646</v>
      </c>
      <c r="Y166" s="109" t="s">
        <v>2648</v>
      </c>
      <c r="Z166" s="109" t="s">
        <v>2641</v>
      </c>
      <c r="AA166" s="109" t="s">
        <v>48</v>
      </c>
      <c r="AB166" s="109" t="s">
        <v>48</v>
      </c>
      <c r="AC166" s="109" t="s">
        <v>2649</v>
      </c>
      <c r="AD166" s="166" t="s">
        <v>2643</v>
      </c>
      <c r="AE166" s="174" t="s">
        <v>48</v>
      </c>
      <c r="AF166" s="117" t="s">
        <v>48</v>
      </c>
      <c r="AG166" s="117" t="s">
        <v>48</v>
      </c>
      <c r="AH166" s="109" t="s">
        <v>48</v>
      </c>
      <c r="AI166" s="117" t="s">
        <v>48</v>
      </c>
      <c r="AJ166" s="117" t="s">
        <v>48</v>
      </c>
      <c r="AK166" s="182" t="s">
        <v>48</v>
      </c>
      <c r="AL166" s="165" t="s">
        <v>1702</v>
      </c>
      <c r="AM166" s="109" t="s">
        <v>1702</v>
      </c>
      <c r="AN166" s="109" t="s">
        <v>48</v>
      </c>
      <c r="AO166" s="109" t="s">
        <v>48</v>
      </c>
      <c r="AP166" s="109" t="s">
        <v>48</v>
      </c>
      <c r="AQ166" s="109" t="s">
        <v>48</v>
      </c>
      <c r="AR166" s="109" t="s">
        <v>48</v>
      </c>
      <c r="AS166" s="166" t="s">
        <v>1620</v>
      </c>
      <c r="AT166" s="165" t="s">
        <v>893</v>
      </c>
      <c r="AU166" s="109" t="s">
        <v>2378</v>
      </c>
      <c r="AV166" s="109" t="s">
        <v>2377</v>
      </c>
      <c r="AW166" s="109" t="s">
        <v>1908</v>
      </c>
      <c r="AX166" s="109" t="s">
        <v>2364</v>
      </c>
      <c r="AY166" s="109" t="s">
        <v>2376</v>
      </c>
      <c r="AZ166" s="166" t="s">
        <v>2363</v>
      </c>
      <c r="BA166" s="162" t="s">
        <v>2397</v>
      </c>
      <c r="BB166" s="109" t="s">
        <v>82</v>
      </c>
      <c r="BC166" s="109" t="s">
        <v>2396</v>
      </c>
    </row>
    <row r="167" spans="1:55" ht="27.6">
      <c r="A167" s="109" t="s">
        <v>1118</v>
      </c>
      <c r="B167" s="109" t="s">
        <v>2030</v>
      </c>
      <c r="C167" s="109" t="s">
        <v>1619</v>
      </c>
      <c r="D167" s="109" t="s">
        <v>1702</v>
      </c>
      <c r="E167" s="161">
        <v>15000</v>
      </c>
      <c r="F167" s="165" t="s">
        <v>1702</v>
      </c>
      <c r="G167" s="109" t="s">
        <v>1702</v>
      </c>
      <c r="H167" s="109" t="s">
        <v>48</v>
      </c>
      <c r="I167" s="109" t="s">
        <v>48</v>
      </c>
      <c r="J167" s="109" t="s">
        <v>48</v>
      </c>
      <c r="K167" s="109" t="s">
        <v>48</v>
      </c>
      <c r="L167" s="109" t="s">
        <v>48</v>
      </c>
      <c r="M167" s="166" t="s">
        <v>1620</v>
      </c>
      <c r="N167" s="108" t="s">
        <v>48</v>
      </c>
      <c r="O167" s="109" t="s">
        <v>48</v>
      </c>
      <c r="P167" s="162" t="s">
        <v>48</v>
      </c>
      <c r="Q167" s="109" t="s">
        <v>48</v>
      </c>
      <c r="R167" s="109" t="s">
        <v>48</v>
      </c>
      <c r="S167" s="109" t="s">
        <v>48</v>
      </c>
      <c r="T167" s="109" t="s">
        <v>48</v>
      </c>
      <c r="U167" s="109" t="s">
        <v>48</v>
      </c>
      <c r="V167" s="196" t="s">
        <v>48</v>
      </c>
      <c r="W167" s="208" t="s">
        <v>2646</v>
      </c>
      <c r="X167" s="208" t="s">
        <v>2646</v>
      </c>
      <c r="Y167" s="109" t="s">
        <v>2648</v>
      </c>
      <c r="Z167" s="109" t="s">
        <v>2641</v>
      </c>
      <c r="AA167" s="109" t="s">
        <v>48</v>
      </c>
      <c r="AB167" s="109" t="s">
        <v>48</v>
      </c>
      <c r="AC167" s="109" t="s">
        <v>2649</v>
      </c>
      <c r="AD167" s="166" t="s">
        <v>2643</v>
      </c>
      <c r="AE167" s="174" t="s">
        <v>48</v>
      </c>
      <c r="AF167" s="117" t="s">
        <v>48</v>
      </c>
      <c r="AG167" s="117" t="s">
        <v>48</v>
      </c>
      <c r="AH167" s="109" t="s">
        <v>48</v>
      </c>
      <c r="AI167" s="117" t="s">
        <v>48</v>
      </c>
      <c r="AJ167" s="117" t="s">
        <v>48</v>
      </c>
      <c r="AK167" s="182" t="s">
        <v>48</v>
      </c>
      <c r="AL167" s="165" t="s">
        <v>1702</v>
      </c>
      <c r="AM167" s="109" t="s">
        <v>1702</v>
      </c>
      <c r="AN167" s="109" t="s">
        <v>48</v>
      </c>
      <c r="AO167" s="109" t="s">
        <v>48</v>
      </c>
      <c r="AP167" s="109" t="s">
        <v>48</v>
      </c>
      <c r="AQ167" s="109" t="s">
        <v>48</v>
      </c>
      <c r="AR167" s="109" t="s">
        <v>48</v>
      </c>
      <c r="AS167" s="166" t="s">
        <v>1620</v>
      </c>
      <c r="AT167" s="165" t="s">
        <v>893</v>
      </c>
      <c r="AU167" s="109" t="s">
        <v>2378</v>
      </c>
      <c r="AV167" s="109" t="s">
        <v>2377</v>
      </c>
      <c r="AW167" s="109" t="s">
        <v>1908</v>
      </c>
      <c r="AX167" s="109" t="s">
        <v>2364</v>
      </c>
      <c r="AY167" s="109" t="s">
        <v>2376</v>
      </c>
      <c r="AZ167" s="166" t="s">
        <v>2363</v>
      </c>
      <c r="BA167" s="162" t="s">
        <v>2397</v>
      </c>
      <c r="BB167" s="109" t="s">
        <v>82</v>
      </c>
      <c r="BC167" s="109" t="s">
        <v>2396</v>
      </c>
    </row>
    <row r="168" spans="1:55" ht="14.4" hidden="1">
      <c r="A168" s="109" t="s">
        <v>660</v>
      </c>
      <c r="B168" s="117" t="s">
        <v>2013</v>
      </c>
      <c r="C168" s="109" t="s">
        <v>1619</v>
      </c>
      <c r="D168" s="109" t="s">
        <v>1625</v>
      </c>
      <c r="E168" s="161">
        <v>15000</v>
      </c>
      <c r="F168" s="165" t="s">
        <v>1701</v>
      </c>
      <c r="G168" s="109" t="s">
        <v>1701</v>
      </c>
      <c r="H168" s="109" t="s">
        <v>1970</v>
      </c>
      <c r="I168" s="109" t="s">
        <v>1908</v>
      </c>
      <c r="J168" s="109" t="s">
        <v>1708</v>
      </c>
      <c r="K168" s="109" t="s">
        <v>1708</v>
      </c>
      <c r="L168" s="109" t="s">
        <v>2006</v>
      </c>
      <c r="M168" s="166" t="s">
        <v>2678</v>
      </c>
      <c r="N168" s="108" t="s">
        <v>48</v>
      </c>
      <c r="O168" s="109" t="s">
        <v>48</v>
      </c>
      <c r="P168" s="162" t="s">
        <v>48</v>
      </c>
      <c r="Q168" s="109" t="s">
        <v>48</v>
      </c>
      <c r="R168" s="109" t="s">
        <v>48</v>
      </c>
      <c r="S168" s="109" t="s">
        <v>48</v>
      </c>
      <c r="T168" s="109" t="s">
        <v>48</v>
      </c>
      <c r="U168" s="109" t="s">
        <v>48</v>
      </c>
      <c r="V168" s="196" t="s">
        <v>1620</v>
      </c>
      <c r="W168" s="208" t="s">
        <v>2639</v>
      </c>
      <c r="X168" s="208" t="s">
        <v>2639</v>
      </c>
      <c r="Y168" s="109" t="s">
        <v>2640</v>
      </c>
      <c r="Z168" s="109" t="s">
        <v>2412</v>
      </c>
      <c r="AA168" s="109" t="s">
        <v>48</v>
      </c>
      <c r="AB168" s="109" t="s">
        <v>48</v>
      </c>
      <c r="AC168" s="109" t="s">
        <v>2642</v>
      </c>
      <c r="AD168" s="166" t="s">
        <v>2643</v>
      </c>
      <c r="AE168" s="174" t="s">
        <v>48</v>
      </c>
      <c r="AF168" s="117" t="s">
        <v>48</v>
      </c>
      <c r="AG168" s="117" t="s">
        <v>48</v>
      </c>
      <c r="AH168" s="109" t="s">
        <v>48</v>
      </c>
      <c r="AI168" s="117" t="s">
        <v>48</v>
      </c>
      <c r="AJ168" s="117" t="s">
        <v>48</v>
      </c>
      <c r="AK168" s="182" t="s">
        <v>48</v>
      </c>
      <c r="AL168" s="165" t="s">
        <v>1625</v>
      </c>
      <c r="AM168" s="109" t="s">
        <v>1625</v>
      </c>
      <c r="AN168" s="109" t="s">
        <v>48</v>
      </c>
      <c r="AO168" s="109" t="s">
        <v>48</v>
      </c>
      <c r="AP168" s="109" t="s">
        <v>48</v>
      </c>
      <c r="AQ168" s="109" t="s">
        <v>48</v>
      </c>
      <c r="AR168" s="109" t="s">
        <v>48</v>
      </c>
      <c r="AS168" s="166" t="s">
        <v>48</v>
      </c>
      <c r="AT168" s="165" t="s">
        <v>48</v>
      </c>
      <c r="AU168" s="109" t="s">
        <v>48</v>
      </c>
      <c r="AV168" s="109" t="s">
        <v>48</v>
      </c>
      <c r="AW168" s="109" t="s">
        <v>48</v>
      </c>
      <c r="AX168" s="109" t="s">
        <v>48</v>
      </c>
      <c r="AY168" s="109" t="s">
        <v>48</v>
      </c>
      <c r="AZ168" s="166" t="s">
        <v>48</v>
      </c>
      <c r="BA168" s="162" t="s">
        <v>1816</v>
      </c>
      <c r="BB168" s="109" t="s">
        <v>82</v>
      </c>
      <c r="BC168" s="109" t="s">
        <v>1700</v>
      </c>
    </row>
    <row r="169" spans="1:55" ht="14.4" hidden="1">
      <c r="A169" s="109" t="s">
        <v>660</v>
      </c>
      <c r="B169" s="117" t="s">
        <v>2013</v>
      </c>
      <c r="C169" s="109" t="s">
        <v>1619</v>
      </c>
      <c r="D169" s="109" t="s">
        <v>2677</v>
      </c>
      <c r="E169" s="161">
        <v>15000</v>
      </c>
      <c r="F169" s="109" t="s">
        <v>2677</v>
      </c>
      <c r="G169" s="109" t="s">
        <v>2677</v>
      </c>
      <c r="H169" s="109" t="s">
        <v>2679</v>
      </c>
      <c r="I169" s="109" t="s">
        <v>48</v>
      </c>
      <c r="J169" s="109" t="s">
        <v>48</v>
      </c>
      <c r="K169" s="109" t="s">
        <v>48</v>
      </c>
      <c r="L169" s="109" t="s">
        <v>48</v>
      </c>
      <c r="M169" s="166" t="s">
        <v>2679</v>
      </c>
      <c r="N169" s="108" t="s">
        <v>48</v>
      </c>
      <c r="O169" s="109" t="s">
        <v>48</v>
      </c>
      <c r="P169" s="162" t="s">
        <v>48</v>
      </c>
      <c r="Q169" s="109" t="s">
        <v>48</v>
      </c>
      <c r="R169" s="109" t="s">
        <v>48</v>
      </c>
      <c r="S169" s="109" t="s">
        <v>48</v>
      </c>
      <c r="T169" s="109" t="s">
        <v>48</v>
      </c>
      <c r="U169" s="109" t="s">
        <v>48</v>
      </c>
      <c r="V169" s="196" t="s">
        <v>48</v>
      </c>
      <c r="W169" s="165" t="s">
        <v>2680</v>
      </c>
      <c r="X169" s="165" t="s">
        <v>2680</v>
      </c>
      <c r="Y169" s="109" t="s">
        <v>2666</v>
      </c>
      <c r="Z169" s="109" t="s">
        <v>2419</v>
      </c>
      <c r="AA169" s="109" t="s">
        <v>48</v>
      </c>
      <c r="AB169" s="109" t="s">
        <v>48</v>
      </c>
      <c r="AC169" s="109" t="s">
        <v>2668</v>
      </c>
      <c r="AD169" s="109" t="s">
        <v>2669</v>
      </c>
      <c r="AE169" s="174" t="s">
        <v>48</v>
      </c>
      <c r="AF169" s="117" t="s">
        <v>48</v>
      </c>
      <c r="AG169" s="117" t="s">
        <v>48</v>
      </c>
      <c r="AH169" s="109" t="s">
        <v>48</v>
      </c>
      <c r="AI169" s="117" t="s">
        <v>48</v>
      </c>
      <c r="AJ169" s="117" t="s">
        <v>48</v>
      </c>
      <c r="AK169" s="182" t="s">
        <v>48</v>
      </c>
      <c r="AL169" s="109" t="s">
        <v>2677</v>
      </c>
      <c r="AM169" s="109" t="s">
        <v>2677</v>
      </c>
      <c r="AN169" s="109" t="s">
        <v>48</v>
      </c>
      <c r="AO169" s="109" t="s">
        <v>48</v>
      </c>
      <c r="AP169" s="109" t="s">
        <v>48</v>
      </c>
      <c r="AQ169" s="109" t="s">
        <v>48</v>
      </c>
      <c r="AR169" s="109" t="s">
        <v>48</v>
      </c>
      <c r="AS169" s="166" t="s">
        <v>48</v>
      </c>
      <c r="AT169" s="165" t="s">
        <v>48</v>
      </c>
      <c r="AU169" s="109" t="s">
        <v>48</v>
      </c>
      <c r="AV169" s="109" t="s">
        <v>48</v>
      </c>
      <c r="AW169" s="109" t="s">
        <v>48</v>
      </c>
      <c r="AX169" s="109" t="s">
        <v>48</v>
      </c>
      <c r="AY169" s="109" t="s">
        <v>48</v>
      </c>
      <c r="AZ169" s="166" t="s">
        <v>48</v>
      </c>
      <c r="BA169" s="162" t="s">
        <v>2682</v>
      </c>
      <c r="BB169" s="109" t="s">
        <v>82</v>
      </c>
      <c r="BC169" s="109" t="s">
        <v>1700</v>
      </c>
    </row>
    <row r="170" spans="1:55" ht="42.75" hidden="1" customHeight="1">
      <c r="A170" s="109" t="s">
        <v>660</v>
      </c>
      <c r="B170" s="117" t="s">
        <v>2013</v>
      </c>
      <c r="C170" s="109" t="s">
        <v>1619</v>
      </c>
      <c r="D170" s="109" t="s">
        <v>1701</v>
      </c>
      <c r="E170" s="161">
        <v>15000</v>
      </c>
      <c r="F170" s="165" t="s">
        <v>1701</v>
      </c>
      <c r="G170" s="109" t="s">
        <v>1701</v>
      </c>
      <c r="H170" s="109" t="s">
        <v>48</v>
      </c>
      <c r="I170" s="109" t="s">
        <v>48</v>
      </c>
      <c r="J170" s="109" t="s">
        <v>48</v>
      </c>
      <c r="K170" s="109" t="s">
        <v>48</v>
      </c>
      <c r="L170" s="109" t="s">
        <v>48</v>
      </c>
      <c r="M170" s="166" t="s">
        <v>1620</v>
      </c>
      <c r="N170" s="108" t="s">
        <v>48</v>
      </c>
      <c r="O170" s="109" t="s">
        <v>48</v>
      </c>
      <c r="P170" s="162" t="s">
        <v>48</v>
      </c>
      <c r="Q170" s="109" t="s">
        <v>48</v>
      </c>
      <c r="R170" s="109" t="s">
        <v>48</v>
      </c>
      <c r="S170" s="109" t="s">
        <v>48</v>
      </c>
      <c r="T170" s="109" t="s">
        <v>48</v>
      </c>
      <c r="U170" s="109" t="s">
        <v>48</v>
      </c>
      <c r="V170" s="196" t="s">
        <v>48</v>
      </c>
      <c r="W170" s="208" t="s">
        <v>2639</v>
      </c>
      <c r="X170" s="208" t="s">
        <v>2639</v>
      </c>
      <c r="Y170" s="109" t="s">
        <v>2640</v>
      </c>
      <c r="Z170" s="109" t="s">
        <v>2412</v>
      </c>
      <c r="AA170" s="109" t="s">
        <v>48</v>
      </c>
      <c r="AB170" s="109" t="s">
        <v>48</v>
      </c>
      <c r="AC170" s="109" t="s">
        <v>2642</v>
      </c>
      <c r="AD170" s="166" t="s">
        <v>2643</v>
      </c>
      <c r="AE170" s="174" t="s">
        <v>48</v>
      </c>
      <c r="AF170" s="117" t="s">
        <v>48</v>
      </c>
      <c r="AG170" s="117" t="s">
        <v>48</v>
      </c>
      <c r="AH170" s="109" t="s">
        <v>48</v>
      </c>
      <c r="AI170" s="117" t="s">
        <v>48</v>
      </c>
      <c r="AJ170" s="117" t="s">
        <v>48</v>
      </c>
      <c r="AK170" s="182" t="s">
        <v>48</v>
      </c>
      <c r="AL170" s="165" t="s">
        <v>1701</v>
      </c>
      <c r="AM170" s="109" t="s">
        <v>1701</v>
      </c>
      <c r="AN170" s="109" t="s">
        <v>48</v>
      </c>
      <c r="AO170" s="109" t="s">
        <v>48</v>
      </c>
      <c r="AP170" s="109" t="s">
        <v>48</v>
      </c>
      <c r="AQ170" s="109" t="s">
        <v>48</v>
      </c>
      <c r="AR170" s="109" t="s">
        <v>48</v>
      </c>
      <c r="AS170" s="166" t="s">
        <v>1620</v>
      </c>
      <c r="AT170" s="165" t="s">
        <v>893</v>
      </c>
      <c r="AU170" s="109" t="s">
        <v>2375</v>
      </c>
      <c r="AV170" s="109" t="s">
        <v>2374</v>
      </c>
      <c r="AW170" s="109" t="s">
        <v>1908</v>
      </c>
      <c r="AX170" s="109" t="s">
        <v>2364</v>
      </c>
      <c r="AY170" s="109" t="s">
        <v>2373</v>
      </c>
      <c r="AZ170" s="166" t="s">
        <v>2363</v>
      </c>
      <c r="BA170" s="162" t="s">
        <v>2397</v>
      </c>
      <c r="BB170" s="109" t="s">
        <v>82</v>
      </c>
      <c r="BC170" s="109" t="s">
        <v>2396</v>
      </c>
    </row>
    <row r="171" spans="1:55" ht="41.4" hidden="1">
      <c r="A171" s="109" t="s">
        <v>660</v>
      </c>
      <c r="B171" s="117" t="s">
        <v>2013</v>
      </c>
      <c r="C171" s="117" t="s">
        <v>446</v>
      </c>
      <c r="D171" s="109" t="s">
        <v>540</v>
      </c>
      <c r="E171" s="161">
        <v>15000</v>
      </c>
      <c r="F171" s="165" t="s">
        <v>1728</v>
      </c>
      <c r="G171" s="109" t="s">
        <v>1728</v>
      </c>
      <c r="H171" s="109" t="s">
        <v>1935</v>
      </c>
      <c r="I171" s="109" t="s">
        <v>2090</v>
      </c>
      <c r="J171" s="109" t="s">
        <v>1708</v>
      </c>
      <c r="K171" s="109" t="s">
        <v>1708</v>
      </c>
      <c r="L171" s="109" t="s">
        <v>1988</v>
      </c>
      <c r="M171" s="166" t="s">
        <v>1687</v>
      </c>
      <c r="N171" s="108" t="s">
        <v>48</v>
      </c>
      <c r="O171" s="109" t="s">
        <v>48</v>
      </c>
      <c r="P171" s="162" t="s">
        <v>48</v>
      </c>
      <c r="Q171" s="109" t="s">
        <v>48</v>
      </c>
      <c r="R171" s="109" t="s">
        <v>48</v>
      </c>
      <c r="S171" s="109" t="s">
        <v>48</v>
      </c>
      <c r="T171" s="109" t="s">
        <v>48</v>
      </c>
      <c r="U171" s="109" t="s">
        <v>48</v>
      </c>
      <c r="V171" s="166" t="s">
        <v>48</v>
      </c>
      <c r="W171" s="165" t="s">
        <v>540</v>
      </c>
      <c r="X171" s="109" t="s">
        <v>540</v>
      </c>
      <c r="Y171" s="109" t="s">
        <v>48</v>
      </c>
      <c r="Z171" s="109" t="s">
        <v>48</v>
      </c>
      <c r="AA171" s="109" t="s">
        <v>48</v>
      </c>
      <c r="AB171" s="109" t="s">
        <v>48</v>
      </c>
      <c r="AC171" s="109" t="s">
        <v>48</v>
      </c>
      <c r="AD171" s="166" t="s">
        <v>48</v>
      </c>
      <c r="AE171" s="174" t="s">
        <v>48</v>
      </c>
      <c r="AF171" s="117" t="s">
        <v>48</v>
      </c>
      <c r="AG171" s="117" t="s">
        <v>48</v>
      </c>
      <c r="AH171" s="109" t="s">
        <v>48</v>
      </c>
      <c r="AI171" s="109" t="s">
        <v>48</v>
      </c>
      <c r="AJ171" s="109" t="s">
        <v>48</v>
      </c>
      <c r="AK171" s="166" t="s">
        <v>48</v>
      </c>
      <c r="AL171" s="165" t="s">
        <v>540</v>
      </c>
      <c r="AM171" s="109" t="s">
        <v>540</v>
      </c>
      <c r="AN171" s="109" t="s">
        <v>48</v>
      </c>
      <c r="AO171" s="109" t="s">
        <v>48</v>
      </c>
      <c r="AP171" s="109" t="s">
        <v>48</v>
      </c>
      <c r="AQ171" s="109" t="s">
        <v>48</v>
      </c>
      <c r="AR171" s="109" t="s">
        <v>48</v>
      </c>
      <c r="AS171" s="166" t="s">
        <v>48</v>
      </c>
      <c r="AT171" s="165" t="s">
        <v>48</v>
      </c>
      <c r="AU171" s="109" t="s">
        <v>48</v>
      </c>
      <c r="AV171" s="109" t="s">
        <v>48</v>
      </c>
      <c r="AW171" s="109" t="s">
        <v>48</v>
      </c>
      <c r="AX171" s="109" t="s">
        <v>48</v>
      </c>
      <c r="AY171" s="109" t="s">
        <v>48</v>
      </c>
      <c r="AZ171" s="166" t="s">
        <v>48</v>
      </c>
      <c r="BA171" s="162" t="s">
        <v>1860</v>
      </c>
      <c r="BB171" s="117" t="s">
        <v>82</v>
      </c>
      <c r="BC171" s="109" t="s">
        <v>1858</v>
      </c>
    </row>
    <row r="172" spans="1:55" ht="42.75" hidden="1" customHeight="1">
      <c r="A172" s="109" t="s">
        <v>660</v>
      </c>
      <c r="B172" s="117" t="s">
        <v>2013</v>
      </c>
      <c r="C172" s="117" t="s">
        <v>446</v>
      </c>
      <c r="D172" s="109" t="s">
        <v>540</v>
      </c>
      <c r="E172" s="161">
        <v>15000</v>
      </c>
      <c r="F172" s="165" t="s">
        <v>1727</v>
      </c>
      <c r="G172" s="109" t="s">
        <v>1727</v>
      </c>
      <c r="H172" s="109" t="s">
        <v>1933</v>
      </c>
      <c r="I172" s="109" t="s">
        <v>2039</v>
      </c>
      <c r="J172" s="109" t="s">
        <v>1708</v>
      </c>
      <c r="K172" s="109" t="s">
        <v>1708</v>
      </c>
      <c r="L172" s="109" t="s">
        <v>1987</v>
      </c>
      <c r="M172" s="166" t="s">
        <v>1687</v>
      </c>
      <c r="N172" s="108" t="s">
        <v>48</v>
      </c>
      <c r="O172" s="109" t="s">
        <v>48</v>
      </c>
      <c r="P172" s="162" t="s">
        <v>48</v>
      </c>
      <c r="Q172" s="109" t="s">
        <v>48</v>
      </c>
      <c r="R172" s="109" t="s">
        <v>48</v>
      </c>
      <c r="S172" s="109" t="s">
        <v>48</v>
      </c>
      <c r="T172" s="109" t="s">
        <v>48</v>
      </c>
      <c r="U172" s="109" t="s">
        <v>48</v>
      </c>
      <c r="V172" s="166" t="s">
        <v>48</v>
      </c>
      <c r="W172" s="165" t="s">
        <v>540</v>
      </c>
      <c r="X172" s="109" t="s">
        <v>540</v>
      </c>
      <c r="Y172" s="109" t="s">
        <v>48</v>
      </c>
      <c r="Z172" s="109" t="s">
        <v>48</v>
      </c>
      <c r="AA172" s="109" t="s">
        <v>48</v>
      </c>
      <c r="AB172" s="109" t="s">
        <v>48</v>
      </c>
      <c r="AC172" s="109" t="s">
        <v>48</v>
      </c>
      <c r="AD172" s="166" t="s">
        <v>48</v>
      </c>
      <c r="AE172" s="174" t="s">
        <v>48</v>
      </c>
      <c r="AF172" s="117" t="s">
        <v>48</v>
      </c>
      <c r="AG172" s="117" t="s">
        <v>48</v>
      </c>
      <c r="AH172" s="109" t="s">
        <v>48</v>
      </c>
      <c r="AI172" s="109" t="s">
        <v>48</v>
      </c>
      <c r="AJ172" s="109" t="s">
        <v>48</v>
      </c>
      <c r="AK172" s="166" t="s">
        <v>48</v>
      </c>
      <c r="AL172" s="165" t="s">
        <v>540</v>
      </c>
      <c r="AM172" s="109" t="s">
        <v>540</v>
      </c>
      <c r="AN172" s="109" t="s">
        <v>48</v>
      </c>
      <c r="AO172" s="109" t="s">
        <v>48</v>
      </c>
      <c r="AP172" s="109" t="s">
        <v>48</v>
      </c>
      <c r="AQ172" s="109" t="s">
        <v>48</v>
      </c>
      <c r="AR172" s="109" t="s">
        <v>48</v>
      </c>
      <c r="AS172" s="166" t="s">
        <v>48</v>
      </c>
      <c r="AT172" s="165" t="s">
        <v>48</v>
      </c>
      <c r="AU172" s="109" t="s">
        <v>48</v>
      </c>
      <c r="AV172" s="109" t="s">
        <v>48</v>
      </c>
      <c r="AW172" s="109" t="s">
        <v>48</v>
      </c>
      <c r="AX172" s="109" t="s">
        <v>48</v>
      </c>
      <c r="AY172" s="109" t="s">
        <v>48</v>
      </c>
      <c r="AZ172" s="166" t="s">
        <v>48</v>
      </c>
      <c r="BA172" s="162" t="s">
        <v>1860</v>
      </c>
      <c r="BB172" s="117" t="s">
        <v>82</v>
      </c>
      <c r="BC172" s="109" t="s">
        <v>1858</v>
      </c>
    </row>
    <row r="173" spans="1:55" ht="42.75" hidden="1" customHeight="1">
      <c r="A173" s="109" t="s">
        <v>660</v>
      </c>
      <c r="B173" s="117" t="s">
        <v>2013</v>
      </c>
      <c r="C173" s="117" t="s">
        <v>446</v>
      </c>
      <c r="D173" s="109" t="s">
        <v>540</v>
      </c>
      <c r="E173" s="161">
        <v>15000</v>
      </c>
      <c r="F173" s="165" t="s">
        <v>1726</v>
      </c>
      <c r="G173" s="109" t="s">
        <v>1726</v>
      </c>
      <c r="H173" s="109" t="s">
        <v>1934</v>
      </c>
      <c r="I173" s="109" t="s">
        <v>1908</v>
      </c>
      <c r="J173" s="109" t="s">
        <v>1708</v>
      </c>
      <c r="K173" s="109" t="s">
        <v>1708</v>
      </c>
      <c r="L173" s="109" t="s">
        <v>1859</v>
      </c>
      <c r="M173" s="166" t="s">
        <v>1687</v>
      </c>
      <c r="N173" s="108" t="s">
        <v>48</v>
      </c>
      <c r="O173" s="109" t="s">
        <v>48</v>
      </c>
      <c r="P173" s="162" t="s">
        <v>48</v>
      </c>
      <c r="Q173" s="109" t="s">
        <v>48</v>
      </c>
      <c r="R173" s="109" t="s">
        <v>48</v>
      </c>
      <c r="S173" s="109" t="s">
        <v>48</v>
      </c>
      <c r="T173" s="109" t="s">
        <v>48</v>
      </c>
      <c r="U173" s="109" t="s">
        <v>48</v>
      </c>
      <c r="V173" s="166" t="s">
        <v>48</v>
      </c>
      <c r="W173" s="165" t="s">
        <v>540</v>
      </c>
      <c r="X173" s="109" t="s">
        <v>540</v>
      </c>
      <c r="Y173" s="109" t="s">
        <v>48</v>
      </c>
      <c r="Z173" s="109" t="s">
        <v>48</v>
      </c>
      <c r="AA173" s="109" t="s">
        <v>48</v>
      </c>
      <c r="AB173" s="109" t="s">
        <v>48</v>
      </c>
      <c r="AC173" s="109" t="s">
        <v>48</v>
      </c>
      <c r="AD173" s="166" t="s">
        <v>48</v>
      </c>
      <c r="AE173" s="174" t="s">
        <v>48</v>
      </c>
      <c r="AF173" s="117" t="s">
        <v>48</v>
      </c>
      <c r="AG173" s="117" t="s">
        <v>48</v>
      </c>
      <c r="AH173" s="109" t="s">
        <v>48</v>
      </c>
      <c r="AI173" s="109" t="s">
        <v>48</v>
      </c>
      <c r="AJ173" s="109" t="s">
        <v>48</v>
      </c>
      <c r="AK173" s="166" t="s">
        <v>48</v>
      </c>
      <c r="AL173" s="165" t="s">
        <v>540</v>
      </c>
      <c r="AM173" s="109" t="s">
        <v>540</v>
      </c>
      <c r="AN173" s="109" t="s">
        <v>48</v>
      </c>
      <c r="AO173" s="109" t="s">
        <v>48</v>
      </c>
      <c r="AP173" s="109" t="s">
        <v>48</v>
      </c>
      <c r="AQ173" s="109" t="s">
        <v>48</v>
      </c>
      <c r="AR173" s="109" t="s">
        <v>48</v>
      </c>
      <c r="AS173" s="166" t="s">
        <v>48</v>
      </c>
      <c r="AT173" s="165" t="s">
        <v>48</v>
      </c>
      <c r="AU173" s="109" t="s">
        <v>48</v>
      </c>
      <c r="AV173" s="109" t="s">
        <v>48</v>
      </c>
      <c r="AW173" s="109" t="s">
        <v>48</v>
      </c>
      <c r="AX173" s="109" t="s">
        <v>48</v>
      </c>
      <c r="AY173" s="109" t="s">
        <v>48</v>
      </c>
      <c r="AZ173" s="166" t="s">
        <v>48</v>
      </c>
      <c r="BA173" s="162" t="s">
        <v>1860</v>
      </c>
      <c r="BB173" s="117" t="s">
        <v>82</v>
      </c>
      <c r="BC173" s="109" t="s">
        <v>1858</v>
      </c>
    </row>
    <row r="174" spans="1:55" ht="42.75" hidden="1" customHeight="1">
      <c r="A174" s="109" t="s">
        <v>660</v>
      </c>
      <c r="B174" s="117" t="s">
        <v>2013</v>
      </c>
      <c r="C174" s="117" t="s">
        <v>446</v>
      </c>
      <c r="D174" s="109" t="s">
        <v>734</v>
      </c>
      <c r="E174" s="161">
        <v>15000</v>
      </c>
      <c r="F174" s="165" t="s">
        <v>1728</v>
      </c>
      <c r="G174" s="109" t="s">
        <v>1728</v>
      </c>
      <c r="H174" s="109" t="s">
        <v>1935</v>
      </c>
      <c r="I174" s="109" t="s">
        <v>2090</v>
      </c>
      <c r="J174" s="109" t="s">
        <v>1708</v>
      </c>
      <c r="K174" s="109" t="s">
        <v>1708</v>
      </c>
      <c r="L174" s="109" t="s">
        <v>1988</v>
      </c>
      <c r="M174" s="166" t="s">
        <v>1687</v>
      </c>
      <c r="N174" s="108" t="s">
        <v>48</v>
      </c>
      <c r="O174" s="109" t="s">
        <v>48</v>
      </c>
      <c r="P174" s="162" t="s">
        <v>48</v>
      </c>
      <c r="Q174" s="109" t="s">
        <v>48</v>
      </c>
      <c r="R174" s="109" t="s">
        <v>48</v>
      </c>
      <c r="S174" s="109" t="s">
        <v>48</v>
      </c>
      <c r="T174" s="109" t="s">
        <v>48</v>
      </c>
      <c r="U174" s="109" t="s">
        <v>48</v>
      </c>
      <c r="V174" s="166" t="s">
        <v>48</v>
      </c>
      <c r="W174" s="165" t="s">
        <v>734</v>
      </c>
      <c r="X174" s="109" t="s">
        <v>734</v>
      </c>
      <c r="Y174" s="109" t="s">
        <v>48</v>
      </c>
      <c r="Z174" s="109" t="s">
        <v>48</v>
      </c>
      <c r="AA174" s="109" t="s">
        <v>48</v>
      </c>
      <c r="AB174" s="109" t="s">
        <v>48</v>
      </c>
      <c r="AC174" s="109" t="s">
        <v>48</v>
      </c>
      <c r="AD174" s="166" t="s">
        <v>48</v>
      </c>
      <c r="AE174" s="174" t="s">
        <v>48</v>
      </c>
      <c r="AF174" s="117" t="s">
        <v>48</v>
      </c>
      <c r="AG174" s="117" t="s">
        <v>48</v>
      </c>
      <c r="AH174" s="109" t="s">
        <v>48</v>
      </c>
      <c r="AI174" s="109" t="s">
        <v>48</v>
      </c>
      <c r="AJ174" s="109" t="s">
        <v>48</v>
      </c>
      <c r="AK174" s="166" t="s">
        <v>48</v>
      </c>
      <c r="AL174" s="165" t="s">
        <v>734</v>
      </c>
      <c r="AM174" s="109" t="s">
        <v>734</v>
      </c>
      <c r="AN174" s="109" t="s">
        <v>48</v>
      </c>
      <c r="AO174" s="109" t="s">
        <v>48</v>
      </c>
      <c r="AP174" s="109" t="s">
        <v>48</v>
      </c>
      <c r="AQ174" s="109" t="s">
        <v>48</v>
      </c>
      <c r="AR174" s="109" t="s">
        <v>48</v>
      </c>
      <c r="AS174" s="166" t="s">
        <v>48</v>
      </c>
      <c r="AT174" s="165" t="s">
        <v>856</v>
      </c>
      <c r="AU174" s="109" t="s">
        <v>857</v>
      </c>
      <c r="AV174" s="109" t="s">
        <v>48</v>
      </c>
      <c r="AW174" s="109" t="s">
        <v>48</v>
      </c>
      <c r="AX174" s="109" t="s">
        <v>48</v>
      </c>
      <c r="AY174" s="109" t="s">
        <v>48</v>
      </c>
      <c r="AZ174" s="166"/>
      <c r="BA174" s="162" t="s">
        <v>1860</v>
      </c>
      <c r="BB174" s="117" t="s">
        <v>82</v>
      </c>
      <c r="BC174" s="109" t="s">
        <v>1858</v>
      </c>
    </row>
    <row r="175" spans="1:55" ht="41.4" hidden="1">
      <c r="A175" s="109" t="s">
        <v>660</v>
      </c>
      <c r="B175" s="117" t="s">
        <v>2013</v>
      </c>
      <c r="C175" s="117" t="s">
        <v>446</v>
      </c>
      <c r="D175" s="109" t="s">
        <v>734</v>
      </c>
      <c r="E175" s="161">
        <v>15000</v>
      </c>
      <c r="F175" s="165" t="s">
        <v>1727</v>
      </c>
      <c r="G175" s="109" t="s">
        <v>1727</v>
      </c>
      <c r="H175" s="109" t="s">
        <v>1933</v>
      </c>
      <c r="I175" s="109" t="s">
        <v>2039</v>
      </c>
      <c r="J175" s="109" t="s">
        <v>1708</v>
      </c>
      <c r="K175" s="109" t="s">
        <v>1708</v>
      </c>
      <c r="L175" s="109" t="s">
        <v>1987</v>
      </c>
      <c r="M175" s="166" t="s">
        <v>1687</v>
      </c>
      <c r="N175" s="108" t="s">
        <v>48</v>
      </c>
      <c r="O175" s="109" t="s">
        <v>48</v>
      </c>
      <c r="P175" s="162" t="s">
        <v>48</v>
      </c>
      <c r="Q175" s="109" t="s">
        <v>48</v>
      </c>
      <c r="R175" s="109" t="s">
        <v>48</v>
      </c>
      <c r="S175" s="109" t="s">
        <v>48</v>
      </c>
      <c r="T175" s="109" t="s">
        <v>48</v>
      </c>
      <c r="U175" s="109" t="s">
        <v>48</v>
      </c>
      <c r="V175" s="166" t="s">
        <v>48</v>
      </c>
      <c r="W175" s="165" t="s">
        <v>734</v>
      </c>
      <c r="X175" s="109" t="s">
        <v>734</v>
      </c>
      <c r="Y175" s="109" t="s">
        <v>48</v>
      </c>
      <c r="Z175" s="109" t="s">
        <v>48</v>
      </c>
      <c r="AA175" s="109" t="s">
        <v>48</v>
      </c>
      <c r="AB175" s="109" t="s">
        <v>48</v>
      </c>
      <c r="AC175" s="109" t="s">
        <v>48</v>
      </c>
      <c r="AD175" s="166" t="s">
        <v>48</v>
      </c>
      <c r="AE175" s="174" t="s">
        <v>48</v>
      </c>
      <c r="AF175" s="117" t="s">
        <v>48</v>
      </c>
      <c r="AG175" s="117" t="s">
        <v>48</v>
      </c>
      <c r="AH175" s="109" t="s">
        <v>48</v>
      </c>
      <c r="AI175" s="109" t="s">
        <v>48</v>
      </c>
      <c r="AJ175" s="109" t="s">
        <v>48</v>
      </c>
      <c r="AK175" s="166" t="s">
        <v>48</v>
      </c>
      <c r="AL175" s="165" t="s">
        <v>734</v>
      </c>
      <c r="AM175" s="109" t="s">
        <v>734</v>
      </c>
      <c r="AN175" s="109" t="s">
        <v>48</v>
      </c>
      <c r="AO175" s="109" t="s">
        <v>48</v>
      </c>
      <c r="AP175" s="109" t="s">
        <v>48</v>
      </c>
      <c r="AQ175" s="109" t="s">
        <v>48</v>
      </c>
      <c r="AR175" s="109" t="s">
        <v>48</v>
      </c>
      <c r="AS175" s="166" t="s">
        <v>48</v>
      </c>
      <c r="AT175" s="165" t="s">
        <v>856</v>
      </c>
      <c r="AU175" s="109" t="s">
        <v>857</v>
      </c>
      <c r="AV175" s="109" t="s">
        <v>48</v>
      </c>
      <c r="AW175" s="109" t="s">
        <v>48</v>
      </c>
      <c r="AX175" s="109" t="s">
        <v>48</v>
      </c>
      <c r="AY175" s="109" t="s">
        <v>48</v>
      </c>
      <c r="AZ175" s="166"/>
      <c r="BA175" s="162" t="s">
        <v>1860</v>
      </c>
      <c r="BB175" s="117" t="s">
        <v>82</v>
      </c>
      <c r="BC175" s="109" t="s">
        <v>1858</v>
      </c>
    </row>
    <row r="176" spans="1:55" ht="41.4" hidden="1">
      <c r="A176" s="109" t="s">
        <v>660</v>
      </c>
      <c r="B176" s="117" t="s">
        <v>2013</v>
      </c>
      <c r="C176" s="117" t="s">
        <v>446</v>
      </c>
      <c r="D176" s="109" t="s">
        <v>734</v>
      </c>
      <c r="E176" s="161">
        <v>15000</v>
      </c>
      <c r="F176" s="165" t="s">
        <v>1726</v>
      </c>
      <c r="G176" s="109" t="s">
        <v>1726</v>
      </c>
      <c r="H176" s="109" t="s">
        <v>1934</v>
      </c>
      <c r="I176" s="109" t="s">
        <v>1908</v>
      </c>
      <c r="J176" s="109" t="s">
        <v>1708</v>
      </c>
      <c r="K176" s="109" t="s">
        <v>1708</v>
      </c>
      <c r="L176" s="109" t="s">
        <v>1859</v>
      </c>
      <c r="M176" s="166" t="s">
        <v>1687</v>
      </c>
      <c r="N176" s="108" t="s">
        <v>48</v>
      </c>
      <c r="O176" s="109" t="s">
        <v>48</v>
      </c>
      <c r="P176" s="162" t="s">
        <v>48</v>
      </c>
      <c r="Q176" s="109" t="s">
        <v>48</v>
      </c>
      <c r="R176" s="109" t="s">
        <v>48</v>
      </c>
      <c r="S176" s="109" t="s">
        <v>48</v>
      </c>
      <c r="T176" s="109" t="s">
        <v>48</v>
      </c>
      <c r="U176" s="109" t="s">
        <v>48</v>
      </c>
      <c r="V176" s="166" t="s">
        <v>48</v>
      </c>
      <c r="W176" s="165" t="s">
        <v>734</v>
      </c>
      <c r="X176" s="109" t="s">
        <v>734</v>
      </c>
      <c r="Y176" s="109" t="s">
        <v>48</v>
      </c>
      <c r="Z176" s="109" t="s">
        <v>48</v>
      </c>
      <c r="AA176" s="109" t="s">
        <v>48</v>
      </c>
      <c r="AB176" s="109" t="s">
        <v>48</v>
      </c>
      <c r="AC176" s="109" t="s">
        <v>48</v>
      </c>
      <c r="AD176" s="166" t="s">
        <v>48</v>
      </c>
      <c r="AE176" s="174" t="s">
        <v>48</v>
      </c>
      <c r="AF176" s="117" t="s">
        <v>48</v>
      </c>
      <c r="AG176" s="117" t="s">
        <v>48</v>
      </c>
      <c r="AH176" s="109" t="s">
        <v>48</v>
      </c>
      <c r="AI176" s="109" t="s">
        <v>48</v>
      </c>
      <c r="AJ176" s="109" t="s">
        <v>48</v>
      </c>
      <c r="AK176" s="166" t="s">
        <v>48</v>
      </c>
      <c r="AL176" s="165" t="s">
        <v>734</v>
      </c>
      <c r="AM176" s="109" t="s">
        <v>734</v>
      </c>
      <c r="AN176" s="109" t="s">
        <v>48</v>
      </c>
      <c r="AO176" s="109" t="s">
        <v>48</v>
      </c>
      <c r="AP176" s="109" t="s">
        <v>48</v>
      </c>
      <c r="AQ176" s="109" t="s">
        <v>48</v>
      </c>
      <c r="AR176" s="109" t="s">
        <v>48</v>
      </c>
      <c r="AS176" s="166" t="s">
        <v>48</v>
      </c>
      <c r="AT176" s="165" t="s">
        <v>856</v>
      </c>
      <c r="AU176" s="109" t="s">
        <v>857</v>
      </c>
      <c r="AV176" s="109" t="s">
        <v>48</v>
      </c>
      <c r="AW176" s="109" t="s">
        <v>48</v>
      </c>
      <c r="AX176" s="109" t="s">
        <v>48</v>
      </c>
      <c r="AY176" s="109" t="s">
        <v>48</v>
      </c>
      <c r="AZ176" s="166"/>
      <c r="BA176" s="162" t="s">
        <v>1860</v>
      </c>
      <c r="BB176" s="117" t="s">
        <v>82</v>
      </c>
      <c r="BC176" s="109" t="s">
        <v>1858</v>
      </c>
    </row>
    <row r="177" spans="1:55" ht="28.5" hidden="1" customHeight="1">
      <c r="A177" s="109" t="s">
        <v>660</v>
      </c>
      <c r="B177" s="117" t="s">
        <v>2013</v>
      </c>
      <c r="C177" s="109" t="s">
        <v>446</v>
      </c>
      <c r="D177" s="109" t="s">
        <v>870</v>
      </c>
      <c r="E177" s="161">
        <v>15000</v>
      </c>
      <c r="F177" s="165" t="s">
        <v>1728</v>
      </c>
      <c r="G177" s="109" t="s">
        <v>1728</v>
      </c>
      <c r="H177" s="117" t="s">
        <v>1935</v>
      </c>
      <c r="I177" s="109" t="s">
        <v>2090</v>
      </c>
      <c r="J177" s="109" t="s">
        <v>1708</v>
      </c>
      <c r="K177" s="109" t="s">
        <v>1708</v>
      </c>
      <c r="L177" s="109" t="s">
        <v>1988</v>
      </c>
      <c r="M177" s="166" t="s">
        <v>1687</v>
      </c>
      <c r="N177" s="108" t="s">
        <v>48</v>
      </c>
      <c r="O177" s="109" t="s">
        <v>48</v>
      </c>
      <c r="P177" s="162" t="s">
        <v>48</v>
      </c>
      <c r="Q177" s="109" t="s">
        <v>48</v>
      </c>
      <c r="R177" s="109" t="s">
        <v>48</v>
      </c>
      <c r="S177" s="109" t="s">
        <v>48</v>
      </c>
      <c r="T177" s="109" t="s">
        <v>48</v>
      </c>
      <c r="U177" s="109" t="s">
        <v>48</v>
      </c>
      <c r="V177" s="166" t="s">
        <v>48</v>
      </c>
      <c r="W177" s="165" t="s">
        <v>870</v>
      </c>
      <c r="X177" s="109" t="s">
        <v>870</v>
      </c>
      <c r="Y177" s="109" t="s">
        <v>48</v>
      </c>
      <c r="Z177" s="109" t="s">
        <v>48</v>
      </c>
      <c r="AA177" s="109" t="s">
        <v>48</v>
      </c>
      <c r="AB177" s="109" t="s">
        <v>48</v>
      </c>
      <c r="AC177" s="109" t="s">
        <v>48</v>
      </c>
      <c r="AD177" s="166" t="s">
        <v>48</v>
      </c>
      <c r="AE177" s="174" t="s">
        <v>65</v>
      </c>
      <c r="AF177" s="109" t="s">
        <v>48</v>
      </c>
      <c r="AG177" s="130" t="s">
        <v>48</v>
      </c>
      <c r="AH177" s="109" t="s">
        <v>48</v>
      </c>
      <c r="AI177" s="109" t="s">
        <v>48</v>
      </c>
      <c r="AJ177" s="109" t="s">
        <v>48</v>
      </c>
      <c r="AK177" s="166" t="s">
        <v>48</v>
      </c>
      <c r="AL177" s="165" t="s">
        <v>942</v>
      </c>
      <c r="AM177" s="109" t="s">
        <v>870</v>
      </c>
      <c r="AN177" s="109" t="s">
        <v>48</v>
      </c>
      <c r="AO177" s="109" t="s">
        <v>48</v>
      </c>
      <c r="AP177" s="109" t="s">
        <v>48</v>
      </c>
      <c r="AQ177" s="109" t="s">
        <v>48</v>
      </c>
      <c r="AR177" s="109" t="s">
        <v>48</v>
      </c>
      <c r="AS177" s="166" t="s">
        <v>48</v>
      </c>
      <c r="AT177" s="165" t="s">
        <v>48</v>
      </c>
      <c r="AU177" s="109" t="s">
        <v>48</v>
      </c>
      <c r="AV177" s="109" t="s">
        <v>48</v>
      </c>
      <c r="AW177" s="109" t="s">
        <v>48</v>
      </c>
      <c r="AX177" s="109" t="s">
        <v>48</v>
      </c>
      <c r="AY177" s="109" t="s">
        <v>48</v>
      </c>
      <c r="AZ177" s="166" t="s">
        <v>48</v>
      </c>
      <c r="BA177" s="162" t="s">
        <v>1860</v>
      </c>
      <c r="BB177" s="109" t="s">
        <v>82</v>
      </c>
      <c r="BC177" s="109" t="s">
        <v>1858</v>
      </c>
    </row>
    <row r="178" spans="1:55" ht="41.4" hidden="1">
      <c r="A178" s="109" t="s">
        <v>660</v>
      </c>
      <c r="B178" s="117" t="s">
        <v>2013</v>
      </c>
      <c r="C178" s="109" t="s">
        <v>446</v>
      </c>
      <c r="D178" s="109" t="s">
        <v>870</v>
      </c>
      <c r="E178" s="161">
        <v>15000</v>
      </c>
      <c r="F178" s="165" t="s">
        <v>1727</v>
      </c>
      <c r="G178" s="109" t="s">
        <v>1727</v>
      </c>
      <c r="H178" s="117" t="s">
        <v>1933</v>
      </c>
      <c r="I178" s="109" t="s">
        <v>2039</v>
      </c>
      <c r="J178" s="109" t="s">
        <v>1708</v>
      </c>
      <c r="K178" s="109" t="s">
        <v>1708</v>
      </c>
      <c r="L178" s="109" t="s">
        <v>1987</v>
      </c>
      <c r="M178" s="166" t="s">
        <v>1687</v>
      </c>
      <c r="N178" s="108" t="s">
        <v>48</v>
      </c>
      <c r="O178" s="109" t="s">
        <v>48</v>
      </c>
      <c r="P178" s="162" t="s">
        <v>48</v>
      </c>
      <c r="Q178" s="109" t="s">
        <v>48</v>
      </c>
      <c r="R178" s="109" t="s">
        <v>48</v>
      </c>
      <c r="S178" s="109" t="s">
        <v>48</v>
      </c>
      <c r="T178" s="109" t="s">
        <v>48</v>
      </c>
      <c r="U178" s="109" t="s">
        <v>48</v>
      </c>
      <c r="V178" s="166" t="s">
        <v>48</v>
      </c>
      <c r="W178" s="165" t="s">
        <v>870</v>
      </c>
      <c r="X178" s="109" t="s">
        <v>870</v>
      </c>
      <c r="Y178" s="109" t="s">
        <v>48</v>
      </c>
      <c r="Z178" s="109" t="s">
        <v>48</v>
      </c>
      <c r="AA178" s="109" t="s">
        <v>48</v>
      </c>
      <c r="AB178" s="109" t="s">
        <v>48</v>
      </c>
      <c r="AC178" s="109" t="s">
        <v>48</v>
      </c>
      <c r="AD178" s="166" t="s">
        <v>48</v>
      </c>
      <c r="AE178" s="174" t="s">
        <v>65</v>
      </c>
      <c r="AF178" s="109" t="s">
        <v>48</v>
      </c>
      <c r="AG178" s="130" t="s">
        <v>48</v>
      </c>
      <c r="AH178" s="109" t="s">
        <v>48</v>
      </c>
      <c r="AI178" s="109" t="s">
        <v>48</v>
      </c>
      <c r="AJ178" s="109" t="s">
        <v>48</v>
      </c>
      <c r="AK178" s="166" t="s">
        <v>48</v>
      </c>
      <c r="AL178" s="165" t="s">
        <v>998</v>
      </c>
      <c r="AM178" s="109" t="s">
        <v>870</v>
      </c>
      <c r="AN178" s="109" t="s">
        <v>48</v>
      </c>
      <c r="AO178" s="109" t="s">
        <v>48</v>
      </c>
      <c r="AP178" s="109" t="s">
        <v>48</v>
      </c>
      <c r="AQ178" s="109" t="s">
        <v>48</v>
      </c>
      <c r="AR178" s="109" t="s">
        <v>48</v>
      </c>
      <c r="AS178" s="166" t="s">
        <v>48</v>
      </c>
      <c r="AT178" s="165" t="s">
        <v>48</v>
      </c>
      <c r="AU178" s="109" t="s">
        <v>48</v>
      </c>
      <c r="AV178" s="109" t="s">
        <v>48</v>
      </c>
      <c r="AW178" s="109" t="s">
        <v>48</v>
      </c>
      <c r="AX178" s="109" t="s">
        <v>48</v>
      </c>
      <c r="AY178" s="109" t="s">
        <v>48</v>
      </c>
      <c r="AZ178" s="166" t="s">
        <v>48</v>
      </c>
      <c r="BA178" s="162" t="s">
        <v>1860</v>
      </c>
      <c r="BB178" s="109" t="s">
        <v>82</v>
      </c>
      <c r="BC178" s="109" t="s">
        <v>1858</v>
      </c>
    </row>
    <row r="179" spans="1:55" ht="41.4" hidden="1">
      <c r="A179" s="109" t="s">
        <v>660</v>
      </c>
      <c r="B179" s="117" t="s">
        <v>2013</v>
      </c>
      <c r="C179" s="109" t="s">
        <v>446</v>
      </c>
      <c r="D179" s="109" t="s">
        <v>870</v>
      </c>
      <c r="E179" s="161">
        <v>15000</v>
      </c>
      <c r="F179" s="165" t="s">
        <v>1726</v>
      </c>
      <c r="G179" s="109" t="s">
        <v>1726</v>
      </c>
      <c r="H179" s="117" t="s">
        <v>1934</v>
      </c>
      <c r="I179" s="117" t="s">
        <v>1908</v>
      </c>
      <c r="J179" s="109" t="s">
        <v>1708</v>
      </c>
      <c r="K179" s="109" t="s">
        <v>1708</v>
      </c>
      <c r="L179" s="109" t="s">
        <v>1859</v>
      </c>
      <c r="M179" s="166" t="s">
        <v>1687</v>
      </c>
      <c r="N179" s="108" t="s">
        <v>48</v>
      </c>
      <c r="O179" s="109" t="s">
        <v>48</v>
      </c>
      <c r="P179" s="162" t="s">
        <v>48</v>
      </c>
      <c r="Q179" s="109" t="s">
        <v>48</v>
      </c>
      <c r="R179" s="109" t="s">
        <v>48</v>
      </c>
      <c r="S179" s="109" t="s">
        <v>48</v>
      </c>
      <c r="T179" s="109" t="s">
        <v>48</v>
      </c>
      <c r="U179" s="109" t="s">
        <v>48</v>
      </c>
      <c r="V179" s="166" t="s">
        <v>48</v>
      </c>
      <c r="W179" s="165" t="s">
        <v>870</v>
      </c>
      <c r="X179" s="109" t="s">
        <v>870</v>
      </c>
      <c r="Y179" s="109" t="s">
        <v>48</v>
      </c>
      <c r="Z179" s="109" t="s">
        <v>48</v>
      </c>
      <c r="AA179" s="109" t="s">
        <v>48</v>
      </c>
      <c r="AB179" s="109" t="s">
        <v>48</v>
      </c>
      <c r="AC179" s="109" t="s">
        <v>48</v>
      </c>
      <c r="AD179" s="166" t="s">
        <v>48</v>
      </c>
      <c r="AE179" s="174" t="s">
        <v>65</v>
      </c>
      <c r="AF179" s="109" t="s">
        <v>48</v>
      </c>
      <c r="AG179" s="130" t="s">
        <v>48</v>
      </c>
      <c r="AH179" s="109" t="s">
        <v>48</v>
      </c>
      <c r="AI179" s="109" t="s">
        <v>48</v>
      </c>
      <c r="AJ179" s="109" t="s">
        <v>48</v>
      </c>
      <c r="AK179" s="166" t="s">
        <v>48</v>
      </c>
      <c r="AL179" s="165" t="s">
        <v>1601</v>
      </c>
      <c r="AM179" s="109" t="s">
        <v>870</v>
      </c>
      <c r="AN179" s="109" t="s">
        <v>48</v>
      </c>
      <c r="AO179" s="109" t="s">
        <v>48</v>
      </c>
      <c r="AP179" s="109" t="s">
        <v>48</v>
      </c>
      <c r="AQ179" s="109" t="s">
        <v>48</v>
      </c>
      <c r="AR179" s="109" t="s">
        <v>48</v>
      </c>
      <c r="AS179" s="166" t="s">
        <v>48</v>
      </c>
      <c r="AT179" s="165" t="s">
        <v>48</v>
      </c>
      <c r="AU179" s="109" t="s">
        <v>48</v>
      </c>
      <c r="AV179" s="109" t="s">
        <v>48</v>
      </c>
      <c r="AW179" s="109" t="s">
        <v>48</v>
      </c>
      <c r="AX179" s="109" t="s">
        <v>48</v>
      </c>
      <c r="AY179" s="109" t="s">
        <v>48</v>
      </c>
      <c r="AZ179" s="166" t="s">
        <v>48</v>
      </c>
      <c r="BA179" s="162" t="s">
        <v>1860</v>
      </c>
      <c r="BB179" s="109" t="s">
        <v>82</v>
      </c>
      <c r="BC179" s="109" t="s">
        <v>1858</v>
      </c>
    </row>
    <row r="180" spans="1:55" ht="28.5" hidden="1" customHeight="1">
      <c r="A180" s="109" t="s">
        <v>2344</v>
      </c>
      <c r="B180" s="117" t="s">
        <v>2021</v>
      </c>
      <c r="C180" s="109" t="s">
        <v>1685</v>
      </c>
      <c r="D180" s="109" t="s">
        <v>1686</v>
      </c>
      <c r="E180" s="161">
        <v>30000</v>
      </c>
      <c r="F180" s="165" t="s">
        <v>1686</v>
      </c>
      <c r="G180" s="109" t="s">
        <v>1686</v>
      </c>
      <c r="H180" s="109" t="s">
        <v>48</v>
      </c>
      <c r="I180" s="109" t="s">
        <v>48</v>
      </c>
      <c r="J180" s="109" t="s">
        <v>48</v>
      </c>
      <c r="K180" s="109" t="s">
        <v>48</v>
      </c>
      <c r="L180" s="109" t="s">
        <v>48</v>
      </c>
      <c r="M180" s="166" t="s">
        <v>1687</v>
      </c>
      <c r="N180" s="108" t="s">
        <v>48</v>
      </c>
      <c r="O180" s="109" t="s">
        <v>48</v>
      </c>
      <c r="P180" s="162" t="s">
        <v>48</v>
      </c>
      <c r="Q180" s="109" t="s">
        <v>48</v>
      </c>
      <c r="R180" s="109" t="s">
        <v>48</v>
      </c>
      <c r="S180" s="109" t="s">
        <v>48</v>
      </c>
      <c r="T180" s="109" t="s">
        <v>48</v>
      </c>
      <c r="U180" s="109" t="s">
        <v>48</v>
      </c>
      <c r="V180" s="166" t="s">
        <v>48</v>
      </c>
      <c r="W180" s="165" t="s">
        <v>1686</v>
      </c>
      <c r="X180" s="109" t="s">
        <v>1686</v>
      </c>
      <c r="Y180" s="109" t="s">
        <v>48</v>
      </c>
      <c r="Z180" s="109" t="s">
        <v>48</v>
      </c>
      <c r="AA180" s="109" t="s">
        <v>48</v>
      </c>
      <c r="AB180" s="109" t="s">
        <v>48</v>
      </c>
      <c r="AC180" s="109" t="s">
        <v>48</v>
      </c>
      <c r="AD180" s="166" t="s">
        <v>48</v>
      </c>
      <c r="AE180" s="174" t="s">
        <v>48</v>
      </c>
      <c r="AF180" s="117" t="s">
        <v>48</v>
      </c>
      <c r="AG180" s="117" t="s">
        <v>48</v>
      </c>
      <c r="AH180" s="109" t="s">
        <v>48</v>
      </c>
      <c r="AI180" s="117" t="s">
        <v>48</v>
      </c>
      <c r="AJ180" s="117" t="s">
        <v>48</v>
      </c>
      <c r="AK180" s="182" t="s">
        <v>48</v>
      </c>
      <c r="AL180" s="165" t="s">
        <v>1686</v>
      </c>
      <c r="AM180" s="109" t="s">
        <v>1686</v>
      </c>
      <c r="AN180" s="109" t="s">
        <v>48</v>
      </c>
      <c r="AO180" s="109" t="s">
        <v>48</v>
      </c>
      <c r="AP180" s="109" t="s">
        <v>48</v>
      </c>
      <c r="AQ180" s="109" t="s">
        <v>48</v>
      </c>
      <c r="AR180" s="109" t="s">
        <v>48</v>
      </c>
      <c r="AS180" s="166" t="s">
        <v>1687</v>
      </c>
      <c r="AT180" s="165" t="s">
        <v>48</v>
      </c>
      <c r="AU180" s="109" t="s">
        <v>48</v>
      </c>
      <c r="AV180" s="109" t="s">
        <v>48</v>
      </c>
      <c r="AW180" s="109" t="s">
        <v>48</v>
      </c>
      <c r="AX180" s="109" t="s">
        <v>48</v>
      </c>
      <c r="AY180" s="109" t="s">
        <v>48</v>
      </c>
      <c r="AZ180" s="166" t="s">
        <v>48</v>
      </c>
      <c r="BA180" s="162" t="s">
        <v>48</v>
      </c>
      <c r="BB180" s="109" t="s">
        <v>49</v>
      </c>
      <c r="BC180" s="183" t="s">
        <v>1689</v>
      </c>
    </row>
    <row r="181" spans="1:55" ht="41.4" hidden="1">
      <c r="A181" s="109" t="s">
        <v>660</v>
      </c>
      <c r="B181" s="117" t="s">
        <v>2013</v>
      </c>
      <c r="C181" s="117" t="s">
        <v>216</v>
      </c>
      <c r="D181" s="109" t="s">
        <v>1906</v>
      </c>
      <c r="E181" s="161">
        <v>15000</v>
      </c>
      <c r="F181" s="165" t="s">
        <v>1729</v>
      </c>
      <c r="G181" s="109" t="s">
        <v>1729</v>
      </c>
      <c r="H181" s="109" t="s">
        <v>1932</v>
      </c>
      <c r="I181" s="109" t="s">
        <v>2090</v>
      </c>
      <c r="J181" s="109" t="s">
        <v>1708</v>
      </c>
      <c r="K181" s="109" t="s">
        <v>1708</v>
      </c>
      <c r="L181" s="109" t="s">
        <v>1986</v>
      </c>
      <c r="M181" s="166" t="s">
        <v>1687</v>
      </c>
      <c r="N181" s="108" t="s">
        <v>48</v>
      </c>
      <c r="O181" s="109" t="s">
        <v>48</v>
      </c>
      <c r="P181" s="162" t="s">
        <v>48</v>
      </c>
      <c r="Q181" s="109" t="s">
        <v>48</v>
      </c>
      <c r="R181" s="109" t="s">
        <v>48</v>
      </c>
      <c r="S181" s="109" t="s">
        <v>48</v>
      </c>
      <c r="T181" s="109" t="s">
        <v>48</v>
      </c>
      <c r="U181" s="109" t="s">
        <v>48</v>
      </c>
      <c r="V181" s="166" t="s">
        <v>48</v>
      </c>
      <c r="W181" s="165" t="s">
        <v>1906</v>
      </c>
      <c r="X181" s="109" t="s">
        <v>1906</v>
      </c>
      <c r="Y181" s="117" t="s">
        <v>48</v>
      </c>
      <c r="Z181" s="117" t="s">
        <v>48</v>
      </c>
      <c r="AA181" s="117" t="s">
        <v>48</v>
      </c>
      <c r="AB181" s="117" t="s">
        <v>48</v>
      </c>
      <c r="AC181" s="117" t="s">
        <v>48</v>
      </c>
      <c r="AD181" s="182" t="s">
        <v>48</v>
      </c>
      <c r="AE181" s="174" t="s">
        <v>65</v>
      </c>
      <c r="AF181" s="109" t="s">
        <v>48</v>
      </c>
      <c r="AG181" s="109" t="s">
        <v>520</v>
      </c>
      <c r="AH181" s="109" t="s">
        <v>48</v>
      </c>
      <c r="AI181" s="109" t="s">
        <v>48</v>
      </c>
      <c r="AJ181" s="109" t="s">
        <v>521</v>
      </c>
      <c r="AK181" s="166" t="s">
        <v>522</v>
      </c>
      <c r="AL181" s="165" t="s">
        <v>1906</v>
      </c>
      <c r="AM181" s="109" t="s">
        <v>1906</v>
      </c>
      <c r="AN181" s="109" t="s">
        <v>48</v>
      </c>
      <c r="AO181" s="109" t="s">
        <v>48</v>
      </c>
      <c r="AP181" s="109" t="s">
        <v>48</v>
      </c>
      <c r="AQ181" s="109" t="s">
        <v>48</v>
      </c>
      <c r="AR181" s="109" t="s">
        <v>48</v>
      </c>
      <c r="AS181" s="166" t="s">
        <v>48</v>
      </c>
      <c r="AT181" s="165" t="s">
        <v>48</v>
      </c>
      <c r="AU181" s="109" t="s">
        <v>48</v>
      </c>
      <c r="AV181" s="109" t="s">
        <v>48</v>
      </c>
      <c r="AW181" s="109" t="s">
        <v>48</v>
      </c>
      <c r="AX181" s="109" t="s">
        <v>48</v>
      </c>
      <c r="AY181" s="109" t="s">
        <v>48</v>
      </c>
      <c r="AZ181" s="166" t="s">
        <v>48</v>
      </c>
      <c r="BA181" s="162" t="s">
        <v>1860</v>
      </c>
      <c r="BB181" s="117" t="s">
        <v>199</v>
      </c>
      <c r="BC181" s="109" t="s">
        <v>1857</v>
      </c>
    </row>
    <row r="182" spans="1:55" ht="41.4" hidden="1">
      <c r="A182" s="109" t="s">
        <v>660</v>
      </c>
      <c r="B182" s="117" t="s">
        <v>2013</v>
      </c>
      <c r="C182" s="117" t="s">
        <v>216</v>
      </c>
      <c r="D182" s="109" t="s">
        <v>1906</v>
      </c>
      <c r="E182" s="161">
        <v>15000</v>
      </c>
      <c r="F182" s="165" t="s">
        <v>1727</v>
      </c>
      <c r="G182" s="109" t="s">
        <v>1727</v>
      </c>
      <c r="H182" s="109" t="s">
        <v>1933</v>
      </c>
      <c r="I182" s="109" t="s">
        <v>2039</v>
      </c>
      <c r="J182" s="109" t="s">
        <v>1708</v>
      </c>
      <c r="K182" s="109" t="s">
        <v>1708</v>
      </c>
      <c r="L182" s="109" t="s">
        <v>1987</v>
      </c>
      <c r="M182" s="166" t="s">
        <v>1687</v>
      </c>
      <c r="N182" s="108" t="s">
        <v>48</v>
      </c>
      <c r="O182" s="109" t="s">
        <v>48</v>
      </c>
      <c r="P182" s="162" t="s">
        <v>48</v>
      </c>
      <c r="Q182" s="109" t="s">
        <v>48</v>
      </c>
      <c r="R182" s="109" t="s">
        <v>48</v>
      </c>
      <c r="S182" s="109" t="s">
        <v>48</v>
      </c>
      <c r="T182" s="109" t="s">
        <v>48</v>
      </c>
      <c r="U182" s="109" t="s">
        <v>48</v>
      </c>
      <c r="V182" s="166" t="s">
        <v>48</v>
      </c>
      <c r="W182" s="165" t="s">
        <v>1906</v>
      </c>
      <c r="X182" s="109" t="s">
        <v>1906</v>
      </c>
      <c r="Y182" s="117" t="s">
        <v>48</v>
      </c>
      <c r="Z182" s="117" t="s">
        <v>48</v>
      </c>
      <c r="AA182" s="117" t="s">
        <v>48</v>
      </c>
      <c r="AB182" s="117" t="s">
        <v>48</v>
      </c>
      <c r="AC182" s="117" t="s">
        <v>48</v>
      </c>
      <c r="AD182" s="182" t="s">
        <v>48</v>
      </c>
      <c r="AE182" s="174" t="s">
        <v>65</v>
      </c>
      <c r="AF182" s="109" t="s">
        <v>48</v>
      </c>
      <c r="AG182" s="109" t="s">
        <v>520</v>
      </c>
      <c r="AH182" s="109" t="s">
        <v>48</v>
      </c>
      <c r="AI182" s="109" t="s">
        <v>48</v>
      </c>
      <c r="AJ182" s="109" t="s">
        <v>521</v>
      </c>
      <c r="AK182" s="166" t="s">
        <v>522</v>
      </c>
      <c r="AL182" s="165" t="s">
        <v>1906</v>
      </c>
      <c r="AM182" s="109" t="s">
        <v>1906</v>
      </c>
      <c r="AN182" s="109" t="s">
        <v>48</v>
      </c>
      <c r="AO182" s="109" t="s">
        <v>48</v>
      </c>
      <c r="AP182" s="109" t="s">
        <v>48</v>
      </c>
      <c r="AQ182" s="109" t="s">
        <v>48</v>
      </c>
      <c r="AR182" s="109" t="s">
        <v>48</v>
      </c>
      <c r="AS182" s="166" t="s">
        <v>48</v>
      </c>
      <c r="AT182" s="165" t="s">
        <v>48</v>
      </c>
      <c r="AU182" s="109" t="s">
        <v>48</v>
      </c>
      <c r="AV182" s="109" t="s">
        <v>48</v>
      </c>
      <c r="AW182" s="109" t="s">
        <v>48</v>
      </c>
      <c r="AX182" s="109" t="s">
        <v>48</v>
      </c>
      <c r="AY182" s="109" t="s">
        <v>48</v>
      </c>
      <c r="AZ182" s="166" t="s">
        <v>48</v>
      </c>
      <c r="BA182" s="162" t="s">
        <v>1860</v>
      </c>
      <c r="BB182" s="117" t="s">
        <v>199</v>
      </c>
      <c r="BC182" s="109" t="s">
        <v>1857</v>
      </c>
    </row>
    <row r="183" spans="1:55" ht="28.5" hidden="1" customHeight="1">
      <c r="A183" s="109" t="s">
        <v>660</v>
      </c>
      <c r="B183" s="117" t="s">
        <v>2013</v>
      </c>
      <c r="C183" s="117" t="s">
        <v>216</v>
      </c>
      <c r="D183" s="109" t="s">
        <v>1906</v>
      </c>
      <c r="E183" s="161">
        <v>15000</v>
      </c>
      <c r="F183" s="165" t="s">
        <v>1726</v>
      </c>
      <c r="G183" s="109" t="s">
        <v>1726</v>
      </c>
      <c r="H183" s="109" t="s">
        <v>1934</v>
      </c>
      <c r="I183" s="109" t="s">
        <v>1908</v>
      </c>
      <c r="J183" s="109" t="s">
        <v>1708</v>
      </c>
      <c r="K183" s="109" t="s">
        <v>1708</v>
      </c>
      <c r="L183" s="109" t="s">
        <v>1859</v>
      </c>
      <c r="M183" s="166" t="s">
        <v>1687</v>
      </c>
      <c r="N183" s="108" t="s">
        <v>48</v>
      </c>
      <c r="O183" s="109" t="s">
        <v>48</v>
      </c>
      <c r="P183" s="162" t="s">
        <v>48</v>
      </c>
      <c r="Q183" s="109" t="s">
        <v>48</v>
      </c>
      <c r="R183" s="109" t="s">
        <v>48</v>
      </c>
      <c r="S183" s="109" t="s">
        <v>48</v>
      </c>
      <c r="T183" s="109" t="s">
        <v>48</v>
      </c>
      <c r="U183" s="109" t="s">
        <v>48</v>
      </c>
      <c r="V183" s="166" t="s">
        <v>48</v>
      </c>
      <c r="W183" s="165" t="s">
        <v>1906</v>
      </c>
      <c r="X183" s="109" t="s">
        <v>1906</v>
      </c>
      <c r="Y183" s="117" t="s">
        <v>48</v>
      </c>
      <c r="Z183" s="117" t="s">
        <v>48</v>
      </c>
      <c r="AA183" s="117" t="s">
        <v>48</v>
      </c>
      <c r="AB183" s="117" t="s">
        <v>48</v>
      </c>
      <c r="AC183" s="117" t="s">
        <v>48</v>
      </c>
      <c r="AD183" s="182" t="s">
        <v>48</v>
      </c>
      <c r="AE183" s="174" t="s">
        <v>65</v>
      </c>
      <c r="AF183" s="109" t="s">
        <v>48</v>
      </c>
      <c r="AG183" s="109" t="s">
        <v>520</v>
      </c>
      <c r="AH183" s="109" t="s">
        <v>48</v>
      </c>
      <c r="AI183" s="109" t="s">
        <v>48</v>
      </c>
      <c r="AJ183" s="109" t="s">
        <v>521</v>
      </c>
      <c r="AK183" s="166" t="s">
        <v>522</v>
      </c>
      <c r="AL183" s="165" t="s">
        <v>1906</v>
      </c>
      <c r="AM183" s="109" t="s">
        <v>1906</v>
      </c>
      <c r="AN183" s="109" t="s">
        <v>48</v>
      </c>
      <c r="AO183" s="109" t="s">
        <v>48</v>
      </c>
      <c r="AP183" s="109" t="s">
        <v>48</v>
      </c>
      <c r="AQ183" s="109" t="s">
        <v>48</v>
      </c>
      <c r="AR183" s="109" t="s">
        <v>48</v>
      </c>
      <c r="AS183" s="166" t="s">
        <v>48</v>
      </c>
      <c r="AT183" s="165" t="s">
        <v>48</v>
      </c>
      <c r="AU183" s="109" t="s">
        <v>48</v>
      </c>
      <c r="AV183" s="109" t="s">
        <v>48</v>
      </c>
      <c r="AW183" s="109" t="s">
        <v>48</v>
      </c>
      <c r="AX183" s="109" t="s">
        <v>48</v>
      </c>
      <c r="AY183" s="109" t="s">
        <v>48</v>
      </c>
      <c r="AZ183" s="166" t="s">
        <v>48</v>
      </c>
      <c r="BA183" s="162" t="s">
        <v>1860</v>
      </c>
      <c r="BB183" s="117" t="s">
        <v>199</v>
      </c>
      <c r="BC183" s="109" t="s">
        <v>1857</v>
      </c>
    </row>
    <row r="184" spans="1:55" ht="41.4" hidden="1">
      <c r="A184" s="109" t="s">
        <v>660</v>
      </c>
      <c r="B184" s="117" t="s">
        <v>2013</v>
      </c>
      <c r="C184" s="117" t="s">
        <v>659</v>
      </c>
      <c r="D184" s="109" t="s">
        <v>664</v>
      </c>
      <c r="E184" s="161">
        <v>15000</v>
      </c>
      <c r="F184" s="165" t="s">
        <v>1729</v>
      </c>
      <c r="G184" s="109" t="s">
        <v>1729</v>
      </c>
      <c r="H184" s="109" t="s">
        <v>1932</v>
      </c>
      <c r="I184" s="109" t="s">
        <v>2090</v>
      </c>
      <c r="J184" s="109" t="s">
        <v>1708</v>
      </c>
      <c r="K184" s="109" t="s">
        <v>1708</v>
      </c>
      <c r="L184" s="109" t="s">
        <v>1986</v>
      </c>
      <c r="M184" s="166" t="s">
        <v>1687</v>
      </c>
      <c r="N184" s="108" t="s">
        <v>48</v>
      </c>
      <c r="O184" s="109" t="s">
        <v>48</v>
      </c>
      <c r="P184" s="162" t="s">
        <v>676</v>
      </c>
      <c r="Q184" s="109" t="s">
        <v>48</v>
      </c>
      <c r="R184" s="109" t="s">
        <v>48</v>
      </c>
      <c r="S184" s="109" t="s">
        <v>48</v>
      </c>
      <c r="T184" s="109" t="s">
        <v>48</v>
      </c>
      <c r="U184" s="109" t="s">
        <v>48</v>
      </c>
      <c r="V184" s="166" t="s">
        <v>48</v>
      </c>
      <c r="W184" s="165" t="s">
        <v>664</v>
      </c>
      <c r="X184" s="109" t="s">
        <v>664</v>
      </c>
      <c r="Y184" s="117" t="s">
        <v>48</v>
      </c>
      <c r="Z184" s="117" t="s">
        <v>48</v>
      </c>
      <c r="AA184" s="117" t="s">
        <v>48</v>
      </c>
      <c r="AB184" s="117" t="s">
        <v>48</v>
      </c>
      <c r="AC184" s="117" t="s">
        <v>48</v>
      </c>
      <c r="AD184" s="182" t="s">
        <v>48</v>
      </c>
      <c r="AE184" s="174" t="s">
        <v>48</v>
      </c>
      <c r="AF184" s="109" t="s">
        <v>48</v>
      </c>
      <c r="AG184" s="109" t="s">
        <v>48</v>
      </c>
      <c r="AH184" s="109" t="s">
        <v>48</v>
      </c>
      <c r="AI184" s="109" t="s">
        <v>48</v>
      </c>
      <c r="AJ184" s="109" t="s">
        <v>48</v>
      </c>
      <c r="AK184" s="166" t="s">
        <v>48</v>
      </c>
      <c r="AL184" s="165" t="s">
        <v>664</v>
      </c>
      <c r="AM184" s="109" t="s">
        <v>664</v>
      </c>
      <c r="AN184" s="109" t="s">
        <v>48</v>
      </c>
      <c r="AO184" s="109" t="s">
        <v>48</v>
      </c>
      <c r="AP184" s="109" t="s">
        <v>48</v>
      </c>
      <c r="AQ184" s="109" t="s">
        <v>48</v>
      </c>
      <c r="AR184" s="109" t="s">
        <v>48</v>
      </c>
      <c r="AS184" s="166" t="s">
        <v>48</v>
      </c>
      <c r="AT184" s="165" t="s">
        <v>48</v>
      </c>
      <c r="AU184" s="109" t="s">
        <v>48</v>
      </c>
      <c r="AV184" s="109" t="s">
        <v>48</v>
      </c>
      <c r="AW184" s="109" t="s">
        <v>48</v>
      </c>
      <c r="AX184" s="109" t="s">
        <v>48</v>
      </c>
      <c r="AY184" s="109" t="s">
        <v>48</v>
      </c>
      <c r="AZ184" s="166" t="s">
        <v>48</v>
      </c>
      <c r="BA184" s="162" t="s">
        <v>1860</v>
      </c>
      <c r="BB184" s="117" t="s">
        <v>677</v>
      </c>
      <c r="BC184" s="109" t="s">
        <v>1857</v>
      </c>
    </row>
    <row r="185" spans="1:55" ht="41.4" hidden="1">
      <c r="A185" s="109" t="s">
        <v>660</v>
      </c>
      <c r="B185" s="117" t="s">
        <v>2013</v>
      </c>
      <c r="C185" s="117" t="s">
        <v>659</v>
      </c>
      <c r="D185" s="109" t="s">
        <v>664</v>
      </c>
      <c r="E185" s="161">
        <v>15000</v>
      </c>
      <c r="F185" s="165" t="s">
        <v>1727</v>
      </c>
      <c r="G185" s="109" t="s">
        <v>1727</v>
      </c>
      <c r="H185" s="109" t="s">
        <v>1933</v>
      </c>
      <c r="I185" s="109" t="s">
        <v>2039</v>
      </c>
      <c r="J185" s="109" t="s">
        <v>1708</v>
      </c>
      <c r="K185" s="109" t="s">
        <v>1708</v>
      </c>
      <c r="L185" s="109" t="s">
        <v>1987</v>
      </c>
      <c r="M185" s="166" t="s">
        <v>1687</v>
      </c>
      <c r="N185" s="108" t="s">
        <v>48</v>
      </c>
      <c r="O185" s="109" t="s">
        <v>48</v>
      </c>
      <c r="P185" s="162" t="s">
        <v>676</v>
      </c>
      <c r="Q185" s="109" t="s">
        <v>48</v>
      </c>
      <c r="R185" s="109" t="s">
        <v>48</v>
      </c>
      <c r="S185" s="109" t="s">
        <v>48</v>
      </c>
      <c r="T185" s="109" t="s">
        <v>48</v>
      </c>
      <c r="U185" s="109" t="s">
        <v>48</v>
      </c>
      <c r="V185" s="166" t="s">
        <v>48</v>
      </c>
      <c r="W185" s="165" t="s">
        <v>664</v>
      </c>
      <c r="X185" s="109" t="s">
        <v>664</v>
      </c>
      <c r="Y185" s="117" t="s">
        <v>48</v>
      </c>
      <c r="Z185" s="117" t="s">
        <v>48</v>
      </c>
      <c r="AA185" s="117" t="s">
        <v>48</v>
      </c>
      <c r="AB185" s="117" t="s">
        <v>48</v>
      </c>
      <c r="AC185" s="117" t="s">
        <v>48</v>
      </c>
      <c r="AD185" s="182" t="s">
        <v>48</v>
      </c>
      <c r="AE185" s="174" t="s">
        <v>48</v>
      </c>
      <c r="AF185" s="109" t="s">
        <v>48</v>
      </c>
      <c r="AG185" s="109" t="s">
        <v>48</v>
      </c>
      <c r="AH185" s="109" t="s">
        <v>48</v>
      </c>
      <c r="AI185" s="109" t="s">
        <v>48</v>
      </c>
      <c r="AJ185" s="109" t="s">
        <v>48</v>
      </c>
      <c r="AK185" s="166" t="s">
        <v>48</v>
      </c>
      <c r="AL185" s="165" t="s">
        <v>664</v>
      </c>
      <c r="AM185" s="109" t="s">
        <v>664</v>
      </c>
      <c r="AN185" s="109" t="s">
        <v>48</v>
      </c>
      <c r="AO185" s="109" t="s">
        <v>48</v>
      </c>
      <c r="AP185" s="109" t="s">
        <v>48</v>
      </c>
      <c r="AQ185" s="109" t="s">
        <v>48</v>
      </c>
      <c r="AR185" s="109" t="s">
        <v>48</v>
      </c>
      <c r="AS185" s="166" t="s">
        <v>48</v>
      </c>
      <c r="AT185" s="165" t="s">
        <v>48</v>
      </c>
      <c r="AU185" s="109" t="s">
        <v>48</v>
      </c>
      <c r="AV185" s="109" t="s">
        <v>48</v>
      </c>
      <c r="AW185" s="109" t="s">
        <v>48</v>
      </c>
      <c r="AX185" s="109" t="s">
        <v>48</v>
      </c>
      <c r="AY185" s="109" t="s">
        <v>48</v>
      </c>
      <c r="AZ185" s="166" t="s">
        <v>48</v>
      </c>
      <c r="BA185" s="162" t="s">
        <v>1860</v>
      </c>
      <c r="BB185" s="117" t="s">
        <v>677</v>
      </c>
      <c r="BC185" s="109" t="s">
        <v>1857</v>
      </c>
    </row>
    <row r="186" spans="1:55" ht="75" hidden="1" customHeight="1">
      <c r="A186" s="109" t="s">
        <v>660</v>
      </c>
      <c r="B186" s="117" t="s">
        <v>2013</v>
      </c>
      <c r="C186" s="117" t="s">
        <v>659</v>
      </c>
      <c r="D186" s="109" t="s">
        <v>664</v>
      </c>
      <c r="E186" s="161">
        <v>15000</v>
      </c>
      <c r="F186" s="165" t="s">
        <v>1726</v>
      </c>
      <c r="G186" s="109" t="s">
        <v>1726</v>
      </c>
      <c r="H186" s="109" t="s">
        <v>1934</v>
      </c>
      <c r="I186" s="109" t="s">
        <v>1908</v>
      </c>
      <c r="J186" s="109" t="s">
        <v>1708</v>
      </c>
      <c r="K186" s="109" t="s">
        <v>1708</v>
      </c>
      <c r="L186" s="109" t="s">
        <v>1859</v>
      </c>
      <c r="M186" s="166" t="s">
        <v>1687</v>
      </c>
      <c r="N186" s="108" t="s">
        <v>48</v>
      </c>
      <c r="O186" s="109" t="s">
        <v>48</v>
      </c>
      <c r="P186" s="162" t="s">
        <v>676</v>
      </c>
      <c r="Q186" s="109" t="s">
        <v>48</v>
      </c>
      <c r="R186" s="109" t="s">
        <v>48</v>
      </c>
      <c r="S186" s="109" t="s">
        <v>48</v>
      </c>
      <c r="T186" s="109" t="s">
        <v>48</v>
      </c>
      <c r="U186" s="109" t="s">
        <v>48</v>
      </c>
      <c r="V186" s="166" t="s">
        <v>48</v>
      </c>
      <c r="W186" s="165" t="s">
        <v>664</v>
      </c>
      <c r="X186" s="109" t="s">
        <v>664</v>
      </c>
      <c r="Y186" s="117" t="s">
        <v>48</v>
      </c>
      <c r="Z186" s="117" t="s">
        <v>48</v>
      </c>
      <c r="AA186" s="117" t="s">
        <v>48</v>
      </c>
      <c r="AB186" s="117" t="s">
        <v>48</v>
      </c>
      <c r="AC186" s="117" t="s">
        <v>48</v>
      </c>
      <c r="AD186" s="182" t="s">
        <v>48</v>
      </c>
      <c r="AE186" s="174" t="s">
        <v>48</v>
      </c>
      <c r="AF186" s="109" t="s">
        <v>48</v>
      </c>
      <c r="AG186" s="109" t="s">
        <v>48</v>
      </c>
      <c r="AH186" s="109" t="s">
        <v>48</v>
      </c>
      <c r="AI186" s="109" t="s">
        <v>48</v>
      </c>
      <c r="AJ186" s="109" t="s">
        <v>48</v>
      </c>
      <c r="AK186" s="166" t="s">
        <v>48</v>
      </c>
      <c r="AL186" s="165" t="s">
        <v>664</v>
      </c>
      <c r="AM186" s="109" t="s">
        <v>664</v>
      </c>
      <c r="AN186" s="109" t="s">
        <v>48</v>
      </c>
      <c r="AO186" s="109" t="s">
        <v>48</v>
      </c>
      <c r="AP186" s="109" t="s">
        <v>48</v>
      </c>
      <c r="AQ186" s="109" t="s">
        <v>48</v>
      </c>
      <c r="AR186" s="109" t="s">
        <v>48</v>
      </c>
      <c r="AS186" s="166" t="s">
        <v>48</v>
      </c>
      <c r="AT186" s="165" t="s">
        <v>48</v>
      </c>
      <c r="AU186" s="109" t="s">
        <v>48</v>
      </c>
      <c r="AV186" s="109" t="s">
        <v>48</v>
      </c>
      <c r="AW186" s="109" t="s">
        <v>48</v>
      </c>
      <c r="AX186" s="109" t="s">
        <v>48</v>
      </c>
      <c r="AY186" s="109" t="s">
        <v>48</v>
      </c>
      <c r="AZ186" s="166" t="s">
        <v>48</v>
      </c>
      <c r="BA186" s="162" t="s">
        <v>1860</v>
      </c>
      <c r="BB186" s="117" t="s">
        <v>677</v>
      </c>
      <c r="BC186" s="109" t="s">
        <v>1857</v>
      </c>
    </row>
    <row r="187" spans="1:55" ht="75" hidden="1" customHeight="1">
      <c r="A187" s="109" t="s">
        <v>660</v>
      </c>
      <c r="B187" s="117" t="s">
        <v>2013</v>
      </c>
      <c r="C187" s="117" t="s">
        <v>659</v>
      </c>
      <c r="D187" s="109" t="s">
        <v>666</v>
      </c>
      <c r="E187" s="161">
        <v>15000</v>
      </c>
      <c r="F187" s="165" t="s">
        <v>1729</v>
      </c>
      <c r="G187" s="109" t="s">
        <v>1729</v>
      </c>
      <c r="H187" s="109" t="s">
        <v>1932</v>
      </c>
      <c r="I187" s="109" t="s">
        <v>2090</v>
      </c>
      <c r="J187" s="109" t="s">
        <v>1708</v>
      </c>
      <c r="K187" s="109" t="s">
        <v>1708</v>
      </c>
      <c r="L187" s="109" t="s">
        <v>1986</v>
      </c>
      <c r="M187" s="166" t="s">
        <v>1687</v>
      </c>
      <c r="N187" s="108" t="s">
        <v>48</v>
      </c>
      <c r="O187" s="109" t="s">
        <v>48</v>
      </c>
      <c r="P187" s="162" t="s">
        <v>676</v>
      </c>
      <c r="Q187" s="109" t="s">
        <v>48</v>
      </c>
      <c r="R187" s="109" t="s">
        <v>48</v>
      </c>
      <c r="S187" s="109" t="s">
        <v>48</v>
      </c>
      <c r="T187" s="109" t="s">
        <v>48</v>
      </c>
      <c r="U187" s="109" t="s">
        <v>48</v>
      </c>
      <c r="V187" s="166" t="s">
        <v>48</v>
      </c>
      <c r="W187" s="165" t="s">
        <v>666</v>
      </c>
      <c r="X187" s="109" t="s">
        <v>666</v>
      </c>
      <c r="Y187" s="117" t="s">
        <v>48</v>
      </c>
      <c r="Z187" s="117" t="s">
        <v>48</v>
      </c>
      <c r="AA187" s="117" t="s">
        <v>48</v>
      </c>
      <c r="AB187" s="117" t="s">
        <v>48</v>
      </c>
      <c r="AC187" s="117" t="s">
        <v>48</v>
      </c>
      <c r="AD187" s="182" t="s">
        <v>48</v>
      </c>
      <c r="AE187" s="174" t="s">
        <v>48</v>
      </c>
      <c r="AF187" s="109" t="s">
        <v>48</v>
      </c>
      <c r="AG187" s="109" t="s">
        <v>48</v>
      </c>
      <c r="AH187" s="109" t="s">
        <v>48</v>
      </c>
      <c r="AI187" s="109" t="s">
        <v>48</v>
      </c>
      <c r="AJ187" s="109" t="s">
        <v>48</v>
      </c>
      <c r="AK187" s="166" t="s">
        <v>48</v>
      </c>
      <c r="AL187" s="165" t="s">
        <v>666</v>
      </c>
      <c r="AM187" s="109" t="s">
        <v>666</v>
      </c>
      <c r="AN187" s="109" t="s">
        <v>48</v>
      </c>
      <c r="AO187" s="109" t="s">
        <v>48</v>
      </c>
      <c r="AP187" s="109" t="s">
        <v>48</v>
      </c>
      <c r="AQ187" s="109" t="s">
        <v>48</v>
      </c>
      <c r="AR187" s="109" t="s">
        <v>48</v>
      </c>
      <c r="AS187" s="166" t="s">
        <v>48</v>
      </c>
      <c r="AT187" s="165" t="s">
        <v>48</v>
      </c>
      <c r="AU187" s="109" t="s">
        <v>48</v>
      </c>
      <c r="AV187" s="109" t="s">
        <v>48</v>
      </c>
      <c r="AW187" s="109" t="s">
        <v>48</v>
      </c>
      <c r="AX187" s="109" t="s">
        <v>48</v>
      </c>
      <c r="AY187" s="109" t="s">
        <v>48</v>
      </c>
      <c r="AZ187" s="166" t="s">
        <v>48</v>
      </c>
      <c r="BA187" s="162" t="s">
        <v>1860</v>
      </c>
      <c r="BB187" s="117" t="s">
        <v>677</v>
      </c>
      <c r="BC187" s="109" t="s">
        <v>1857</v>
      </c>
    </row>
    <row r="188" spans="1:55" ht="75" hidden="1" customHeight="1">
      <c r="A188" s="109" t="s">
        <v>660</v>
      </c>
      <c r="B188" s="117" t="s">
        <v>2013</v>
      </c>
      <c r="C188" s="117" t="s">
        <v>659</v>
      </c>
      <c r="D188" s="109" t="s">
        <v>666</v>
      </c>
      <c r="E188" s="161">
        <v>15000</v>
      </c>
      <c r="F188" s="165" t="s">
        <v>1727</v>
      </c>
      <c r="G188" s="109" t="s">
        <v>1727</v>
      </c>
      <c r="H188" s="109" t="s">
        <v>1933</v>
      </c>
      <c r="I188" s="109" t="s">
        <v>2039</v>
      </c>
      <c r="J188" s="109" t="s">
        <v>1708</v>
      </c>
      <c r="K188" s="109" t="s">
        <v>1708</v>
      </c>
      <c r="L188" s="109" t="s">
        <v>1987</v>
      </c>
      <c r="M188" s="166" t="s">
        <v>1687</v>
      </c>
      <c r="N188" s="108" t="s">
        <v>48</v>
      </c>
      <c r="O188" s="109" t="s">
        <v>48</v>
      </c>
      <c r="P188" s="162" t="s">
        <v>676</v>
      </c>
      <c r="Q188" s="109" t="s">
        <v>48</v>
      </c>
      <c r="R188" s="109" t="s">
        <v>48</v>
      </c>
      <c r="S188" s="109" t="s">
        <v>48</v>
      </c>
      <c r="T188" s="109" t="s">
        <v>48</v>
      </c>
      <c r="U188" s="109" t="s">
        <v>48</v>
      </c>
      <c r="V188" s="166" t="s">
        <v>48</v>
      </c>
      <c r="W188" s="165" t="s">
        <v>666</v>
      </c>
      <c r="X188" s="109" t="s">
        <v>666</v>
      </c>
      <c r="Y188" s="117" t="s">
        <v>48</v>
      </c>
      <c r="Z188" s="117" t="s">
        <v>48</v>
      </c>
      <c r="AA188" s="117" t="s">
        <v>48</v>
      </c>
      <c r="AB188" s="117" t="s">
        <v>48</v>
      </c>
      <c r="AC188" s="117" t="s">
        <v>48</v>
      </c>
      <c r="AD188" s="182" t="s">
        <v>48</v>
      </c>
      <c r="AE188" s="174" t="s">
        <v>48</v>
      </c>
      <c r="AF188" s="109" t="s">
        <v>48</v>
      </c>
      <c r="AG188" s="109" t="s">
        <v>48</v>
      </c>
      <c r="AH188" s="109" t="s">
        <v>48</v>
      </c>
      <c r="AI188" s="109" t="s">
        <v>48</v>
      </c>
      <c r="AJ188" s="109" t="s">
        <v>48</v>
      </c>
      <c r="AK188" s="166" t="s">
        <v>48</v>
      </c>
      <c r="AL188" s="165" t="s">
        <v>666</v>
      </c>
      <c r="AM188" s="109" t="s">
        <v>666</v>
      </c>
      <c r="AN188" s="109" t="s">
        <v>48</v>
      </c>
      <c r="AO188" s="109" t="s">
        <v>48</v>
      </c>
      <c r="AP188" s="109" t="s">
        <v>48</v>
      </c>
      <c r="AQ188" s="109" t="s">
        <v>48</v>
      </c>
      <c r="AR188" s="109" t="s">
        <v>48</v>
      </c>
      <c r="AS188" s="166" t="s">
        <v>48</v>
      </c>
      <c r="AT188" s="165" t="s">
        <v>48</v>
      </c>
      <c r="AU188" s="109" t="s">
        <v>48</v>
      </c>
      <c r="AV188" s="109" t="s">
        <v>48</v>
      </c>
      <c r="AW188" s="109" t="s">
        <v>48</v>
      </c>
      <c r="AX188" s="109" t="s">
        <v>48</v>
      </c>
      <c r="AY188" s="109" t="s">
        <v>48</v>
      </c>
      <c r="AZ188" s="166" t="s">
        <v>48</v>
      </c>
      <c r="BA188" s="162" t="s">
        <v>1860</v>
      </c>
      <c r="BB188" s="117" t="s">
        <v>677</v>
      </c>
      <c r="BC188" s="109" t="s">
        <v>1857</v>
      </c>
    </row>
    <row r="189" spans="1:55" ht="75" hidden="1" customHeight="1">
      <c r="A189" s="109" t="s">
        <v>660</v>
      </c>
      <c r="B189" s="117" t="s">
        <v>2013</v>
      </c>
      <c r="C189" s="117" t="s">
        <v>659</v>
      </c>
      <c r="D189" s="109" t="s">
        <v>666</v>
      </c>
      <c r="E189" s="161">
        <v>15000</v>
      </c>
      <c r="F189" s="165" t="s">
        <v>1726</v>
      </c>
      <c r="G189" s="109" t="s">
        <v>1726</v>
      </c>
      <c r="H189" s="109" t="s">
        <v>1934</v>
      </c>
      <c r="I189" s="109" t="s">
        <v>1908</v>
      </c>
      <c r="J189" s="109" t="s">
        <v>1708</v>
      </c>
      <c r="K189" s="109" t="s">
        <v>1708</v>
      </c>
      <c r="L189" s="109" t="s">
        <v>1859</v>
      </c>
      <c r="M189" s="166" t="s">
        <v>1687</v>
      </c>
      <c r="N189" s="108" t="s">
        <v>48</v>
      </c>
      <c r="O189" s="109" t="s">
        <v>48</v>
      </c>
      <c r="P189" s="162" t="s">
        <v>676</v>
      </c>
      <c r="Q189" s="109" t="s">
        <v>48</v>
      </c>
      <c r="R189" s="109" t="s">
        <v>48</v>
      </c>
      <c r="S189" s="109" t="s">
        <v>48</v>
      </c>
      <c r="T189" s="109" t="s">
        <v>48</v>
      </c>
      <c r="U189" s="109" t="s">
        <v>48</v>
      </c>
      <c r="V189" s="166" t="s">
        <v>48</v>
      </c>
      <c r="W189" s="165" t="s">
        <v>666</v>
      </c>
      <c r="X189" s="109" t="s">
        <v>666</v>
      </c>
      <c r="Y189" s="117" t="s">
        <v>48</v>
      </c>
      <c r="Z189" s="117" t="s">
        <v>48</v>
      </c>
      <c r="AA189" s="117" t="s">
        <v>48</v>
      </c>
      <c r="AB189" s="117" t="s">
        <v>48</v>
      </c>
      <c r="AC189" s="117" t="s">
        <v>48</v>
      </c>
      <c r="AD189" s="182" t="s">
        <v>48</v>
      </c>
      <c r="AE189" s="174" t="s">
        <v>48</v>
      </c>
      <c r="AF189" s="109" t="s">
        <v>48</v>
      </c>
      <c r="AG189" s="109" t="s">
        <v>48</v>
      </c>
      <c r="AH189" s="109" t="s">
        <v>48</v>
      </c>
      <c r="AI189" s="109" t="s">
        <v>48</v>
      </c>
      <c r="AJ189" s="109" t="s">
        <v>48</v>
      </c>
      <c r="AK189" s="166" t="s">
        <v>48</v>
      </c>
      <c r="AL189" s="165" t="s">
        <v>666</v>
      </c>
      <c r="AM189" s="109" t="s">
        <v>666</v>
      </c>
      <c r="AN189" s="109" t="s">
        <v>48</v>
      </c>
      <c r="AO189" s="109" t="s">
        <v>48</v>
      </c>
      <c r="AP189" s="109" t="s">
        <v>48</v>
      </c>
      <c r="AQ189" s="109" t="s">
        <v>48</v>
      </c>
      <c r="AR189" s="109" t="s">
        <v>48</v>
      </c>
      <c r="AS189" s="166" t="s">
        <v>48</v>
      </c>
      <c r="AT189" s="165" t="s">
        <v>48</v>
      </c>
      <c r="AU189" s="109" t="s">
        <v>48</v>
      </c>
      <c r="AV189" s="109" t="s">
        <v>48</v>
      </c>
      <c r="AW189" s="109" t="s">
        <v>48</v>
      </c>
      <c r="AX189" s="109" t="s">
        <v>48</v>
      </c>
      <c r="AY189" s="109" t="s">
        <v>48</v>
      </c>
      <c r="AZ189" s="166" t="s">
        <v>48</v>
      </c>
      <c r="BA189" s="162" t="s">
        <v>1860</v>
      </c>
      <c r="BB189" s="117" t="s">
        <v>677</v>
      </c>
      <c r="BC189" s="109" t="s">
        <v>1857</v>
      </c>
    </row>
    <row r="190" spans="1:55" ht="75" hidden="1" customHeight="1">
      <c r="A190" s="109" t="s">
        <v>660</v>
      </c>
      <c r="B190" s="117" t="s">
        <v>2013</v>
      </c>
      <c r="C190" s="117" t="s">
        <v>659</v>
      </c>
      <c r="D190" s="109" t="s">
        <v>670</v>
      </c>
      <c r="E190" s="161">
        <v>15000</v>
      </c>
      <c r="F190" s="165" t="s">
        <v>1729</v>
      </c>
      <c r="G190" s="109" t="s">
        <v>1729</v>
      </c>
      <c r="H190" s="109" t="s">
        <v>1932</v>
      </c>
      <c r="I190" s="109" t="s">
        <v>2090</v>
      </c>
      <c r="J190" s="109" t="s">
        <v>1708</v>
      </c>
      <c r="K190" s="109" t="s">
        <v>1708</v>
      </c>
      <c r="L190" s="109" t="s">
        <v>1986</v>
      </c>
      <c r="M190" s="166" t="s">
        <v>1687</v>
      </c>
      <c r="N190" s="108" t="s">
        <v>48</v>
      </c>
      <c r="O190" s="109" t="s">
        <v>48</v>
      </c>
      <c r="P190" s="162" t="s">
        <v>676</v>
      </c>
      <c r="Q190" s="109" t="s">
        <v>48</v>
      </c>
      <c r="R190" s="109" t="s">
        <v>48</v>
      </c>
      <c r="S190" s="109" t="s">
        <v>48</v>
      </c>
      <c r="T190" s="109" t="s">
        <v>48</v>
      </c>
      <c r="U190" s="109" t="s">
        <v>48</v>
      </c>
      <c r="V190" s="166" t="s">
        <v>48</v>
      </c>
      <c r="W190" s="165" t="s">
        <v>670</v>
      </c>
      <c r="X190" s="109" t="s">
        <v>670</v>
      </c>
      <c r="Y190" s="117" t="s">
        <v>48</v>
      </c>
      <c r="Z190" s="117" t="s">
        <v>48</v>
      </c>
      <c r="AA190" s="117" t="s">
        <v>48</v>
      </c>
      <c r="AB190" s="117" t="s">
        <v>48</v>
      </c>
      <c r="AC190" s="117" t="s">
        <v>48</v>
      </c>
      <c r="AD190" s="182" t="s">
        <v>48</v>
      </c>
      <c r="AE190" s="174" t="s">
        <v>48</v>
      </c>
      <c r="AF190" s="109" t="s">
        <v>48</v>
      </c>
      <c r="AG190" s="109" t="s">
        <v>48</v>
      </c>
      <c r="AH190" s="109" t="s">
        <v>48</v>
      </c>
      <c r="AI190" s="109" t="s">
        <v>48</v>
      </c>
      <c r="AJ190" s="109" t="s">
        <v>48</v>
      </c>
      <c r="AK190" s="166" t="s">
        <v>48</v>
      </c>
      <c r="AL190" s="165" t="s">
        <v>670</v>
      </c>
      <c r="AM190" s="109" t="s">
        <v>670</v>
      </c>
      <c r="AN190" s="109" t="s">
        <v>48</v>
      </c>
      <c r="AO190" s="109" t="s">
        <v>48</v>
      </c>
      <c r="AP190" s="109" t="s">
        <v>48</v>
      </c>
      <c r="AQ190" s="109" t="s">
        <v>48</v>
      </c>
      <c r="AR190" s="109" t="s">
        <v>48</v>
      </c>
      <c r="AS190" s="166" t="s">
        <v>48</v>
      </c>
      <c r="AT190" s="165" t="s">
        <v>48</v>
      </c>
      <c r="AU190" s="109" t="s">
        <v>48</v>
      </c>
      <c r="AV190" s="109" t="s">
        <v>48</v>
      </c>
      <c r="AW190" s="109" t="s">
        <v>48</v>
      </c>
      <c r="AX190" s="109" t="s">
        <v>48</v>
      </c>
      <c r="AY190" s="109" t="s">
        <v>48</v>
      </c>
      <c r="AZ190" s="166" t="s">
        <v>48</v>
      </c>
      <c r="BA190" s="162" t="s">
        <v>1860</v>
      </c>
      <c r="BB190" s="117" t="s">
        <v>677</v>
      </c>
      <c r="BC190" s="109" t="s">
        <v>1857</v>
      </c>
    </row>
    <row r="191" spans="1:55" ht="75" hidden="1" customHeight="1">
      <c r="A191" s="109" t="s">
        <v>660</v>
      </c>
      <c r="B191" s="117" t="s">
        <v>2013</v>
      </c>
      <c r="C191" s="117" t="s">
        <v>659</v>
      </c>
      <c r="D191" s="109" t="s">
        <v>670</v>
      </c>
      <c r="E191" s="161">
        <v>15000</v>
      </c>
      <c r="F191" s="165" t="s">
        <v>1727</v>
      </c>
      <c r="G191" s="109" t="s">
        <v>1727</v>
      </c>
      <c r="H191" s="109" t="s">
        <v>1933</v>
      </c>
      <c r="I191" s="109" t="s">
        <v>2039</v>
      </c>
      <c r="J191" s="109" t="s">
        <v>1708</v>
      </c>
      <c r="K191" s="109" t="s">
        <v>1708</v>
      </c>
      <c r="L191" s="109" t="s">
        <v>1987</v>
      </c>
      <c r="M191" s="166" t="s">
        <v>1687</v>
      </c>
      <c r="N191" s="108" t="s">
        <v>48</v>
      </c>
      <c r="O191" s="109" t="s">
        <v>48</v>
      </c>
      <c r="P191" s="162" t="s">
        <v>676</v>
      </c>
      <c r="Q191" s="109" t="s">
        <v>48</v>
      </c>
      <c r="R191" s="109" t="s">
        <v>48</v>
      </c>
      <c r="S191" s="109" t="s">
        <v>48</v>
      </c>
      <c r="T191" s="109" t="s">
        <v>48</v>
      </c>
      <c r="U191" s="109" t="s">
        <v>48</v>
      </c>
      <c r="V191" s="166" t="s">
        <v>48</v>
      </c>
      <c r="W191" s="165" t="s">
        <v>670</v>
      </c>
      <c r="X191" s="109" t="s">
        <v>670</v>
      </c>
      <c r="Y191" s="117" t="s">
        <v>48</v>
      </c>
      <c r="Z191" s="117" t="s">
        <v>48</v>
      </c>
      <c r="AA191" s="117" t="s">
        <v>48</v>
      </c>
      <c r="AB191" s="117" t="s">
        <v>48</v>
      </c>
      <c r="AC191" s="117" t="s">
        <v>48</v>
      </c>
      <c r="AD191" s="182" t="s">
        <v>48</v>
      </c>
      <c r="AE191" s="174" t="s">
        <v>48</v>
      </c>
      <c r="AF191" s="109" t="s">
        <v>48</v>
      </c>
      <c r="AG191" s="109" t="s">
        <v>48</v>
      </c>
      <c r="AH191" s="109" t="s">
        <v>48</v>
      </c>
      <c r="AI191" s="109" t="s">
        <v>48</v>
      </c>
      <c r="AJ191" s="109" t="s">
        <v>48</v>
      </c>
      <c r="AK191" s="166" t="s">
        <v>48</v>
      </c>
      <c r="AL191" s="165" t="s">
        <v>670</v>
      </c>
      <c r="AM191" s="109" t="s">
        <v>670</v>
      </c>
      <c r="AN191" s="109" t="s">
        <v>48</v>
      </c>
      <c r="AO191" s="109" t="s">
        <v>48</v>
      </c>
      <c r="AP191" s="109" t="s">
        <v>48</v>
      </c>
      <c r="AQ191" s="109" t="s">
        <v>48</v>
      </c>
      <c r="AR191" s="109" t="s">
        <v>48</v>
      </c>
      <c r="AS191" s="166" t="s">
        <v>48</v>
      </c>
      <c r="AT191" s="165" t="s">
        <v>48</v>
      </c>
      <c r="AU191" s="109" t="s">
        <v>48</v>
      </c>
      <c r="AV191" s="109" t="s">
        <v>48</v>
      </c>
      <c r="AW191" s="109" t="s">
        <v>48</v>
      </c>
      <c r="AX191" s="109" t="s">
        <v>48</v>
      </c>
      <c r="AY191" s="109" t="s">
        <v>48</v>
      </c>
      <c r="AZ191" s="166" t="s">
        <v>48</v>
      </c>
      <c r="BA191" s="162" t="s">
        <v>1860</v>
      </c>
      <c r="BB191" s="117" t="s">
        <v>677</v>
      </c>
      <c r="BC191" s="109" t="s">
        <v>1857</v>
      </c>
    </row>
    <row r="192" spans="1:55" ht="75" hidden="1" customHeight="1">
      <c r="A192" s="109" t="s">
        <v>660</v>
      </c>
      <c r="B192" s="117" t="s">
        <v>2013</v>
      </c>
      <c r="C192" s="117" t="s">
        <v>659</v>
      </c>
      <c r="D192" s="109" t="s">
        <v>670</v>
      </c>
      <c r="E192" s="161">
        <v>15000</v>
      </c>
      <c r="F192" s="165" t="s">
        <v>1726</v>
      </c>
      <c r="G192" s="109" t="s">
        <v>1726</v>
      </c>
      <c r="H192" s="109" t="s">
        <v>1934</v>
      </c>
      <c r="I192" s="109" t="s">
        <v>1908</v>
      </c>
      <c r="J192" s="109" t="s">
        <v>1708</v>
      </c>
      <c r="K192" s="109" t="s">
        <v>1708</v>
      </c>
      <c r="L192" s="109" t="s">
        <v>1859</v>
      </c>
      <c r="M192" s="166" t="s">
        <v>1687</v>
      </c>
      <c r="N192" s="108" t="s">
        <v>48</v>
      </c>
      <c r="O192" s="109" t="s">
        <v>48</v>
      </c>
      <c r="P192" s="162" t="s">
        <v>676</v>
      </c>
      <c r="Q192" s="109" t="s">
        <v>48</v>
      </c>
      <c r="R192" s="109" t="s">
        <v>48</v>
      </c>
      <c r="S192" s="109" t="s">
        <v>48</v>
      </c>
      <c r="T192" s="109" t="s">
        <v>48</v>
      </c>
      <c r="U192" s="109" t="s">
        <v>48</v>
      </c>
      <c r="V192" s="166" t="s">
        <v>48</v>
      </c>
      <c r="W192" s="165" t="s">
        <v>670</v>
      </c>
      <c r="X192" s="109" t="s">
        <v>670</v>
      </c>
      <c r="Y192" s="117" t="s">
        <v>48</v>
      </c>
      <c r="Z192" s="117" t="s">
        <v>48</v>
      </c>
      <c r="AA192" s="117" t="s">
        <v>48</v>
      </c>
      <c r="AB192" s="117" t="s">
        <v>48</v>
      </c>
      <c r="AC192" s="117" t="s">
        <v>48</v>
      </c>
      <c r="AD192" s="182" t="s">
        <v>48</v>
      </c>
      <c r="AE192" s="174" t="s">
        <v>48</v>
      </c>
      <c r="AF192" s="109" t="s">
        <v>48</v>
      </c>
      <c r="AG192" s="109" t="s">
        <v>48</v>
      </c>
      <c r="AH192" s="109" t="s">
        <v>48</v>
      </c>
      <c r="AI192" s="109" t="s">
        <v>48</v>
      </c>
      <c r="AJ192" s="109" t="s">
        <v>48</v>
      </c>
      <c r="AK192" s="166" t="s">
        <v>48</v>
      </c>
      <c r="AL192" s="165" t="s">
        <v>670</v>
      </c>
      <c r="AM192" s="109" t="s">
        <v>670</v>
      </c>
      <c r="AN192" s="109" t="s">
        <v>48</v>
      </c>
      <c r="AO192" s="109" t="s">
        <v>48</v>
      </c>
      <c r="AP192" s="109" t="s">
        <v>48</v>
      </c>
      <c r="AQ192" s="109" t="s">
        <v>48</v>
      </c>
      <c r="AR192" s="109" t="s">
        <v>48</v>
      </c>
      <c r="AS192" s="166" t="s">
        <v>48</v>
      </c>
      <c r="AT192" s="165" t="s">
        <v>48</v>
      </c>
      <c r="AU192" s="109" t="s">
        <v>48</v>
      </c>
      <c r="AV192" s="109" t="s">
        <v>48</v>
      </c>
      <c r="AW192" s="109" t="s">
        <v>48</v>
      </c>
      <c r="AX192" s="109" t="s">
        <v>48</v>
      </c>
      <c r="AY192" s="109" t="s">
        <v>48</v>
      </c>
      <c r="AZ192" s="166" t="s">
        <v>48</v>
      </c>
      <c r="BA192" s="162" t="s">
        <v>1860</v>
      </c>
      <c r="BB192" s="117" t="s">
        <v>677</v>
      </c>
      <c r="BC192" s="109" t="s">
        <v>1857</v>
      </c>
    </row>
    <row r="193" spans="1:55" ht="75" hidden="1" customHeight="1">
      <c r="A193" s="109" t="s">
        <v>660</v>
      </c>
      <c r="B193" s="117" t="s">
        <v>2013</v>
      </c>
      <c r="C193" s="117" t="s">
        <v>659</v>
      </c>
      <c r="D193" s="109" t="s">
        <v>668</v>
      </c>
      <c r="E193" s="161">
        <v>15000</v>
      </c>
      <c r="F193" s="165" t="s">
        <v>1729</v>
      </c>
      <c r="G193" s="109" t="s">
        <v>1729</v>
      </c>
      <c r="H193" s="109" t="s">
        <v>1932</v>
      </c>
      <c r="I193" s="109" t="s">
        <v>2090</v>
      </c>
      <c r="J193" s="109" t="s">
        <v>1708</v>
      </c>
      <c r="K193" s="109" t="s">
        <v>1708</v>
      </c>
      <c r="L193" s="109" t="s">
        <v>1986</v>
      </c>
      <c r="M193" s="166" t="s">
        <v>1687</v>
      </c>
      <c r="N193" s="108" t="s">
        <v>48</v>
      </c>
      <c r="O193" s="109" t="s">
        <v>48</v>
      </c>
      <c r="P193" s="162" t="s">
        <v>676</v>
      </c>
      <c r="Q193" s="109" t="s">
        <v>48</v>
      </c>
      <c r="R193" s="109" t="s">
        <v>48</v>
      </c>
      <c r="S193" s="109" t="s">
        <v>48</v>
      </c>
      <c r="T193" s="109" t="s">
        <v>48</v>
      </c>
      <c r="U193" s="109" t="s">
        <v>48</v>
      </c>
      <c r="V193" s="166" t="s">
        <v>48</v>
      </c>
      <c r="W193" s="165" t="s">
        <v>668</v>
      </c>
      <c r="X193" s="109" t="s">
        <v>668</v>
      </c>
      <c r="Y193" s="117" t="s">
        <v>48</v>
      </c>
      <c r="Z193" s="117" t="s">
        <v>48</v>
      </c>
      <c r="AA193" s="117" t="s">
        <v>48</v>
      </c>
      <c r="AB193" s="117" t="s">
        <v>48</v>
      </c>
      <c r="AC193" s="117" t="s">
        <v>48</v>
      </c>
      <c r="AD193" s="182" t="s">
        <v>48</v>
      </c>
      <c r="AE193" s="174" t="s">
        <v>48</v>
      </c>
      <c r="AF193" s="109" t="s">
        <v>48</v>
      </c>
      <c r="AG193" s="109" t="s">
        <v>48</v>
      </c>
      <c r="AH193" s="109" t="s">
        <v>48</v>
      </c>
      <c r="AI193" s="109" t="s">
        <v>48</v>
      </c>
      <c r="AJ193" s="109" t="s">
        <v>48</v>
      </c>
      <c r="AK193" s="166" t="s">
        <v>48</v>
      </c>
      <c r="AL193" s="165" t="s">
        <v>668</v>
      </c>
      <c r="AM193" s="109" t="s">
        <v>668</v>
      </c>
      <c r="AN193" s="109" t="s">
        <v>48</v>
      </c>
      <c r="AO193" s="109" t="s">
        <v>48</v>
      </c>
      <c r="AP193" s="109" t="s">
        <v>48</v>
      </c>
      <c r="AQ193" s="109" t="s">
        <v>48</v>
      </c>
      <c r="AR193" s="109" t="s">
        <v>48</v>
      </c>
      <c r="AS193" s="166" t="s">
        <v>48</v>
      </c>
      <c r="AT193" s="165" t="s">
        <v>48</v>
      </c>
      <c r="AU193" s="109" t="s">
        <v>48</v>
      </c>
      <c r="AV193" s="109" t="s">
        <v>48</v>
      </c>
      <c r="AW193" s="109" t="s">
        <v>48</v>
      </c>
      <c r="AX193" s="109" t="s">
        <v>48</v>
      </c>
      <c r="AY193" s="109" t="s">
        <v>48</v>
      </c>
      <c r="AZ193" s="166" t="s">
        <v>48</v>
      </c>
      <c r="BA193" s="162" t="s">
        <v>1860</v>
      </c>
      <c r="BB193" s="117" t="s">
        <v>677</v>
      </c>
      <c r="BC193" s="109" t="s">
        <v>1857</v>
      </c>
    </row>
    <row r="194" spans="1:55" ht="75" hidden="1" customHeight="1">
      <c r="A194" s="109" t="s">
        <v>660</v>
      </c>
      <c r="B194" s="117" t="s">
        <v>2013</v>
      </c>
      <c r="C194" s="117" t="s">
        <v>659</v>
      </c>
      <c r="D194" s="109" t="s">
        <v>668</v>
      </c>
      <c r="E194" s="161">
        <v>15000</v>
      </c>
      <c r="F194" s="165" t="s">
        <v>1727</v>
      </c>
      <c r="G194" s="109" t="s">
        <v>1727</v>
      </c>
      <c r="H194" s="109" t="s">
        <v>1933</v>
      </c>
      <c r="I194" s="109" t="s">
        <v>2039</v>
      </c>
      <c r="J194" s="109" t="s">
        <v>1708</v>
      </c>
      <c r="K194" s="109" t="s">
        <v>1708</v>
      </c>
      <c r="L194" s="109" t="s">
        <v>1987</v>
      </c>
      <c r="M194" s="166" t="s">
        <v>1687</v>
      </c>
      <c r="N194" s="108" t="s">
        <v>48</v>
      </c>
      <c r="O194" s="109" t="s">
        <v>48</v>
      </c>
      <c r="P194" s="162" t="s">
        <v>676</v>
      </c>
      <c r="Q194" s="109" t="s">
        <v>48</v>
      </c>
      <c r="R194" s="109" t="s">
        <v>48</v>
      </c>
      <c r="S194" s="109" t="s">
        <v>48</v>
      </c>
      <c r="T194" s="109" t="s">
        <v>48</v>
      </c>
      <c r="U194" s="109" t="s">
        <v>48</v>
      </c>
      <c r="V194" s="166" t="s">
        <v>48</v>
      </c>
      <c r="W194" s="165" t="s">
        <v>668</v>
      </c>
      <c r="X194" s="109" t="s">
        <v>668</v>
      </c>
      <c r="Y194" s="117" t="s">
        <v>48</v>
      </c>
      <c r="Z194" s="117" t="s">
        <v>48</v>
      </c>
      <c r="AA194" s="117" t="s">
        <v>48</v>
      </c>
      <c r="AB194" s="117" t="s">
        <v>48</v>
      </c>
      <c r="AC194" s="117" t="s">
        <v>48</v>
      </c>
      <c r="AD194" s="182" t="s">
        <v>48</v>
      </c>
      <c r="AE194" s="174" t="s">
        <v>48</v>
      </c>
      <c r="AF194" s="109" t="s">
        <v>48</v>
      </c>
      <c r="AG194" s="109" t="s">
        <v>48</v>
      </c>
      <c r="AH194" s="109" t="s">
        <v>48</v>
      </c>
      <c r="AI194" s="109" t="s">
        <v>48</v>
      </c>
      <c r="AJ194" s="109" t="s">
        <v>48</v>
      </c>
      <c r="AK194" s="166" t="s">
        <v>48</v>
      </c>
      <c r="AL194" s="165" t="s">
        <v>668</v>
      </c>
      <c r="AM194" s="109" t="s">
        <v>668</v>
      </c>
      <c r="AN194" s="109" t="s">
        <v>48</v>
      </c>
      <c r="AO194" s="109" t="s">
        <v>48</v>
      </c>
      <c r="AP194" s="109" t="s">
        <v>48</v>
      </c>
      <c r="AQ194" s="109" t="s">
        <v>48</v>
      </c>
      <c r="AR194" s="109" t="s">
        <v>48</v>
      </c>
      <c r="AS194" s="166" t="s">
        <v>48</v>
      </c>
      <c r="AT194" s="165" t="s">
        <v>48</v>
      </c>
      <c r="AU194" s="109" t="s">
        <v>48</v>
      </c>
      <c r="AV194" s="109" t="s">
        <v>48</v>
      </c>
      <c r="AW194" s="109" t="s">
        <v>48</v>
      </c>
      <c r="AX194" s="109" t="s">
        <v>48</v>
      </c>
      <c r="AY194" s="109" t="s">
        <v>48</v>
      </c>
      <c r="AZ194" s="166" t="s">
        <v>48</v>
      </c>
      <c r="BA194" s="162" t="s">
        <v>1860</v>
      </c>
      <c r="BB194" s="117" t="s">
        <v>677</v>
      </c>
      <c r="BC194" s="109" t="s">
        <v>1857</v>
      </c>
    </row>
    <row r="195" spans="1:55" ht="75" hidden="1" customHeight="1">
      <c r="A195" s="109" t="s">
        <v>660</v>
      </c>
      <c r="B195" s="117" t="s">
        <v>2013</v>
      </c>
      <c r="C195" s="117" t="s">
        <v>659</v>
      </c>
      <c r="D195" s="109" t="s">
        <v>668</v>
      </c>
      <c r="E195" s="161">
        <v>15000</v>
      </c>
      <c r="F195" s="165" t="s">
        <v>1726</v>
      </c>
      <c r="G195" s="109" t="s">
        <v>1726</v>
      </c>
      <c r="H195" s="109" t="s">
        <v>1934</v>
      </c>
      <c r="I195" s="109" t="s">
        <v>1908</v>
      </c>
      <c r="J195" s="109" t="s">
        <v>1708</v>
      </c>
      <c r="K195" s="109" t="s">
        <v>1708</v>
      </c>
      <c r="L195" s="109" t="s">
        <v>1859</v>
      </c>
      <c r="M195" s="166" t="s">
        <v>1687</v>
      </c>
      <c r="N195" s="108" t="s">
        <v>48</v>
      </c>
      <c r="O195" s="109" t="s">
        <v>48</v>
      </c>
      <c r="P195" s="162" t="s">
        <v>676</v>
      </c>
      <c r="Q195" s="109" t="s">
        <v>48</v>
      </c>
      <c r="R195" s="109" t="s">
        <v>48</v>
      </c>
      <c r="S195" s="109" t="s">
        <v>48</v>
      </c>
      <c r="T195" s="109" t="s">
        <v>48</v>
      </c>
      <c r="U195" s="109" t="s">
        <v>48</v>
      </c>
      <c r="V195" s="166" t="s">
        <v>48</v>
      </c>
      <c r="W195" s="165" t="s">
        <v>668</v>
      </c>
      <c r="X195" s="109" t="s">
        <v>668</v>
      </c>
      <c r="Y195" s="117" t="s">
        <v>48</v>
      </c>
      <c r="Z195" s="117" t="s">
        <v>48</v>
      </c>
      <c r="AA195" s="117" t="s">
        <v>48</v>
      </c>
      <c r="AB195" s="117" t="s">
        <v>48</v>
      </c>
      <c r="AC195" s="117" t="s">
        <v>48</v>
      </c>
      <c r="AD195" s="182" t="s">
        <v>48</v>
      </c>
      <c r="AE195" s="174" t="s">
        <v>48</v>
      </c>
      <c r="AF195" s="109" t="s">
        <v>48</v>
      </c>
      <c r="AG195" s="109" t="s">
        <v>48</v>
      </c>
      <c r="AH195" s="109" t="s">
        <v>48</v>
      </c>
      <c r="AI195" s="109" t="s">
        <v>48</v>
      </c>
      <c r="AJ195" s="109" t="s">
        <v>48</v>
      </c>
      <c r="AK195" s="166" t="s">
        <v>48</v>
      </c>
      <c r="AL195" s="165" t="s">
        <v>668</v>
      </c>
      <c r="AM195" s="109" t="s">
        <v>668</v>
      </c>
      <c r="AN195" s="109" t="s">
        <v>48</v>
      </c>
      <c r="AO195" s="109" t="s">
        <v>48</v>
      </c>
      <c r="AP195" s="109" t="s">
        <v>48</v>
      </c>
      <c r="AQ195" s="109" t="s">
        <v>48</v>
      </c>
      <c r="AR195" s="109" t="s">
        <v>48</v>
      </c>
      <c r="AS195" s="166" t="s">
        <v>48</v>
      </c>
      <c r="AT195" s="165" t="s">
        <v>48</v>
      </c>
      <c r="AU195" s="109" t="s">
        <v>48</v>
      </c>
      <c r="AV195" s="109" t="s">
        <v>48</v>
      </c>
      <c r="AW195" s="109" t="s">
        <v>48</v>
      </c>
      <c r="AX195" s="109" t="s">
        <v>48</v>
      </c>
      <c r="AY195" s="109" t="s">
        <v>48</v>
      </c>
      <c r="AZ195" s="166" t="s">
        <v>48</v>
      </c>
      <c r="BA195" s="162" t="s">
        <v>1860</v>
      </c>
      <c r="BB195" s="117" t="s">
        <v>677</v>
      </c>
      <c r="BC195" s="109" t="s">
        <v>1857</v>
      </c>
    </row>
    <row r="196" spans="1:55" ht="75" hidden="1" customHeight="1">
      <c r="A196" s="109" t="s">
        <v>660</v>
      </c>
      <c r="B196" s="117" t="s">
        <v>2013</v>
      </c>
      <c r="C196" s="117" t="s">
        <v>216</v>
      </c>
      <c r="D196" s="109" t="s">
        <v>594</v>
      </c>
      <c r="E196" s="161">
        <v>15000</v>
      </c>
      <c r="F196" s="165" t="s">
        <v>1729</v>
      </c>
      <c r="G196" s="109" t="s">
        <v>1729</v>
      </c>
      <c r="H196" s="109" t="s">
        <v>1932</v>
      </c>
      <c r="I196" s="109" t="s">
        <v>2090</v>
      </c>
      <c r="J196" s="109" t="s">
        <v>1708</v>
      </c>
      <c r="K196" s="109" t="s">
        <v>1708</v>
      </c>
      <c r="L196" s="109" t="s">
        <v>1986</v>
      </c>
      <c r="M196" s="166" t="s">
        <v>1687</v>
      </c>
      <c r="N196" s="108" t="s">
        <v>48</v>
      </c>
      <c r="O196" s="109" t="s">
        <v>48</v>
      </c>
      <c r="P196" s="162" t="s">
        <v>48</v>
      </c>
      <c r="Q196" s="109" t="s">
        <v>48</v>
      </c>
      <c r="R196" s="109" t="s">
        <v>48</v>
      </c>
      <c r="S196" s="109" t="s">
        <v>48</v>
      </c>
      <c r="T196" s="109" t="s">
        <v>48</v>
      </c>
      <c r="U196" s="109" t="s">
        <v>48</v>
      </c>
      <c r="V196" s="166" t="s">
        <v>48</v>
      </c>
      <c r="W196" s="165" t="s">
        <v>594</v>
      </c>
      <c r="X196" s="109" t="s">
        <v>594</v>
      </c>
      <c r="Y196" s="117" t="s">
        <v>48</v>
      </c>
      <c r="Z196" s="117" t="s">
        <v>48</v>
      </c>
      <c r="AA196" s="117" t="s">
        <v>48</v>
      </c>
      <c r="AB196" s="117" t="s">
        <v>48</v>
      </c>
      <c r="AC196" s="117" t="s">
        <v>48</v>
      </c>
      <c r="AD196" s="182" t="s">
        <v>48</v>
      </c>
      <c r="AE196" s="174" t="s">
        <v>678</v>
      </c>
      <c r="AF196" s="117" t="s">
        <v>452</v>
      </c>
      <c r="AG196" s="117" t="s">
        <v>48</v>
      </c>
      <c r="AH196" s="109" t="s">
        <v>48</v>
      </c>
      <c r="AI196" s="117" t="s">
        <v>48</v>
      </c>
      <c r="AJ196" s="109" t="s">
        <v>48</v>
      </c>
      <c r="AK196" s="166" t="s">
        <v>48</v>
      </c>
      <c r="AL196" s="165" t="s">
        <v>594</v>
      </c>
      <c r="AM196" s="109" t="s">
        <v>594</v>
      </c>
      <c r="AN196" s="109" t="s">
        <v>48</v>
      </c>
      <c r="AO196" s="109" t="s">
        <v>48</v>
      </c>
      <c r="AP196" s="109" t="s">
        <v>48</v>
      </c>
      <c r="AQ196" s="109" t="s">
        <v>48</v>
      </c>
      <c r="AR196" s="109" t="s">
        <v>48</v>
      </c>
      <c r="AS196" s="166" t="s">
        <v>48</v>
      </c>
      <c r="AT196" s="165" t="s">
        <v>663</v>
      </c>
      <c r="AU196" s="109" t="s">
        <v>662</v>
      </c>
      <c r="AV196" s="109" t="s">
        <v>48</v>
      </c>
      <c r="AW196" s="109" t="s">
        <v>48</v>
      </c>
      <c r="AX196" s="109" t="s">
        <v>48</v>
      </c>
      <c r="AY196" s="109" t="s">
        <v>48</v>
      </c>
      <c r="AZ196" s="166"/>
      <c r="BA196" s="162" t="s">
        <v>1860</v>
      </c>
      <c r="BB196" s="117" t="s">
        <v>199</v>
      </c>
      <c r="BC196" s="109" t="s">
        <v>1857</v>
      </c>
    </row>
    <row r="197" spans="1:55" ht="75" hidden="1" customHeight="1">
      <c r="A197" s="109" t="s">
        <v>660</v>
      </c>
      <c r="B197" s="117" t="s">
        <v>2013</v>
      </c>
      <c r="C197" s="117" t="s">
        <v>216</v>
      </c>
      <c r="D197" s="109" t="s">
        <v>594</v>
      </c>
      <c r="E197" s="161">
        <v>15000</v>
      </c>
      <c r="F197" s="165" t="s">
        <v>1727</v>
      </c>
      <c r="G197" s="109" t="s">
        <v>1727</v>
      </c>
      <c r="H197" s="109" t="s">
        <v>1933</v>
      </c>
      <c r="I197" s="109" t="s">
        <v>2039</v>
      </c>
      <c r="J197" s="109" t="s">
        <v>1708</v>
      </c>
      <c r="K197" s="109" t="s">
        <v>1708</v>
      </c>
      <c r="L197" s="109" t="s">
        <v>1987</v>
      </c>
      <c r="M197" s="166" t="s">
        <v>1687</v>
      </c>
      <c r="N197" s="108" t="s">
        <v>48</v>
      </c>
      <c r="O197" s="109" t="s">
        <v>48</v>
      </c>
      <c r="P197" s="162" t="s">
        <v>48</v>
      </c>
      <c r="Q197" s="109" t="s">
        <v>48</v>
      </c>
      <c r="R197" s="109" t="s">
        <v>48</v>
      </c>
      <c r="S197" s="109" t="s">
        <v>48</v>
      </c>
      <c r="T197" s="109" t="s">
        <v>48</v>
      </c>
      <c r="U197" s="109" t="s">
        <v>48</v>
      </c>
      <c r="V197" s="166" t="s">
        <v>48</v>
      </c>
      <c r="W197" s="165" t="s">
        <v>594</v>
      </c>
      <c r="X197" s="109" t="s">
        <v>594</v>
      </c>
      <c r="Y197" s="117" t="s">
        <v>48</v>
      </c>
      <c r="Z197" s="117" t="s">
        <v>48</v>
      </c>
      <c r="AA197" s="117" t="s">
        <v>48</v>
      </c>
      <c r="AB197" s="117" t="s">
        <v>48</v>
      </c>
      <c r="AC197" s="117" t="s">
        <v>48</v>
      </c>
      <c r="AD197" s="182" t="s">
        <v>48</v>
      </c>
      <c r="AE197" s="174" t="s">
        <v>678</v>
      </c>
      <c r="AF197" s="117" t="s">
        <v>452</v>
      </c>
      <c r="AG197" s="117" t="s">
        <v>48</v>
      </c>
      <c r="AH197" s="109" t="s">
        <v>48</v>
      </c>
      <c r="AI197" s="117" t="s">
        <v>48</v>
      </c>
      <c r="AJ197" s="109" t="s">
        <v>48</v>
      </c>
      <c r="AK197" s="166" t="s">
        <v>48</v>
      </c>
      <c r="AL197" s="165" t="s">
        <v>594</v>
      </c>
      <c r="AM197" s="109" t="s">
        <v>594</v>
      </c>
      <c r="AN197" s="109" t="s">
        <v>48</v>
      </c>
      <c r="AO197" s="109" t="s">
        <v>48</v>
      </c>
      <c r="AP197" s="109" t="s">
        <v>48</v>
      </c>
      <c r="AQ197" s="109" t="s">
        <v>48</v>
      </c>
      <c r="AR197" s="109" t="s">
        <v>48</v>
      </c>
      <c r="AS197" s="166" t="s">
        <v>48</v>
      </c>
      <c r="AT197" s="165" t="s">
        <v>663</v>
      </c>
      <c r="AU197" s="109" t="s">
        <v>662</v>
      </c>
      <c r="AV197" s="109" t="s">
        <v>48</v>
      </c>
      <c r="AW197" s="109" t="s">
        <v>48</v>
      </c>
      <c r="AX197" s="109" t="s">
        <v>48</v>
      </c>
      <c r="AY197" s="109" t="s">
        <v>48</v>
      </c>
      <c r="AZ197" s="166"/>
      <c r="BA197" s="162" t="s">
        <v>1860</v>
      </c>
      <c r="BB197" s="117" t="s">
        <v>199</v>
      </c>
      <c r="BC197" s="109" t="s">
        <v>1857</v>
      </c>
    </row>
    <row r="198" spans="1:55" ht="75" hidden="1" customHeight="1">
      <c r="A198" s="109" t="s">
        <v>660</v>
      </c>
      <c r="B198" s="117" t="s">
        <v>2013</v>
      </c>
      <c r="C198" s="117" t="s">
        <v>216</v>
      </c>
      <c r="D198" s="109" t="s">
        <v>594</v>
      </c>
      <c r="E198" s="161">
        <v>15000</v>
      </c>
      <c r="F198" s="165" t="s">
        <v>1726</v>
      </c>
      <c r="G198" s="109" t="s">
        <v>1726</v>
      </c>
      <c r="H198" s="109" t="s">
        <v>1934</v>
      </c>
      <c r="I198" s="109" t="s">
        <v>1908</v>
      </c>
      <c r="J198" s="109" t="s">
        <v>1708</v>
      </c>
      <c r="K198" s="109" t="s">
        <v>1708</v>
      </c>
      <c r="L198" s="109" t="s">
        <v>1859</v>
      </c>
      <c r="M198" s="166" t="s">
        <v>1687</v>
      </c>
      <c r="N198" s="108" t="s">
        <v>48</v>
      </c>
      <c r="O198" s="109" t="s">
        <v>48</v>
      </c>
      <c r="P198" s="162" t="s">
        <v>48</v>
      </c>
      <c r="Q198" s="109" t="s">
        <v>48</v>
      </c>
      <c r="R198" s="109" t="s">
        <v>48</v>
      </c>
      <c r="S198" s="109" t="s">
        <v>48</v>
      </c>
      <c r="T198" s="109" t="s">
        <v>48</v>
      </c>
      <c r="U198" s="109" t="s">
        <v>48</v>
      </c>
      <c r="V198" s="166" t="s">
        <v>48</v>
      </c>
      <c r="W198" s="165" t="s">
        <v>594</v>
      </c>
      <c r="X198" s="109" t="s">
        <v>594</v>
      </c>
      <c r="Y198" s="117" t="s">
        <v>48</v>
      </c>
      <c r="Z198" s="117" t="s">
        <v>48</v>
      </c>
      <c r="AA198" s="117" t="s">
        <v>48</v>
      </c>
      <c r="AB198" s="117" t="s">
        <v>48</v>
      </c>
      <c r="AC198" s="117" t="s">
        <v>48</v>
      </c>
      <c r="AD198" s="182" t="s">
        <v>48</v>
      </c>
      <c r="AE198" s="174" t="s">
        <v>678</v>
      </c>
      <c r="AF198" s="117" t="s">
        <v>452</v>
      </c>
      <c r="AG198" s="117" t="s">
        <v>48</v>
      </c>
      <c r="AH198" s="109" t="s">
        <v>48</v>
      </c>
      <c r="AI198" s="117" t="s">
        <v>48</v>
      </c>
      <c r="AJ198" s="109" t="s">
        <v>48</v>
      </c>
      <c r="AK198" s="166" t="s">
        <v>48</v>
      </c>
      <c r="AL198" s="165" t="s">
        <v>594</v>
      </c>
      <c r="AM198" s="109" t="s">
        <v>594</v>
      </c>
      <c r="AN198" s="109" t="s">
        <v>48</v>
      </c>
      <c r="AO198" s="109" t="s">
        <v>48</v>
      </c>
      <c r="AP198" s="109" t="s">
        <v>48</v>
      </c>
      <c r="AQ198" s="109" t="s">
        <v>48</v>
      </c>
      <c r="AR198" s="109" t="s">
        <v>48</v>
      </c>
      <c r="AS198" s="166" t="s">
        <v>48</v>
      </c>
      <c r="AT198" s="165" t="s">
        <v>663</v>
      </c>
      <c r="AU198" s="109" t="s">
        <v>662</v>
      </c>
      <c r="AV198" s="109" t="s">
        <v>48</v>
      </c>
      <c r="AW198" s="109" t="s">
        <v>48</v>
      </c>
      <c r="AX198" s="109" t="s">
        <v>48</v>
      </c>
      <c r="AY198" s="109" t="s">
        <v>48</v>
      </c>
      <c r="AZ198" s="166"/>
      <c r="BA198" s="162" t="s">
        <v>1860</v>
      </c>
      <c r="BB198" s="117" t="s">
        <v>199</v>
      </c>
      <c r="BC198" s="109" t="s">
        <v>1857</v>
      </c>
    </row>
    <row r="199" spans="1:55" ht="75" hidden="1" customHeight="1">
      <c r="A199" s="109" t="s">
        <v>660</v>
      </c>
      <c r="B199" s="117" t="s">
        <v>2013</v>
      </c>
      <c r="C199" s="117" t="s">
        <v>659</v>
      </c>
      <c r="D199" s="109" t="s">
        <v>672</v>
      </c>
      <c r="E199" s="161">
        <v>15000</v>
      </c>
      <c r="F199" s="165" t="s">
        <v>1729</v>
      </c>
      <c r="G199" s="109" t="s">
        <v>1729</v>
      </c>
      <c r="H199" s="109" t="s">
        <v>1932</v>
      </c>
      <c r="I199" s="109" t="s">
        <v>2090</v>
      </c>
      <c r="J199" s="109" t="s">
        <v>1708</v>
      </c>
      <c r="K199" s="109" t="s">
        <v>1708</v>
      </c>
      <c r="L199" s="109" t="s">
        <v>1986</v>
      </c>
      <c r="M199" s="166" t="s">
        <v>1687</v>
      </c>
      <c r="N199" s="108" t="s">
        <v>48</v>
      </c>
      <c r="O199" s="109" t="s">
        <v>48</v>
      </c>
      <c r="P199" s="162" t="s">
        <v>676</v>
      </c>
      <c r="Q199" s="109" t="s">
        <v>48</v>
      </c>
      <c r="R199" s="109" t="s">
        <v>48</v>
      </c>
      <c r="S199" s="109" t="s">
        <v>48</v>
      </c>
      <c r="T199" s="109" t="s">
        <v>48</v>
      </c>
      <c r="U199" s="109" t="s">
        <v>48</v>
      </c>
      <c r="V199" s="166" t="s">
        <v>48</v>
      </c>
      <c r="W199" s="165" t="s">
        <v>672</v>
      </c>
      <c r="X199" s="109" t="s">
        <v>672</v>
      </c>
      <c r="Y199" s="109" t="s">
        <v>48</v>
      </c>
      <c r="Z199" s="109" t="s">
        <v>48</v>
      </c>
      <c r="AA199" s="109" t="s">
        <v>48</v>
      </c>
      <c r="AB199" s="109" t="s">
        <v>48</v>
      </c>
      <c r="AC199" s="109" t="s">
        <v>48</v>
      </c>
      <c r="AD199" s="166" t="s">
        <v>48</v>
      </c>
      <c r="AE199" s="174" t="s">
        <v>48</v>
      </c>
      <c r="AF199" s="117" t="s">
        <v>48</v>
      </c>
      <c r="AG199" s="117" t="s">
        <v>48</v>
      </c>
      <c r="AH199" s="109" t="s">
        <v>48</v>
      </c>
      <c r="AI199" s="117" t="s">
        <v>48</v>
      </c>
      <c r="AJ199" s="109" t="s">
        <v>48</v>
      </c>
      <c r="AK199" s="166" t="s">
        <v>48</v>
      </c>
      <c r="AL199" s="165" t="s">
        <v>672</v>
      </c>
      <c r="AM199" s="109" t="s">
        <v>672</v>
      </c>
      <c r="AN199" s="109" t="s">
        <v>48</v>
      </c>
      <c r="AO199" s="109" t="s">
        <v>48</v>
      </c>
      <c r="AP199" s="109" t="s">
        <v>48</v>
      </c>
      <c r="AQ199" s="109" t="s">
        <v>48</v>
      </c>
      <c r="AR199" s="109" t="s">
        <v>48</v>
      </c>
      <c r="AS199" s="166" t="s">
        <v>48</v>
      </c>
      <c r="AT199" s="165" t="s">
        <v>48</v>
      </c>
      <c r="AU199" s="109" t="s">
        <v>48</v>
      </c>
      <c r="AV199" s="109" t="s">
        <v>48</v>
      </c>
      <c r="AW199" s="109" t="s">
        <v>48</v>
      </c>
      <c r="AX199" s="109" t="s">
        <v>48</v>
      </c>
      <c r="AY199" s="109" t="s">
        <v>48</v>
      </c>
      <c r="AZ199" s="166" t="s">
        <v>48</v>
      </c>
      <c r="BA199" s="162" t="s">
        <v>1860</v>
      </c>
      <c r="BB199" s="117" t="s">
        <v>677</v>
      </c>
      <c r="BC199" s="109" t="s">
        <v>1857</v>
      </c>
    </row>
    <row r="200" spans="1:55" ht="75" hidden="1" customHeight="1">
      <c r="A200" s="109" t="s">
        <v>660</v>
      </c>
      <c r="B200" s="117" t="s">
        <v>2013</v>
      </c>
      <c r="C200" s="117" t="s">
        <v>659</v>
      </c>
      <c r="D200" s="109" t="s">
        <v>672</v>
      </c>
      <c r="E200" s="161">
        <v>15000</v>
      </c>
      <c r="F200" s="165" t="s">
        <v>1727</v>
      </c>
      <c r="G200" s="109" t="s">
        <v>1727</v>
      </c>
      <c r="H200" s="109" t="s">
        <v>1933</v>
      </c>
      <c r="I200" s="109" t="s">
        <v>2039</v>
      </c>
      <c r="J200" s="109" t="s">
        <v>1708</v>
      </c>
      <c r="K200" s="109" t="s">
        <v>1708</v>
      </c>
      <c r="L200" s="109" t="s">
        <v>1987</v>
      </c>
      <c r="M200" s="166" t="s">
        <v>1687</v>
      </c>
      <c r="N200" s="108" t="s">
        <v>48</v>
      </c>
      <c r="O200" s="109" t="s">
        <v>48</v>
      </c>
      <c r="P200" s="162" t="s">
        <v>676</v>
      </c>
      <c r="Q200" s="109" t="s">
        <v>48</v>
      </c>
      <c r="R200" s="109" t="s">
        <v>48</v>
      </c>
      <c r="S200" s="109" t="s">
        <v>48</v>
      </c>
      <c r="T200" s="109" t="s">
        <v>48</v>
      </c>
      <c r="U200" s="109" t="s">
        <v>48</v>
      </c>
      <c r="V200" s="166" t="s">
        <v>48</v>
      </c>
      <c r="W200" s="165" t="s">
        <v>672</v>
      </c>
      <c r="X200" s="109" t="s">
        <v>672</v>
      </c>
      <c r="Y200" s="109" t="s">
        <v>48</v>
      </c>
      <c r="Z200" s="109" t="s">
        <v>48</v>
      </c>
      <c r="AA200" s="109" t="s">
        <v>48</v>
      </c>
      <c r="AB200" s="109" t="s">
        <v>48</v>
      </c>
      <c r="AC200" s="109" t="s">
        <v>48</v>
      </c>
      <c r="AD200" s="166" t="s">
        <v>48</v>
      </c>
      <c r="AE200" s="174" t="s">
        <v>48</v>
      </c>
      <c r="AF200" s="117" t="s">
        <v>48</v>
      </c>
      <c r="AG200" s="117" t="s">
        <v>48</v>
      </c>
      <c r="AH200" s="109" t="s">
        <v>48</v>
      </c>
      <c r="AI200" s="117" t="s">
        <v>48</v>
      </c>
      <c r="AJ200" s="109" t="s">
        <v>48</v>
      </c>
      <c r="AK200" s="166" t="s">
        <v>48</v>
      </c>
      <c r="AL200" s="165" t="s">
        <v>672</v>
      </c>
      <c r="AM200" s="109" t="s">
        <v>672</v>
      </c>
      <c r="AN200" s="109" t="s">
        <v>48</v>
      </c>
      <c r="AO200" s="109" t="s">
        <v>48</v>
      </c>
      <c r="AP200" s="109" t="s">
        <v>48</v>
      </c>
      <c r="AQ200" s="109" t="s">
        <v>48</v>
      </c>
      <c r="AR200" s="109" t="s">
        <v>48</v>
      </c>
      <c r="AS200" s="166" t="s">
        <v>48</v>
      </c>
      <c r="AT200" s="165" t="s">
        <v>48</v>
      </c>
      <c r="AU200" s="109" t="s">
        <v>48</v>
      </c>
      <c r="AV200" s="109" t="s">
        <v>48</v>
      </c>
      <c r="AW200" s="109" t="s">
        <v>48</v>
      </c>
      <c r="AX200" s="109" t="s">
        <v>48</v>
      </c>
      <c r="AY200" s="109" t="s">
        <v>48</v>
      </c>
      <c r="AZ200" s="166" t="s">
        <v>48</v>
      </c>
      <c r="BA200" s="162" t="s">
        <v>1860</v>
      </c>
      <c r="BB200" s="117" t="s">
        <v>677</v>
      </c>
      <c r="BC200" s="109" t="s">
        <v>1857</v>
      </c>
    </row>
    <row r="201" spans="1:55" ht="75" hidden="1" customHeight="1">
      <c r="A201" s="109" t="s">
        <v>660</v>
      </c>
      <c r="B201" s="117" t="s">
        <v>2013</v>
      </c>
      <c r="C201" s="117" t="s">
        <v>659</v>
      </c>
      <c r="D201" s="109" t="s">
        <v>672</v>
      </c>
      <c r="E201" s="161">
        <v>15000</v>
      </c>
      <c r="F201" s="165" t="s">
        <v>1726</v>
      </c>
      <c r="G201" s="109" t="s">
        <v>1726</v>
      </c>
      <c r="H201" s="109" t="s">
        <v>1934</v>
      </c>
      <c r="I201" s="109" t="s">
        <v>1908</v>
      </c>
      <c r="J201" s="109" t="s">
        <v>1708</v>
      </c>
      <c r="K201" s="109" t="s">
        <v>1708</v>
      </c>
      <c r="L201" s="109" t="s">
        <v>1859</v>
      </c>
      <c r="M201" s="166" t="s">
        <v>1687</v>
      </c>
      <c r="N201" s="108" t="s">
        <v>48</v>
      </c>
      <c r="O201" s="109" t="s">
        <v>48</v>
      </c>
      <c r="P201" s="162" t="s">
        <v>676</v>
      </c>
      <c r="Q201" s="109" t="s">
        <v>48</v>
      </c>
      <c r="R201" s="109" t="s">
        <v>48</v>
      </c>
      <c r="S201" s="109" t="s">
        <v>48</v>
      </c>
      <c r="T201" s="109" t="s">
        <v>48</v>
      </c>
      <c r="U201" s="109" t="s">
        <v>48</v>
      </c>
      <c r="V201" s="166" t="s">
        <v>48</v>
      </c>
      <c r="W201" s="165" t="s">
        <v>672</v>
      </c>
      <c r="X201" s="109" t="s">
        <v>672</v>
      </c>
      <c r="Y201" s="109" t="s">
        <v>48</v>
      </c>
      <c r="Z201" s="109" t="s">
        <v>48</v>
      </c>
      <c r="AA201" s="109" t="s">
        <v>48</v>
      </c>
      <c r="AB201" s="109" t="s">
        <v>48</v>
      </c>
      <c r="AC201" s="109" t="s">
        <v>48</v>
      </c>
      <c r="AD201" s="166" t="s">
        <v>48</v>
      </c>
      <c r="AE201" s="174" t="s">
        <v>48</v>
      </c>
      <c r="AF201" s="117" t="s">
        <v>48</v>
      </c>
      <c r="AG201" s="117" t="s">
        <v>48</v>
      </c>
      <c r="AH201" s="109" t="s">
        <v>48</v>
      </c>
      <c r="AI201" s="117" t="s">
        <v>48</v>
      </c>
      <c r="AJ201" s="109" t="s">
        <v>48</v>
      </c>
      <c r="AK201" s="166" t="s">
        <v>48</v>
      </c>
      <c r="AL201" s="165" t="s">
        <v>672</v>
      </c>
      <c r="AM201" s="109" t="s">
        <v>672</v>
      </c>
      <c r="AN201" s="109" t="s">
        <v>48</v>
      </c>
      <c r="AO201" s="109" t="s">
        <v>48</v>
      </c>
      <c r="AP201" s="109" t="s">
        <v>48</v>
      </c>
      <c r="AQ201" s="109" t="s">
        <v>48</v>
      </c>
      <c r="AR201" s="109" t="s">
        <v>48</v>
      </c>
      <c r="AS201" s="166" t="s">
        <v>48</v>
      </c>
      <c r="AT201" s="165" t="s">
        <v>48</v>
      </c>
      <c r="AU201" s="109" t="s">
        <v>48</v>
      </c>
      <c r="AV201" s="109" t="s">
        <v>48</v>
      </c>
      <c r="AW201" s="109" t="s">
        <v>48</v>
      </c>
      <c r="AX201" s="109" t="s">
        <v>48</v>
      </c>
      <c r="AY201" s="109" t="s">
        <v>48</v>
      </c>
      <c r="AZ201" s="166" t="s">
        <v>48</v>
      </c>
      <c r="BA201" s="162" t="s">
        <v>1860</v>
      </c>
      <c r="BB201" s="117" t="s">
        <v>677</v>
      </c>
      <c r="BC201" s="109" t="s">
        <v>1857</v>
      </c>
    </row>
    <row r="202" spans="1:55" ht="75" hidden="1" customHeight="1">
      <c r="A202" s="109" t="s">
        <v>12</v>
      </c>
      <c r="B202" s="109" t="s">
        <v>12</v>
      </c>
      <c r="C202" s="109" t="s">
        <v>87</v>
      </c>
      <c r="D202" s="109" t="s">
        <v>88</v>
      </c>
      <c r="E202" s="161">
        <v>200</v>
      </c>
      <c r="F202" s="165" t="s">
        <v>88</v>
      </c>
      <c r="G202" s="109" t="str">
        <f>F202</f>
        <v>PROFILEHD.0_M4_0736.a</v>
      </c>
      <c r="H202" s="109" t="s">
        <v>839</v>
      </c>
      <c r="I202" s="109" t="s">
        <v>1908</v>
      </c>
      <c r="J202" s="109" t="s">
        <v>579</v>
      </c>
      <c r="K202" s="109" t="s">
        <v>579</v>
      </c>
      <c r="L202" s="109" t="s">
        <v>845</v>
      </c>
      <c r="M202" s="166" t="s">
        <v>797</v>
      </c>
      <c r="N202" s="108" t="s">
        <v>48</v>
      </c>
      <c r="O202" s="109" t="s">
        <v>48</v>
      </c>
      <c r="P202" s="162" t="s">
        <v>48</v>
      </c>
      <c r="Q202" s="109" t="s">
        <v>48</v>
      </c>
      <c r="R202" s="109" t="s">
        <v>48</v>
      </c>
      <c r="S202" s="109" t="s">
        <v>48</v>
      </c>
      <c r="T202" s="109" t="s">
        <v>48</v>
      </c>
      <c r="U202" s="109" t="s">
        <v>48</v>
      </c>
      <c r="V202" s="166" t="s">
        <v>48</v>
      </c>
      <c r="W202" s="165" t="s">
        <v>88</v>
      </c>
      <c r="X202" s="109" t="str">
        <f>W202</f>
        <v>PROFILEHD.0_M4_0736.a</v>
      </c>
      <c r="Y202" s="109" t="s">
        <v>48</v>
      </c>
      <c r="Z202" s="109" t="s">
        <v>48</v>
      </c>
      <c r="AA202" s="109" t="s">
        <v>48</v>
      </c>
      <c r="AB202" s="109" t="s">
        <v>48</v>
      </c>
      <c r="AC202" s="109" t="s">
        <v>48</v>
      </c>
      <c r="AD202" s="166" t="s">
        <v>48</v>
      </c>
      <c r="AE202" s="165" t="s">
        <v>48</v>
      </c>
      <c r="AF202" s="109" t="s">
        <v>48</v>
      </c>
      <c r="AG202" s="109" t="s">
        <v>48</v>
      </c>
      <c r="AH202" s="109" t="s">
        <v>48</v>
      </c>
      <c r="AI202" s="109" t="s">
        <v>48</v>
      </c>
      <c r="AJ202" s="109" t="s">
        <v>48</v>
      </c>
      <c r="AK202" s="166" t="s">
        <v>48</v>
      </c>
      <c r="AL202" s="165" t="s">
        <v>88</v>
      </c>
      <c r="AM202" s="109" t="str">
        <f>AL202</f>
        <v>PROFILEHD.0_M4_0736.a</v>
      </c>
      <c r="AN202" s="109" t="s">
        <v>48</v>
      </c>
      <c r="AO202" s="109" t="s">
        <v>48</v>
      </c>
      <c r="AP202" s="109" t="s">
        <v>48</v>
      </c>
      <c r="AQ202" s="109" t="s">
        <v>48</v>
      </c>
      <c r="AR202" s="109" t="s">
        <v>48</v>
      </c>
      <c r="AS202" s="166" t="s">
        <v>48</v>
      </c>
      <c r="AT202" s="165" t="s">
        <v>48</v>
      </c>
      <c r="AU202" s="109" t="s">
        <v>48</v>
      </c>
      <c r="AV202" s="109" t="s">
        <v>48</v>
      </c>
      <c r="AW202" s="109" t="s">
        <v>48</v>
      </c>
      <c r="AX202" s="109" t="s">
        <v>48</v>
      </c>
      <c r="AY202" s="109" t="s">
        <v>48</v>
      </c>
      <c r="AZ202" s="166" t="s">
        <v>48</v>
      </c>
      <c r="BA202" s="162" t="s">
        <v>830</v>
      </c>
      <c r="BB202" s="109" t="s">
        <v>82</v>
      </c>
      <c r="BC202" s="79"/>
    </row>
    <row r="203" spans="1:55" ht="75" hidden="1" customHeight="1">
      <c r="A203" s="109" t="s">
        <v>11</v>
      </c>
      <c r="B203" s="109" t="s">
        <v>11</v>
      </c>
      <c r="C203" s="109" t="s">
        <v>11</v>
      </c>
      <c r="D203" s="109" t="s">
        <v>79</v>
      </c>
      <c r="E203" s="161">
        <v>200</v>
      </c>
      <c r="F203" s="165" t="s">
        <v>79</v>
      </c>
      <c r="G203" s="109" t="str">
        <f>F203</f>
        <v>PROFILE5.293a_M4_0542.a</v>
      </c>
      <c r="H203" s="109" t="s">
        <v>48</v>
      </c>
      <c r="I203" s="109" t="s">
        <v>48</v>
      </c>
      <c r="J203" s="109" t="s">
        <v>48</v>
      </c>
      <c r="K203" s="109" t="s">
        <v>48</v>
      </c>
      <c r="L203" s="109" t="s">
        <v>48</v>
      </c>
      <c r="M203" s="166" t="s">
        <v>48</v>
      </c>
      <c r="N203" s="108" t="s">
        <v>48</v>
      </c>
      <c r="O203" s="109" t="s">
        <v>48</v>
      </c>
      <c r="P203" s="162" t="s">
        <v>48</v>
      </c>
      <c r="Q203" s="109" t="s">
        <v>48</v>
      </c>
      <c r="R203" s="109" t="s">
        <v>48</v>
      </c>
      <c r="S203" s="109" t="s">
        <v>48</v>
      </c>
      <c r="T203" s="109" t="s">
        <v>48</v>
      </c>
      <c r="U203" s="109" t="s">
        <v>48</v>
      </c>
      <c r="V203" s="166" t="s">
        <v>48</v>
      </c>
      <c r="W203" s="165" t="s">
        <v>79</v>
      </c>
      <c r="X203" s="109" t="str">
        <f>W203</f>
        <v>PROFILE5.293a_M4_0542.a</v>
      </c>
      <c r="Y203" s="109" t="s">
        <v>48</v>
      </c>
      <c r="Z203" s="109" t="s">
        <v>48</v>
      </c>
      <c r="AA203" s="109" t="s">
        <v>48</v>
      </c>
      <c r="AB203" s="109" t="s">
        <v>48</v>
      </c>
      <c r="AC203" s="109" t="s">
        <v>48</v>
      </c>
      <c r="AD203" s="166" t="s">
        <v>48</v>
      </c>
      <c r="AE203" s="165" t="s">
        <v>80</v>
      </c>
      <c r="AF203" s="109" t="s">
        <v>48</v>
      </c>
      <c r="AG203" s="109" t="s">
        <v>48</v>
      </c>
      <c r="AH203" s="109" t="s">
        <v>48</v>
      </c>
      <c r="AI203" s="109" t="s">
        <v>48</v>
      </c>
      <c r="AJ203" s="109" t="s">
        <v>48</v>
      </c>
      <c r="AK203" s="166" t="s">
        <v>48</v>
      </c>
      <c r="AL203" s="165" t="s">
        <v>79</v>
      </c>
      <c r="AM203" s="109" t="str">
        <f>AL203</f>
        <v>PROFILE5.293a_M4_0542.a</v>
      </c>
      <c r="AN203" s="109" t="s">
        <v>48</v>
      </c>
      <c r="AO203" s="109" t="s">
        <v>48</v>
      </c>
      <c r="AP203" s="109" t="s">
        <v>48</v>
      </c>
      <c r="AQ203" s="109" t="s">
        <v>48</v>
      </c>
      <c r="AR203" s="109" t="s">
        <v>48</v>
      </c>
      <c r="AS203" s="166" t="s">
        <v>48</v>
      </c>
      <c r="AT203" s="165" t="s">
        <v>48</v>
      </c>
      <c r="AU203" s="109" t="s">
        <v>48</v>
      </c>
      <c r="AV203" s="109" t="s">
        <v>48</v>
      </c>
      <c r="AW203" s="109" t="s">
        <v>48</v>
      </c>
      <c r="AX203" s="109" t="s">
        <v>48</v>
      </c>
      <c r="AY203" s="109" t="s">
        <v>48</v>
      </c>
      <c r="AZ203" s="166" t="s">
        <v>48</v>
      </c>
      <c r="BA203" s="162" t="s">
        <v>272</v>
      </c>
      <c r="BB203" s="109" t="s">
        <v>82</v>
      </c>
      <c r="BC203" s="79"/>
    </row>
    <row r="204" spans="1:55" ht="75" hidden="1" customHeight="1">
      <c r="A204" s="109" t="s">
        <v>31</v>
      </c>
      <c r="B204" s="109" t="s">
        <v>2019</v>
      </c>
      <c r="C204" s="117" t="s">
        <v>1396</v>
      </c>
      <c r="D204" s="109" t="s">
        <v>1403</v>
      </c>
      <c r="E204" s="161">
        <v>30000</v>
      </c>
      <c r="F204" s="165" t="s">
        <v>1403</v>
      </c>
      <c r="G204" s="109" t="s">
        <v>1403</v>
      </c>
      <c r="H204" s="109" t="s">
        <v>48</v>
      </c>
      <c r="I204" s="109" t="s">
        <v>48</v>
      </c>
      <c r="J204" s="109" t="s">
        <v>48</v>
      </c>
      <c r="K204" s="109" t="s">
        <v>48</v>
      </c>
      <c r="L204" s="109" t="s">
        <v>48</v>
      </c>
      <c r="M204" s="166" t="s">
        <v>1393</v>
      </c>
      <c r="N204" s="108" t="s">
        <v>48</v>
      </c>
      <c r="O204" s="109" t="s">
        <v>48</v>
      </c>
      <c r="P204" s="162" t="s">
        <v>48</v>
      </c>
      <c r="Q204" s="109" t="s">
        <v>48</v>
      </c>
      <c r="R204" s="109" t="s">
        <v>48</v>
      </c>
      <c r="S204" s="109" t="s">
        <v>48</v>
      </c>
      <c r="T204" s="109" t="s">
        <v>48</v>
      </c>
      <c r="U204" s="109" t="s">
        <v>48</v>
      </c>
      <c r="V204" s="166" t="s">
        <v>48</v>
      </c>
      <c r="W204" s="165" t="s">
        <v>1403</v>
      </c>
      <c r="X204" s="109" t="s">
        <v>1403</v>
      </c>
      <c r="Y204" s="109" t="s">
        <v>48</v>
      </c>
      <c r="Z204" s="109" t="s">
        <v>48</v>
      </c>
      <c r="AA204" s="109" t="s">
        <v>48</v>
      </c>
      <c r="AB204" s="109" t="s">
        <v>48</v>
      </c>
      <c r="AC204" s="109" t="s">
        <v>48</v>
      </c>
      <c r="AD204" s="166" t="s">
        <v>48</v>
      </c>
      <c r="AE204" s="174" t="s">
        <v>48</v>
      </c>
      <c r="AF204" s="117" t="s">
        <v>48</v>
      </c>
      <c r="AG204" s="117" t="s">
        <v>48</v>
      </c>
      <c r="AH204" s="109" t="s">
        <v>48</v>
      </c>
      <c r="AI204" s="117" t="s">
        <v>48</v>
      </c>
      <c r="AJ204" s="117" t="s">
        <v>48</v>
      </c>
      <c r="AK204" s="182" t="s">
        <v>48</v>
      </c>
      <c r="AL204" s="165" t="s">
        <v>1403</v>
      </c>
      <c r="AM204" s="109" t="s">
        <v>1403</v>
      </c>
      <c r="AN204" s="109" t="s">
        <v>48</v>
      </c>
      <c r="AO204" s="109" t="s">
        <v>48</v>
      </c>
      <c r="AP204" s="109" t="s">
        <v>48</v>
      </c>
      <c r="AQ204" s="109" t="s">
        <v>48</v>
      </c>
      <c r="AR204" s="109" t="s">
        <v>48</v>
      </c>
      <c r="AS204" s="166" t="s">
        <v>1393</v>
      </c>
      <c r="AT204" s="165" t="s">
        <v>48</v>
      </c>
      <c r="AU204" s="109" t="s">
        <v>48</v>
      </c>
      <c r="AV204" s="109" t="s">
        <v>48</v>
      </c>
      <c r="AW204" s="109" t="s">
        <v>48</v>
      </c>
      <c r="AX204" s="109" t="s">
        <v>48</v>
      </c>
      <c r="AY204" s="109" t="s">
        <v>48</v>
      </c>
      <c r="AZ204" s="166" t="s">
        <v>48</v>
      </c>
      <c r="BA204" s="162" t="s">
        <v>48</v>
      </c>
      <c r="BB204" s="109" t="s">
        <v>82</v>
      </c>
      <c r="BC204" s="109" t="s">
        <v>1394</v>
      </c>
    </row>
    <row r="205" spans="1:55" ht="75" hidden="1" customHeight="1">
      <c r="A205" s="109" t="s">
        <v>31</v>
      </c>
      <c r="B205" s="109" t="s">
        <v>2027</v>
      </c>
      <c r="C205" s="117" t="s">
        <v>1396</v>
      </c>
      <c r="D205" s="109" t="s">
        <v>1403</v>
      </c>
      <c r="E205" s="161">
        <v>30000</v>
      </c>
      <c r="F205" s="165" t="s">
        <v>1403</v>
      </c>
      <c r="G205" s="109" t="s">
        <v>1403</v>
      </c>
      <c r="H205" s="109" t="s">
        <v>48</v>
      </c>
      <c r="I205" s="109" t="s">
        <v>48</v>
      </c>
      <c r="J205" s="109" t="s">
        <v>48</v>
      </c>
      <c r="K205" s="109" t="s">
        <v>48</v>
      </c>
      <c r="L205" s="109" t="s">
        <v>48</v>
      </c>
      <c r="M205" s="166" t="s">
        <v>1393</v>
      </c>
      <c r="N205" s="108" t="s">
        <v>48</v>
      </c>
      <c r="O205" s="109" t="s">
        <v>48</v>
      </c>
      <c r="P205" s="162" t="s">
        <v>48</v>
      </c>
      <c r="Q205" s="109" t="s">
        <v>48</v>
      </c>
      <c r="R205" s="109" t="s">
        <v>48</v>
      </c>
      <c r="S205" s="109" t="s">
        <v>48</v>
      </c>
      <c r="T205" s="109" t="s">
        <v>48</v>
      </c>
      <c r="U205" s="109" t="s">
        <v>48</v>
      </c>
      <c r="V205" s="166" t="s">
        <v>48</v>
      </c>
      <c r="W205" s="165" t="s">
        <v>1403</v>
      </c>
      <c r="X205" s="109" t="s">
        <v>1403</v>
      </c>
      <c r="Y205" s="109" t="s">
        <v>48</v>
      </c>
      <c r="Z205" s="109" t="s">
        <v>48</v>
      </c>
      <c r="AA205" s="109" t="s">
        <v>48</v>
      </c>
      <c r="AB205" s="109" t="s">
        <v>48</v>
      </c>
      <c r="AC205" s="109" t="s">
        <v>48</v>
      </c>
      <c r="AD205" s="166" t="s">
        <v>48</v>
      </c>
      <c r="AE205" s="174" t="s">
        <v>48</v>
      </c>
      <c r="AF205" s="117" t="s">
        <v>48</v>
      </c>
      <c r="AG205" s="117" t="s">
        <v>48</v>
      </c>
      <c r="AH205" s="109" t="s">
        <v>48</v>
      </c>
      <c r="AI205" s="117" t="s">
        <v>48</v>
      </c>
      <c r="AJ205" s="117" t="s">
        <v>48</v>
      </c>
      <c r="AK205" s="182" t="s">
        <v>48</v>
      </c>
      <c r="AL205" s="165" t="s">
        <v>1403</v>
      </c>
      <c r="AM205" s="109" t="s">
        <v>1403</v>
      </c>
      <c r="AN205" s="109" t="s">
        <v>48</v>
      </c>
      <c r="AO205" s="109" t="s">
        <v>48</v>
      </c>
      <c r="AP205" s="109" t="s">
        <v>48</v>
      </c>
      <c r="AQ205" s="109" t="s">
        <v>48</v>
      </c>
      <c r="AR205" s="109" t="s">
        <v>48</v>
      </c>
      <c r="AS205" s="166" t="s">
        <v>1393</v>
      </c>
      <c r="AT205" s="165" t="s">
        <v>48</v>
      </c>
      <c r="AU205" s="109" t="s">
        <v>48</v>
      </c>
      <c r="AV205" s="109" t="s">
        <v>48</v>
      </c>
      <c r="AW205" s="109" t="s">
        <v>48</v>
      </c>
      <c r="AX205" s="109" t="s">
        <v>48</v>
      </c>
      <c r="AY205" s="109" t="s">
        <v>48</v>
      </c>
      <c r="AZ205" s="166" t="s">
        <v>48</v>
      </c>
      <c r="BA205" s="162" t="s">
        <v>48</v>
      </c>
      <c r="BB205" s="109" t="s">
        <v>82</v>
      </c>
      <c r="BC205" s="109" t="s">
        <v>1394</v>
      </c>
    </row>
    <row r="206" spans="1:55" ht="75" hidden="1" customHeight="1">
      <c r="A206" s="109" t="s">
        <v>31</v>
      </c>
      <c r="B206" s="109" t="s">
        <v>2019</v>
      </c>
      <c r="C206" s="109" t="s">
        <v>1112</v>
      </c>
      <c r="D206" s="109" t="s">
        <v>1111</v>
      </c>
      <c r="E206" s="161">
        <v>30000</v>
      </c>
      <c r="F206" s="165" t="s">
        <v>1111</v>
      </c>
      <c r="G206" s="109" t="s">
        <v>1111</v>
      </c>
      <c r="H206" s="109" t="s">
        <v>48</v>
      </c>
      <c r="I206" s="109" t="s">
        <v>48</v>
      </c>
      <c r="J206" s="109" t="s">
        <v>48</v>
      </c>
      <c r="K206" s="109" t="s">
        <v>48</v>
      </c>
      <c r="L206" s="109" t="s">
        <v>48</v>
      </c>
      <c r="M206" s="166" t="s">
        <v>944</v>
      </c>
      <c r="N206" s="108" t="s">
        <v>48</v>
      </c>
      <c r="O206" s="109" t="s">
        <v>48</v>
      </c>
      <c r="P206" s="162" t="s">
        <v>48</v>
      </c>
      <c r="Q206" s="109" t="s">
        <v>48</v>
      </c>
      <c r="R206" s="109" t="s">
        <v>48</v>
      </c>
      <c r="S206" s="109" t="s">
        <v>48</v>
      </c>
      <c r="T206" s="109" t="s">
        <v>48</v>
      </c>
      <c r="U206" s="109" t="s">
        <v>48</v>
      </c>
      <c r="V206" s="166" t="s">
        <v>48</v>
      </c>
      <c r="W206" s="165" t="s">
        <v>1111</v>
      </c>
      <c r="X206" s="109" t="s">
        <v>1111</v>
      </c>
      <c r="Y206" s="109" t="s">
        <v>48</v>
      </c>
      <c r="Z206" s="109" t="s">
        <v>48</v>
      </c>
      <c r="AA206" s="109" t="s">
        <v>48</v>
      </c>
      <c r="AB206" s="109" t="s">
        <v>48</v>
      </c>
      <c r="AC206" s="109" t="s">
        <v>48</v>
      </c>
      <c r="AD206" s="166" t="s">
        <v>48</v>
      </c>
      <c r="AE206" s="174" t="s">
        <v>48</v>
      </c>
      <c r="AF206" s="117" t="s">
        <v>48</v>
      </c>
      <c r="AG206" s="117" t="s">
        <v>48</v>
      </c>
      <c r="AH206" s="109" t="s">
        <v>48</v>
      </c>
      <c r="AI206" s="117" t="s">
        <v>48</v>
      </c>
      <c r="AJ206" s="117" t="s">
        <v>48</v>
      </c>
      <c r="AK206" s="182" t="s">
        <v>48</v>
      </c>
      <c r="AL206" s="165" t="s">
        <v>1111</v>
      </c>
      <c r="AM206" s="109" t="s">
        <v>1111</v>
      </c>
      <c r="AN206" s="109" t="s">
        <v>48</v>
      </c>
      <c r="AO206" s="109" t="s">
        <v>48</v>
      </c>
      <c r="AP206" s="109" t="s">
        <v>48</v>
      </c>
      <c r="AQ206" s="109" t="s">
        <v>48</v>
      </c>
      <c r="AR206" s="109" t="s">
        <v>48</v>
      </c>
      <c r="AS206" s="166" t="s">
        <v>944</v>
      </c>
      <c r="AT206" s="165" t="s">
        <v>48</v>
      </c>
      <c r="AU206" s="109" t="s">
        <v>48</v>
      </c>
      <c r="AV206" s="109" t="s">
        <v>48</v>
      </c>
      <c r="AW206" s="109" t="s">
        <v>48</v>
      </c>
      <c r="AX206" s="109" t="s">
        <v>48</v>
      </c>
      <c r="AY206" s="109" t="s">
        <v>48</v>
      </c>
      <c r="AZ206" s="166" t="s">
        <v>48</v>
      </c>
      <c r="BA206" s="162" t="s">
        <v>48</v>
      </c>
      <c r="BB206" s="109" t="s">
        <v>49</v>
      </c>
      <c r="BC206" s="109" t="s">
        <v>1113</v>
      </c>
    </row>
    <row r="207" spans="1:55" ht="75" hidden="1" customHeight="1">
      <c r="A207" s="109" t="s">
        <v>31</v>
      </c>
      <c r="B207" s="109" t="s">
        <v>2027</v>
      </c>
      <c r="C207" s="109" t="s">
        <v>1112</v>
      </c>
      <c r="D207" s="109" t="s">
        <v>1111</v>
      </c>
      <c r="E207" s="161">
        <v>30000</v>
      </c>
      <c r="F207" s="165" t="s">
        <v>1111</v>
      </c>
      <c r="G207" s="109" t="s">
        <v>1111</v>
      </c>
      <c r="H207" s="109" t="s">
        <v>48</v>
      </c>
      <c r="I207" s="109" t="s">
        <v>48</v>
      </c>
      <c r="J207" s="109" t="s">
        <v>48</v>
      </c>
      <c r="K207" s="109" t="s">
        <v>48</v>
      </c>
      <c r="L207" s="109" t="s">
        <v>48</v>
      </c>
      <c r="M207" s="166" t="s">
        <v>944</v>
      </c>
      <c r="N207" s="108" t="s">
        <v>48</v>
      </c>
      <c r="O207" s="109" t="s">
        <v>48</v>
      </c>
      <c r="P207" s="162" t="s">
        <v>48</v>
      </c>
      <c r="Q207" s="109" t="s">
        <v>48</v>
      </c>
      <c r="R207" s="109" t="s">
        <v>48</v>
      </c>
      <c r="S207" s="109" t="s">
        <v>48</v>
      </c>
      <c r="T207" s="109" t="s">
        <v>48</v>
      </c>
      <c r="U207" s="109" t="s">
        <v>48</v>
      </c>
      <c r="V207" s="166" t="s">
        <v>48</v>
      </c>
      <c r="W207" s="165" t="s">
        <v>1111</v>
      </c>
      <c r="X207" s="109" t="s">
        <v>1111</v>
      </c>
      <c r="Y207" s="109" t="s">
        <v>48</v>
      </c>
      <c r="Z207" s="109" t="s">
        <v>48</v>
      </c>
      <c r="AA207" s="109" t="s">
        <v>48</v>
      </c>
      <c r="AB207" s="109" t="s">
        <v>48</v>
      </c>
      <c r="AC207" s="109" t="s">
        <v>48</v>
      </c>
      <c r="AD207" s="166" t="s">
        <v>48</v>
      </c>
      <c r="AE207" s="174" t="s">
        <v>48</v>
      </c>
      <c r="AF207" s="117" t="s">
        <v>48</v>
      </c>
      <c r="AG207" s="117" t="s">
        <v>48</v>
      </c>
      <c r="AH207" s="109" t="s">
        <v>48</v>
      </c>
      <c r="AI207" s="117" t="s">
        <v>48</v>
      </c>
      <c r="AJ207" s="117" t="s">
        <v>48</v>
      </c>
      <c r="AK207" s="182" t="s">
        <v>48</v>
      </c>
      <c r="AL207" s="165" t="s">
        <v>1111</v>
      </c>
      <c r="AM207" s="109" t="s">
        <v>1111</v>
      </c>
      <c r="AN207" s="109" t="s">
        <v>48</v>
      </c>
      <c r="AO207" s="109" t="s">
        <v>48</v>
      </c>
      <c r="AP207" s="109" t="s">
        <v>48</v>
      </c>
      <c r="AQ207" s="109" t="s">
        <v>48</v>
      </c>
      <c r="AR207" s="109" t="s">
        <v>48</v>
      </c>
      <c r="AS207" s="166" t="s">
        <v>944</v>
      </c>
      <c r="AT207" s="165" t="s">
        <v>48</v>
      </c>
      <c r="AU207" s="109" t="s">
        <v>48</v>
      </c>
      <c r="AV207" s="109" t="s">
        <v>48</v>
      </c>
      <c r="AW207" s="109" t="s">
        <v>48</v>
      </c>
      <c r="AX207" s="109" t="s">
        <v>48</v>
      </c>
      <c r="AY207" s="109" t="s">
        <v>48</v>
      </c>
      <c r="AZ207" s="166" t="s">
        <v>48</v>
      </c>
      <c r="BA207" s="162" t="s">
        <v>48</v>
      </c>
      <c r="BB207" s="109" t="s">
        <v>49</v>
      </c>
      <c r="BC207" s="109" t="s">
        <v>1113</v>
      </c>
    </row>
    <row r="208" spans="1:55" ht="75" hidden="1" customHeight="1">
      <c r="A208" s="109" t="s">
        <v>31</v>
      </c>
      <c r="B208" s="109" t="s">
        <v>2019</v>
      </c>
      <c r="C208" s="109" t="s">
        <v>938</v>
      </c>
      <c r="D208" s="109" t="s">
        <v>937</v>
      </c>
      <c r="E208" s="161">
        <v>30000</v>
      </c>
      <c r="F208" s="165" t="s">
        <v>937</v>
      </c>
      <c r="G208" s="109" t="s">
        <v>937</v>
      </c>
      <c r="H208" s="109" t="s">
        <v>48</v>
      </c>
      <c r="I208" s="109" t="s">
        <v>48</v>
      </c>
      <c r="J208" s="109" t="s">
        <v>48</v>
      </c>
      <c r="K208" s="109" t="s">
        <v>48</v>
      </c>
      <c r="L208" s="109" t="s">
        <v>48</v>
      </c>
      <c r="M208" s="166" t="s">
        <v>944</v>
      </c>
      <c r="N208" s="108" t="s">
        <v>48</v>
      </c>
      <c r="O208" s="109" t="s">
        <v>48</v>
      </c>
      <c r="P208" s="162" t="s">
        <v>48</v>
      </c>
      <c r="Q208" s="109" t="s">
        <v>48</v>
      </c>
      <c r="R208" s="109" t="s">
        <v>48</v>
      </c>
      <c r="S208" s="109" t="s">
        <v>48</v>
      </c>
      <c r="T208" s="109" t="s">
        <v>48</v>
      </c>
      <c r="U208" s="109" t="s">
        <v>48</v>
      </c>
      <c r="V208" s="166" t="s">
        <v>48</v>
      </c>
      <c r="W208" s="165" t="s">
        <v>937</v>
      </c>
      <c r="X208" s="109" t="s">
        <v>937</v>
      </c>
      <c r="Y208" s="109" t="s">
        <v>48</v>
      </c>
      <c r="Z208" s="109" t="s">
        <v>48</v>
      </c>
      <c r="AA208" s="109" t="s">
        <v>48</v>
      </c>
      <c r="AB208" s="109" t="s">
        <v>48</v>
      </c>
      <c r="AC208" s="109" t="s">
        <v>48</v>
      </c>
      <c r="AD208" s="166" t="s">
        <v>944</v>
      </c>
      <c r="AE208" s="174" t="s">
        <v>48</v>
      </c>
      <c r="AF208" s="117" t="s">
        <v>48</v>
      </c>
      <c r="AG208" s="117" t="s">
        <v>48</v>
      </c>
      <c r="AH208" s="109" t="s">
        <v>48</v>
      </c>
      <c r="AI208" s="117" t="s">
        <v>48</v>
      </c>
      <c r="AJ208" s="117" t="s">
        <v>48</v>
      </c>
      <c r="AK208" s="182" t="s">
        <v>48</v>
      </c>
      <c r="AL208" s="165" t="s">
        <v>937</v>
      </c>
      <c r="AM208" s="109" t="s">
        <v>937</v>
      </c>
      <c r="AN208" s="109" t="s">
        <v>48</v>
      </c>
      <c r="AO208" s="109" t="s">
        <v>48</v>
      </c>
      <c r="AP208" s="109" t="s">
        <v>48</v>
      </c>
      <c r="AQ208" s="109" t="s">
        <v>48</v>
      </c>
      <c r="AR208" s="109" t="s">
        <v>48</v>
      </c>
      <c r="AS208" s="166" t="s">
        <v>944</v>
      </c>
      <c r="AT208" s="165" t="s">
        <v>48</v>
      </c>
      <c r="AU208" s="109" t="s">
        <v>48</v>
      </c>
      <c r="AV208" s="109" t="s">
        <v>48</v>
      </c>
      <c r="AW208" s="109" t="s">
        <v>48</v>
      </c>
      <c r="AX208" s="109" t="s">
        <v>48</v>
      </c>
      <c r="AY208" s="109" t="s">
        <v>48</v>
      </c>
      <c r="AZ208" s="166" t="s">
        <v>48</v>
      </c>
      <c r="BA208" s="162" t="s">
        <v>48</v>
      </c>
      <c r="BB208" s="109" t="s">
        <v>49</v>
      </c>
      <c r="BC208" s="109" t="s">
        <v>939</v>
      </c>
    </row>
    <row r="209" spans="1:55" ht="75" hidden="1" customHeight="1">
      <c r="A209" s="109" t="s">
        <v>31</v>
      </c>
      <c r="B209" s="109" t="s">
        <v>2027</v>
      </c>
      <c r="C209" s="109" t="s">
        <v>938</v>
      </c>
      <c r="D209" s="109" t="s">
        <v>937</v>
      </c>
      <c r="E209" s="161">
        <v>30000</v>
      </c>
      <c r="F209" s="165" t="s">
        <v>937</v>
      </c>
      <c r="G209" s="109" t="s">
        <v>937</v>
      </c>
      <c r="H209" s="109" t="s">
        <v>48</v>
      </c>
      <c r="I209" s="109" t="s">
        <v>48</v>
      </c>
      <c r="J209" s="109" t="s">
        <v>48</v>
      </c>
      <c r="K209" s="109" t="s">
        <v>48</v>
      </c>
      <c r="L209" s="109" t="s">
        <v>48</v>
      </c>
      <c r="M209" s="166" t="s">
        <v>944</v>
      </c>
      <c r="N209" s="108" t="s">
        <v>48</v>
      </c>
      <c r="O209" s="109" t="s">
        <v>48</v>
      </c>
      <c r="P209" s="162" t="s">
        <v>48</v>
      </c>
      <c r="Q209" s="109" t="s">
        <v>48</v>
      </c>
      <c r="R209" s="109" t="s">
        <v>48</v>
      </c>
      <c r="S209" s="109" t="s">
        <v>48</v>
      </c>
      <c r="T209" s="109" t="s">
        <v>48</v>
      </c>
      <c r="U209" s="109" t="s">
        <v>48</v>
      </c>
      <c r="V209" s="166" t="s">
        <v>48</v>
      </c>
      <c r="W209" s="165" t="s">
        <v>937</v>
      </c>
      <c r="X209" s="109" t="s">
        <v>937</v>
      </c>
      <c r="Y209" s="109" t="s">
        <v>48</v>
      </c>
      <c r="Z209" s="109" t="s">
        <v>48</v>
      </c>
      <c r="AA209" s="109" t="s">
        <v>48</v>
      </c>
      <c r="AB209" s="109" t="s">
        <v>48</v>
      </c>
      <c r="AC209" s="109" t="s">
        <v>48</v>
      </c>
      <c r="AD209" s="166" t="s">
        <v>944</v>
      </c>
      <c r="AE209" s="174" t="s">
        <v>48</v>
      </c>
      <c r="AF209" s="117" t="s">
        <v>48</v>
      </c>
      <c r="AG209" s="117" t="s">
        <v>48</v>
      </c>
      <c r="AH209" s="109" t="s">
        <v>48</v>
      </c>
      <c r="AI209" s="117" t="s">
        <v>48</v>
      </c>
      <c r="AJ209" s="117" t="s">
        <v>48</v>
      </c>
      <c r="AK209" s="182" t="s">
        <v>48</v>
      </c>
      <c r="AL209" s="165" t="s">
        <v>937</v>
      </c>
      <c r="AM209" s="109" t="s">
        <v>937</v>
      </c>
      <c r="AN209" s="109" t="s">
        <v>48</v>
      </c>
      <c r="AO209" s="109" t="s">
        <v>48</v>
      </c>
      <c r="AP209" s="109" t="s">
        <v>48</v>
      </c>
      <c r="AQ209" s="109" t="s">
        <v>48</v>
      </c>
      <c r="AR209" s="109" t="s">
        <v>48</v>
      </c>
      <c r="AS209" s="166" t="s">
        <v>944</v>
      </c>
      <c r="AT209" s="165" t="s">
        <v>48</v>
      </c>
      <c r="AU209" s="109" t="s">
        <v>48</v>
      </c>
      <c r="AV209" s="109" t="s">
        <v>48</v>
      </c>
      <c r="AW209" s="109" t="s">
        <v>48</v>
      </c>
      <c r="AX209" s="109" t="s">
        <v>48</v>
      </c>
      <c r="AY209" s="109" t="s">
        <v>48</v>
      </c>
      <c r="AZ209" s="166" t="s">
        <v>48</v>
      </c>
      <c r="BA209" s="162" t="s">
        <v>48</v>
      </c>
      <c r="BB209" s="109" t="s">
        <v>49</v>
      </c>
      <c r="BC209" s="109" t="s">
        <v>939</v>
      </c>
    </row>
    <row r="210" spans="1:55" ht="75" hidden="1" customHeight="1">
      <c r="A210" s="109" t="s">
        <v>1599</v>
      </c>
      <c r="B210" s="109" t="s">
        <v>2015</v>
      </c>
      <c r="C210" s="109" t="s">
        <v>1600</v>
      </c>
      <c r="D210" s="109" t="s">
        <v>1582</v>
      </c>
      <c r="E210" s="161">
        <v>15000</v>
      </c>
      <c r="F210" s="165" t="s">
        <v>1866</v>
      </c>
      <c r="G210" s="109" t="s">
        <v>1866</v>
      </c>
      <c r="H210" s="109" t="s">
        <v>1966</v>
      </c>
      <c r="I210" s="109" t="s">
        <v>2039</v>
      </c>
      <c r="J210" s="109" t="s">
        <v>1708</v>
      </c>
      <c r="K210" s="109" t="s">
        <v>1708</v>
      </c>
      <c r="L210" s="109" t="s">
        <v>2002</v>
      </c>
      <c r="M210" s="166" t="s">
        <v>1687</v>
      </c>
      <c r="N210" s="108" t="s">
        <v>48</v>
      </c>
      <c r="O210" s="109" t="s">
        <v>48</v>
      </c>
      <c r="P210" s="162" t="s">
        <v>48</v>
      </c>
      <c r="Q210" s="109" t="s">
        <v>48</v>
      </c>
      <c r="R210" s="109" t="s">
        <v>48</v>
      </c>
      <c r="S210" s="109" t="s">
        <v>48</v>
      </c>
      <c r="T210" s="109" t="s">
        <v>48</v>
      </c>
      <c r="U210" s="109" t="s">
        <v>48</v>
      </c>
      <c r="V210" s="166" t="s">
        <v>48</v>
      </c>
      <c r="W210" s="165" t="s">
        <v>1582</v>
      </c>
      <c r="X210" s="109" t="s">
        <v>1582</v>
      </c>
      <c r="Y210" s="109" t="s">
        <v>48</v>
      </c>
      <c r="Z210" s="109" t="s">
        <v>48</v>
      </c>
      <c r="AA210" s="109" t="s">
        <v>48</v>
      </c>
      <c r="AB210" s="109" t="s">
        <v>48</v>
      </c>
      <c r="AC210" s="109" t="s">
        <v>48</v>
      </c>
      <c r="AD210" s="166" t="s">
        <v>48</v>
      </c>
      <c r="AE210" s="174" t="s">
        <v>48</v>
      </c>
      <c r="AF210" s="117" t="s">
        <v>48</v>
      </c>
      <c r="AG210" s="117" t="s">
        <v>48</v>
      </c>
      <c r="AH210" s="109" t="s">
        <v>48</v>
      </c>
      <c r="AI210" s="117" t="s">
        <v>48</v>
      </c>
      <c r="AJ210" s="117" t="s">
        <v>48</v>
      </c>
      <c r="AK210" s="182" t="s">
        <v>48</v>
      </c>
      <c r="AL210" s="165" t="s">
        <v>2586</v>
      </c>
      <c r="AM210" s="109" t="s">
        <v>2586</v>
      </c>
      <c r="AN210" s="109" t="s">
        <v>2587</v>
      </c>
      <c r="AO210" s="109" t="s">
        <v>2419</v>
      </c>
      <c r="AP210" s="109" t="s">
        <v>2413</v>
      </c>
      <c r="AQ210" s="109" t="s">
        <v>2413</v>
      </c>
      <c r="AR210" s="109" t="s">
        <v>2588</v>
      </c>
      <c r="AS210" s="166" t="s">
        <v>2589</v>
      </c>
      <c r="AT210" s="165" t="s">
        <v>48</v>
      </c>
      <c r="AU210" s="109" t="s">
        <v>48</v>
      </c>
      <c r="AV210" s="109" t="s">
        <v>48</v>
      </c>
      <c r="AW210" s="109" t="s">
        <v>48</v>
      </c>
      <c r="AX210" s="109" t="s">
        <v>48</v>
      </c>
      <c r="AY210" s="109" t="s">
        <v>48</v>
      </c>
      <c r="AZ210" s="166" t="s">
        <v>48</v>
      </c>
      <c r="BA210" s="162" t="s">
        <v>1865</v>
      </c>
      <c r="BB210" s="109" t="s">
        <v>82</v>
      </c>
      <c r="BC210" s="109" t="s">
        <v>1868</v>
      </c>
    </row>
    <row r="211" spans="1:55" ht="75" hidden="1" customHeight="1">
      <c r="A211" s="109" t="s">
        <v>21</v>
      </c>
      <c r="B211" s="109" t="s">
        <v>21</v>
      </c>
      <c r="C211" s="109" t="s">
        <v>21</v>
      </c>
      <c r="D211" s="109" t="s">
        <v>116</v>
      </c>
      <c r="E211" s="161">
        <v>500</v>
      </c>
      <c r="F211" s="165" t="s">
        <v>116</v>
      </c>
      <c r="G211" s="109" t="str">
        <f>F211</f>
        <v>OVATIONHD.0_M4_0909.a</v>
      </c>
      <c r="H211" s="109" t="s">
        <v>838</v>
      </c>
      <c r="I211" s="109" t="s">
        <v>1908</v>
      </c>
      <c r="J211" s="109" t="s">
        <v>579</v>
      </c>
      <c r="K211" s="109" t="s">
        <v>579</v>
      </c>
      <c r="L211" s="109" t="s">
        <v>844</v>
      </c>
      <c r="M211" s="166" t="s">
        <v>800</v>
      </c>
      <c r="N211" s="108" t="s">
        <v>48</v>
      </c>
      <c r="O211" s="109" t="s">
        <v>48</v>
      </c>
      <c r="P211" s="162" t="s">
        <v>48</v>
      </c>
      <c r="Q211" s="109" t="s">
        <v>48</v>
      </c>
      <c r="R211" s="109" t="s">
        <v>48</v>
      </c>
      <c r="S211" s="109" t="s">
        <v>48</v>
      </c>
      <c r="T211" s="109" t="s">
        <v>48</v>
      </c>
      <c r="U211" s="109" t="s">
        <v>48</v>
      </c>
      <c r="V211" s="166" t="s">
        <v>48</v>
      </c>
      <c r="W211" s="165" t="s">
        <v>116</v>
      </c>
      <c r="X211" s="109" t="str">
        <f>W211</f>
        <v>OVATIONHD.0_M4_0909.a</v>
      </c>
      <c r="Y211" s="109" t="s">
        <v>48</v>
      </c>
      <c r="Z211" s="109" t="s">
        <v>48</v>
      </c>
      <c r="AA211" s="109" t="s">
        <v>48</v>
      </c>
      <c r="AB211" s="109" t="s">
        <v>48</v>
      </c>
      <c r="AC211" s="109" t="s">
        <v>48</v>
      </c>
      <c r="AD211" s="166" t="s">
        <v>48</v>
      </c>
      <c r="AE211" s="165" t="s">
        <v>48</v>
      </c>
      <c r="AF211" s="109" t="s">
        <v>48</v>
      </c>
      <c r="AG211" s="109" t="s">
        <v>48</v>
      </c>
      <c r="AH211" s="109" t="s">
        <v>48</v>
      </c>
      <c r="AI211" s="109" t="s">
        <v>48</v>
      </c>
      <c r="AJ211" s="109" t="s">
        <v>48</v>
      </c>
      <c r="AK211" s="166" t="s">
        <v>48</v>
      </c>
      <c r="AL211" s="165" t="s">
        <v>116</v>
      </c>
      <c r="AM211" s="109" t="str">
        <f>AL211</f>
        <v>OVATIONHD.0_M4_0909.a</v>
      </c>
      <c r="AN211" s="109" t="s">
        <v>48</v>
      </c>
      <c r="AO211" s="109" t="s">
        <v>48</v>
      </c>
      <c r="AP211" s="109" t="s">
        <v>48</v>
      </c>
      <c r="AQ211" s="109" t="s">
        <v>48</v>
      </c>
      <c r="AR211" s="109" t="s">
        <v>48</v>
      </c>
      <c r="AS211" s="166" t="s">
        <v>48</v>
      </c>
      <c r="AT211" s="165" t="s">
        <v>48</v>
      </c>
      <c r="AU211" s="109" t="s">
        <v>48</v>
      </c>
      <c r="AV211" s="109" t="s">
        <v>48</v>
      </c>
      <c r="AW211" s="109" t="s">
        <v>48</v>
      </c>
      <c r="AX211" s="109" t="s">
        <v>48</v>
      </c>
      <c r="AY211" s="109" t="s">
        <v>48</v>
      </c>
      <c r="AZ211" s="166" t="s">
        <v>48</v>
      </c>
      <c r="BA211" s="162" t="s">
        <v>829</v>
      </c>
      <c r="BB211" s="109" t="s">
        <v>82</v>
      </c>
      <c r="BC211" s="79"/>
    </row>
    <row r="212" spans="1:55" ht="75" hidden="1" customHeight="1">
      <c r="A212" s="109" t="s">
        <v>13</v>
      </c>
      <c r="B212" s="109" t="s">
        <v>13</v>
      </c>
      <c r="C212" s="109" t="s">
        <v>13</v>
      </c>
      <c r="D212" s="109" t="s">
        <v>89</v>
      </c>
      <c r="E212" s="161">
        <v>500</v>
      </c>
      <c r="F212" s="165" t="s">
        <v>89</v>
      </c>
      <c r="G212" s="109" t="str">
        <f>F212</f>
        <v>OVATION5.293a_M4_0737.a</v>
      </c>
      <c r="H212" s="109" t="s">
        <v>837</v>
      </c>
      <c r="I212" s="109" t="s">
        <v>1908</v>
      </c>
      <c r="J212" s="109" t="s">
        <v>840</v>
      </c>
      <c r="K212" s="109" t="s">
        <v>840</v>
      </c>
      <c r="L212" s="109" t="s">
        <v>843</v>
      </c>
      <c r="M212" s="166" t="s">
        <v>798</v>
      </c>
      <c r="N212" s="108" t="s">
        <v>48</v>
      </c>
      <c r="O212" s="109" t="s">
        <v>48</v>
      </c>
      <c r="P212" s="162" t="s">
        <v>48</v>
      </c>
      <c r="Q212" s="109" t="s">
        <v>48</v>
      </c>
      <c r="R212" s="109" t="s">
        <v>48</v>
      </c>
      <c r="S212" s="109" t="s">
        <v>48</v>
      </c>
      <c r="T212" s="109" t="s">
        <v>48</v>
      </c>
      <c r="U212" s="109" t="s">
        <v>48</v>
      </c>
      <c r="V212" s="166" t="s">
        <v>48</v>
      </c>
      <c r="W212" s="165" t="s">
        <v>89</v>
      </c>
      <c r="X212" s="109" t="str">
        <f>W212</f>
        <v>OVATION5.293a_M4_0737.a</v>
      </c>
      <c r="Y212" s="109" t="s">
        <v>48</v>
      </c>
      <c r="Z212" s="109" t="s">
        <v>48</v>
      </c>
      <c r="AA212" s="109" t="s">
        <v>48</v>
      </c>
      <c r="AB212" s="109" t="s">
        <v>48</v>
      </c>
      <c r="AC212" s="109" t="s">
        <v>48</v>
      </c>
      <c r="AD212" s="166" t="s">
        <v>48</v>
      </c>
      <c r="AE212" s="165" t="s">
        <v>48</v>
      </c>
      <c r="AF212" s="109" t="s">
        <v>48</v>
      </c>
      <c r="AG212" s="109" t="s">
        <v>48</v>
      </c>
      <c r="AH212" s="109" t="s">
        <v>48</v>
      </c>
      <c r="AI212" s="109" t="s">
        <v>48</v>
      </c>
      <c r="AJ212" s="109" t="s">
        <v>48</v>
      </c>
      <c r="AK212" s="166" t="s">
        <v>48</v>
      </c>
      <c r="AL212" s="165" t="s">
        <v>89</v>
      </c>
      <c r="AM212" s="109" t="str">
        <f>AL212</f>
        <v>OVATION5.293a_M4_0737.a</v>
      </c>
      <c r="AN212" s="109" t="s">
        <v>48</v>
      </c>
      <c r="AO212" s="109" t="s">
        <v>48</v>
      </c>
      <c r="AP212" s="109" t="s">
        <v>48</v>
      </c>
      <c r="AQ212" s="109" t="s">
        <v>48</v>
      </c>
      <c r="AR212" s="109" t="s">
        <v>48</v>
      </c>
      <c r="AS212" s="166" t="s">
        <v>48</v>
      </c>
      <c r="AT212" s="165" t="s">
        <v>48</v>
      </c>
      <c r="AU212" s="109" t="s">
        <v>48</v>
      </c>
      <c r="AV212" s="109" t="s">
        <v>48</v>
      </c>
      <c r="AW212" s="109" t="s">
        <v>48</v>
      </c>
      <c r="AX212" s="109" t="s">
        <v>48</v>
      </c>
      <c r="AY212" s="109" t="s">
        <v>48</v>
      </c>
      <c r="AZ212" s="166" t="s">
        <v>48</v>
      </c>
      <c r="BA212" s="162" t="s">
        <v>828</v>
      </c>
      <c r="BB212" s="109" t="s">
        <v>82</v>
      </c>
      <c r="BC212" s="79"/>
    </row>
    <row r="213" spans="1:55" ht="75" hidden="1" customHeight="1">
      <c r="A213" s="109" t="s">
        <v>40</v>
      </c>
      <c r="B213" s="117" t="s">
        <v>2467</v>
      </c>
      <c r="C213" s="109" t="s">
        <v>968</v>
      </c>
      <c r="D213" s="109" t="s">
        <v>1756</v>
      </c>
      <c r="E213" s="161">
        <v>30000</v>
      </c>
      <c r="F213" s="165" t="s">
        <v>1753</v>
      </c>
      <c r="G213" s="109" t="s">
        <v>1753</v>
      </c>
      <c r="H213" s="109" t="s">
        <v>1972</v>
      </c>
      <c r="I213" s="109" t="s">
        <v>2039</v>
      </c>
      <c r="J213" s="109" t="s">
        <v>1708</v>
      </c>
      <c r="K213" s="109" t="s">
        <v>1708</v>
      </c>
      <c r="L213" s="109" t="s">
        <v>2008</v>
      </c>
      <c r="M213" s="166" t="s">
        <v>1687</v>
      </c>
      <c r="N213" s="108" t="s">
        <v>48</v>
      </c>
      <c r="O213" s="109" t="s">
        <v>48</v>
      </c>
      <c r="P213" s="162" t="s">
        <v>48</v>
      </c>
      <c r="Q213" s="109" t="s">
        <v>48</v>
      </c>
      <c r="R213" s="109" t="s">
        <v>48</v>
      </c>
      <c r="S213" s="109" t="s">
        <v>48</v>
      </c>
      <c r="T213" s="109" t="s">
        <v>48</v>
      </c>
      <c r="U213" s="109" t="s">
        <v>48</v>
      </c>
      <c r="V213" s="166" t="s">
        <v>48</v>
      </c>
      <c r="W213" s="165" t="s">
        <v>1756</v>
      </c>
      <c r="X213" s="109" t="s">
        <v>1756</v>
      </c>
      <c r="Y213" s="109" t="s">
        <v>48</v>
      </c>
      <c r="Z213" s="109" t="s">
        <v>48</v>
      </c>
      <c r="AA213" s="109" t="s">
        <v>48</v>
      </c>
      <c r="AB213" s="109" t="s">
        <v>48</v>
      </c>
      <c r="AC213" s="109" t="s">
        <v>48</v>
      </c>
      <c r="AD213" s="166" t="s">
        <v>48</v>
      </c>
      <c r="AE213" s="174" t="s">
        <v>48</v>
      </c>
      <c r="AF213" s="117" t="s">
        <v>48</v>
      </c>
      <c r="AG213" s="117" t="s">
        <v>48</v>
      </c>
      <c r="AH213" s="109" t="s">
        <v>48</v>
      </c>
      <c r="AI213" s="117" t="s">
        <v>48</v>
      </c>
      <c r="AJ213" s="117" t="s">
        <v>48</v>
      </c>
      <c r="AK213" s="182" t="s">
        <v>48</v>
      </c>
      <c r="AL213" s="165" t="s">
        <v>1756</v>
      </c>
      <c r="AM213" s="109" t="s">
        <v>1756</v>
      </c>
      <c r="AN213" s="109" t="s">
        <v>48</v>
      </c>
      <c r="AO213" s="109" t="s">
        <v>48</v>
      </c>
      <c r="AP213" s="109" t="s">
        <v>48</v>
      </c>
      <c r="AQ213" s="109" t="s">
        <v>48</v>
      </c>
      <c r="AR213" s="109" t="s">
        <v>48</v>
      </c>
      <c r="AS213" s="166" t="s">
        <v>48</v>
      </c>
      <c r="AT213" s="165" t="s">
        <v>48</v>
      </c>
      <c r="AU213" s="109" t="s">
        <v>48</v>
      </c>
      <c r="AV213" s="109" t="s">
        <v>48</v>
      </c>
      <c r="AW213" s="109" t="s">
        <v>48</v>
      </c>
      <c r="AX213" s="109" t="s">
        <v>48</v>
      </c>
      <c r="AY213" s="109" t="s">
        <v>48</v>
      </c>
      <c r="AZ213" s="166" t="s">
        <v>48</v>
      </c>
      <c r="BA213" s="162" t="s">
        <v>1711</v>
      </c>
      <c r="BB213" s="109" t="s">
        <v>49</v>
      </c>
      <c r="BC213" s="109"/>
    </row>
    <row r="214" spans="1:55" ht="75" hidden="1" customHeight="1">
      <c r="A214" s="109" t="s">
        <v>40</v>
      </c>
      <c r="B214" s="117" t="s">
        <v>2020</v>
      </c>
      <c r="C214" s="109" t="s">
        <v>968</v>
      </c>
      <c r="D214" s="109" t="s">
        <v>966</v>
      </c>
      <c r="E214" s="161">
        <v>30000</v>
      </c>
      <c r="F214" s="165" t="s">
        <v>1761</v>
      </c>
      <c r="G214" s="109" t="s">
        <v>1761</v>
      </c>
      <c r="H214" s="109" t="s">
        <v>1945</v>
      </c>
      <c r="I214" s="109" t="s">
        <v>1908</v>
      </c>
      <c r="J214" s="109" t="s">
        <v>1708</v>
      </c>
      <c r="K214" s="109" t="s">
        <v>1708</v>
      </c>
      <c r="L214" s="109" t="s">
        <v>1990</v>
      </c>
      <c r="M214" s="166" t="s">
        <v>1687</v>
      </c>
      <c r="N214" s="108" t="s">
        <v>48</v>
      </c>
      <c r="O214" s="109" t="s">
        <v>48</v>
      </c>
      <c r="P214" s="162" t="s">
        <v>48</v>
      </c>
      <c r="Q214" s="109" t="s">
        <v>48</v>
      </c>
      <c r="R214" s="109" t="s">
        <v>48</v>
      </c>
      <c r="S214" s="109" t="s">
        <v>48</v>
      </c>
      <c r="T214" s="109" t="s">
        <v>48</v>
      </c>
      <c r="U214" s="109" t="s">
        <v>48</v>
      </c>
      <c r="V214" s="166" t="s">
        <v>48</v>
      </c>
      <c r="W214" s="165" t="s">
        <v>966</v>
      </c>
      <c r="X214" s="109" t="s">
        <v>966</v>
      </c>
      <c r="Y214" s="109" t="s">
        <v>48</v>
      </c>
      <c r="Z214" s="109" t="s">
        <v>48</v>
      </c>
      <c r="AA214" s="109" t="s">
        <v>48</v>
      </c>
      <c r="AB214" s="109" t="s">
        <v>48</v>
      </c>
      <c r="AC214" s="109" t="s">
        <v>48</v>
      </c>
      <c r="AD214" s="166" t="s">
        <v>48</v>
      </c>
      <c r="AE214" s="174" t="s">
        <v>48</v>
      </c>
      <c r="AF214" s="117" t="s">
        <v>48</v>
      </c>
      <c r="AG214" s="109" t="s">
        <v>48</v>
      </c>
      <c r="AH214" s="109" t="s">
        <v>48</v>
      </c>
      <c r="AI214" s="109" t="s">
        <v>48</v>
      </c>
      <c r="AJ214" s="109" t="s">
        <v>48</v>
      </c>
      <c r="AK214" s="166" t="s">
        <v>48</v>
      </c>
      <c r="AL214" s="165" t="s">
        <v>966</v>
      </c>
      <c r="AM214" s="109" t="s">
        <v>966</v>
      </c>
      <c r="AN214" s="109" t="s">
        <v>48</v>
      </c>
      <c r="AO214" s="109" t="s">
        <v>48</v>
      </c>
      <c r="AP214" s="109" t="s">
        <v>48</v>
      </c>
      <c r="AQ214" s="109" t="s">
        <v>48</v>
      </c>
      <c r="AR214" s="109" t="s">
        <v>48</v>
      </c>
      <c r="AS214" s="166" t="s">
        <v>48</v>
      </c>
      <c r="AT214" s="165" t="s">
        <v>48</v>
      </c>
      <c r="AU214" s="109" t="s">
        <v>48</v>
      </c>
      <c r="AV214" s="109" t="s">
        <v>48</v>
      </c>
      <c r="AW214" s="109" t="s">
        <v>48</v>
      </c>
      <c r="AX214" s="109" t="s">
        <v>48</v>
      </c>
      <c r="AY214" s="109" t="s">
        <v>48</v>
      </c>
      <c r="AZ214" s="166" t="s">
        <v>48</v>
      </c>
      <c r="BA214" s="162" t="s">
        <v>1769</v>
      </c>
      <c r="BB214" s="109" t="s">
        <v>49</v>
      </c>
      <c r="BC214" s="109"/>
    </row>
    <row r="215" spans="1:55" ht="75" hidden="1" customHeight="1">
      <c r="A215" s="109" t="s">
        <v>463</v>
      </c>
      <c r="B215" s="109" t="s">
        <v>463</v>
      </c>
      <c r="C215" s="109" t="s">
        <v>48</v>
      </c>
      <c r="D215" s="109">
        <v>3.02</v>
      </c>
      <c r="E215" s="161">
        <v>1000</v>
      </c>
      <c r="F215" s="165">
        <v>3.02</v>
      </c>
      <c r="G215" s="109">
        <f>F215</f>
        <v>3.02</v>
      </c>
      <c r="H215" s="109" t="s">
        <v>48</v>
      </c>
      <c r="I215" s="109" t="s">
        <v>48</v>
      </c>
      <c r="J215" s="109" t="s">
        <v>48</v>
      </c>
      <c r="K215" s="109" t="s">
        <v>48</v>
      </c>
      <c r="L215" s="109" t="s">
        <v>48</v>
      </c>
      <c r="M215" s="166" t="s">
        <v>48</v>
      </c>
      <c r="N215" s="108" t="s">
        <v>48</v>
      </c>
      <c r="O215" s="109" t="s">
        <v>48</v>
      </c>
      <c r="P215" s="162" t="s">
        <v>48</v>
      </c>
      <c r="Q215" s="109" t="s">
        <v>48</v>
      </c>
      <c r="R215" s="109" t="s">
        <v>48</v>
      </c>
      <c r="S215" s="109" t="s">
        <v>48</v>
      </c>
      <c r="T215" s="109" t="s">
        <v>48</v>
      </c>
      <c r="U215" s="109" t="s">
        <v>48</v>
      </c>
      <c r="V215" s="166" t="s">
        <v>48</v>
      </c>
      <c r="W215" s="165">
        <v>3.02</v>
      </c>
      <c r="X215" s="109">
        <f>W215</f>
        <v>3.02</v>
      </c>
      <c r="Y215" s="109" t="s">
        <v>48</v>
      </c>
      <c r="Z215" s="109" t="s">
        <v>48</v>
      </c>
      <c r="AA215" s="109" t="s">
        <v>48</v>
      </c>
      <c r="AB215" s="109" t="s">
        <v>48</v>
      </c>
      <c r="AC215" s="109" t="s">
        <v>48</v>
      </c>
      <c r="AD215" s="166" t="s">
        <v>48</v>
      </c>
      <c r="AE215" s="165" t="s">
        <v>48</v>
      </c>
      <c r="AF215" s="109" t="s">
        <v>48</v>
      </c>
      <c r="AG215" s="109" t="s">
        <v>48</v>
      </c>
      <c r="AH215" s="109" t="s">
        <v>48</v>
      </c>
      <c r="AI215" s="109" t="s">
        <v>48</v>
      </c>
      <c r="AJ215" s="109" t="s">
        <v>48</v>
      </c>
      <c r="AK215" s="166" t="s">
        <v>48</v>
      </c>
      <c r="AL215" s="165">
        <v>3.02</v>
      </c>
      <c r="AM215" s="109">
        <f>AL215</f>
        <v>3.02</v>
      </c>
      <c r="AN215" s="109" t="s">
        <v>48</v>
      </c>
      <c r="AO215" s="109" t="s">
        <v>48</v>
      </c>
      <c r="AP215" s="109" t="s">
        <v>48</v>
      </c>
      <c r="AQ215" s="109" t="s">
        <v>48</v>
      </c>
      <c r="AR215" s="109" t="s">
        <v>48</v>
      </c>
      <c r="AS215" s="166" t="s">
        <v>48</v>
      </c>
      <c r="AT215" s="165" t="s">
        <v>48</v>
      </c>
      <c r="AU215" s="109" t="s">
        <v>48</v>
      </c>
      <c r="AV215" s="109" t="s">
        <v>48</v>
      </c>
      <c r="AW215" s="109" t="s">
        <v>48</v>
      </c>
      <c r="AX215" s="109" t="s">
        <v>48</v>
      </c>
      <c r="AY215" s="109" t="s">
        <v>48</v>
      </c>
      <c r="AZ215" s="166" t="s">
        <v>48</v>
      </c>
      <c r="BA215" s="162" t="s">
        <v>48</v>
      </c>
      <c r="BB215" s="109" t="s">
        <v>49</v>
      </c>
      <c r="BC215" s="79"/>
    </row>
    <row r="216" spans="1:55" ht="75" hidden="1" customHeight="1">
      <c r="A216" s="109" t="s">
        <v>465</v>
      </c>
      <c r="B216" s="109" t="s">
        <v>465</v>
      </c>
      <c r="C216" s="109" t="s">
        <v>48</v>
      </c>
      <c r="D216" s="109">
        <v>3.54</v>
      </c>
      <c r="E216" s="161">
        <v>15000</v>
      </c>
      <c r="F216" s="165">
        <v>3.54</v>
      </c>
      <c r="G216" s="109">
        <f>F216</f>
        <v>3.54</v>
      </c>
      <c r="H216" s="109" t="s">
        <v>48</v>
      </c>
      <c r="I216" s="109" t="s">
        <v>48</v>
      </c>
      <c r="J216" s="109" t="s">
        <v>48</v>
      </c>
      <c r="K216" s="109" t="s">
        <v>48</v>
      </c>
      <c r="L216" s="109" t="s">
        <v>48</v>
      </c>
      <c r="M216" s="166" t="s">
        <v>48</v>
      </c>
      <c r="N216" s="108" t="s">
        <v>48</v>
      </c>
      <c r="O216" s="109" t="s">
        <v>48</v>
      </c>
      <c r="P216" s="162" t="s">
        <v>48</v>
      </c>
      <c r="Q216" s="109" t="s">
        <v>48</v>
      </c>
      <c r="R216" s="109" t="s">
        <v>48</v>
      </c>
      <c r="S216" s="109" t="s">
        <v>48</v>
      </c>
      <c r="T216" s="109" t="s">
        <v>48</v>
      </c>
      <c r="U216" s="109" t="s">
        <v>48</v>
      </c>
      <c r="V216" s="166" t="s">
        <v>48</v>
      </c>
      <c r="W216" s="165">
        <v>3.54</v>
      </c>
      <c r="X216" s="109">
        <f>W216</f>
        <v>3.54</v>
      </c>
      <c r="Y216" s="109" t="s">
        <v>48</v>
      </c>
      <c r="Z216" s="109" t="s">
        <v>48</v>
      </c>
      <c r="AA216" s="109" t="s">
        <v>48</v>
      </c>
      <c r="AB216" s="109" t="s">
        <v>48</v>
      </c>
      <c r="AC216" s="109" t="s">
        <v>48</v>
      </c>
      <c r="AD216" s="166" t="s">
        <v>48</v>
      </c>
      <c r="AE216" s="165" t="s">
        <v>48</v>
      </c>
      <c r="AF216" s="109" t="s">
        <v>48</v>
      </c>
      <c r="AG216" s="109" t="s">
        <v>48</v>
      </c>
      <c r="AH216" s="109" t="s">
        <v>48</v>
      </c>
      <c r="AI216" s="109" t="s">
        <v>48</v>
      </c>
      <c r="AJ216" s="109" t="s">
        <v>48</v>
      </c>
      <c r="AK216" s="166" t="s">
        <v>48</v>
      </c>
      <c r="AL216" s="165">
        <v>3.54</v>
      </c>
      <c r="AM216" s="109">
        <f>AL216</f>
        <v>3.54</v>
      </c>
      <c r="AN216" s="109" t="s">
        <v>48</v>
      </c>
      <c r="AO216" s="109" t="s">
        <v>48</v>
      </c>
      <c r="AP216" s="109" t="s">
        <v>48</v>
      </c>
      <c r="AQ216" s="109" t="s">
        <v>48</v>
      </c>
      <c r="AR216" s="109" t="s">
        <v>48</v>
      </c>
      <c r="AS216" s="166" t="s">
        <v>48</v>
      </c>
      <c r="AT216" s="165" t="s">
        <v>48</v>
      </c>
      <c r="AU216" s="109" t="s">
        <v>48</v>
      </c>
      <c r="AV216" s="109" t="s">
        <v>48</v>
      </c>
      <c r="AW216" s="109" t="s">
        <v>48</v>
      </c>
      <c r="AX216" s="109" t="s">
        <v>48</v>
      </c>
      <c r="AY216" s="109" t="s">
        <v>48</v>
      </c>
      <c r="AZ216" s="166" t="s">
        <v>48</v>
      </c>
      <c r="BA216" s="162" t="s">
        <v>48</v>
      </c>
      <c r="BB216" s="109" t="s">
        <v>49</v>
      </c>
      <c r="BC216" s="79"/>
    </row>
    <row r="217" spans="1:55" ht="75" hidden="1" customHeight="1">
      <c r="A217" s="109" t="s">
        <v>465</v>
      </c>
      <c r="B217" s="109" t="s">
        <v>465</v>
      </c>
      <c r="C217" s="109" t="s">
        <v>48</v>
      </c>
      <c r="D217" s="109" t="s">
        <v>773</v>
      </c>
      <c r="E217" s="161">
        <v>15000</v>
      </c>
      <c r="F217" s="165" t="s">
        <v>773</v>
      </c>
      <c r="G217" s="109" t="str">
        <f>F217</f>
        <v>4.00</v>
      </c>
      <c r="H217" s="109" t="s">
        <v>48</v>
      </c>
      <c r="I217" s="109" t="s">
        <v>48</v>
      </c>
      <c r="J217" s="109" t="s">
        <v>48</v>
      </c>
      <c r="K217" s="109" t="s">
        <v>48</v>
      </c>
      <c r="L217" s="109" t="s">
        <v>48</v>
      </c>
      <c r="M217" s="166" t="s">
        <v>48</v>
      </c>
      <c r="N217" s="108" t="s">
        <v>48</v>
      </c>
      <c r="O217" s="109" t="s">
        <v>48</v>
      </c>
      <c r="P217" s="162" t="s">
        <v>48</v>
      </c>
      <c r="Q217" s="109" t="s">
        <v>48</v>
      </c>
      <c r="R217" s="109" t="s">
        <v>48</v>
      </c>
      <c r="S217" s="109" t="s">
        <v>48</v>
      </c>
      <c r="T217" s="109" t="s">
        <v>48</v>
      </c>
      <c r="U217" s="109" t="s">
        <v>48</v>
      </c>
      <c r="V217" s="166" t="s">
        <v>48</v>
      </c>
      <c r="W217" s="165" t="s">
        <v>773</v>
      </c>
      <c r="X217" s="109" t="str">
        <f>W217</f>
        <v>4.00</v>
      </c>
      <c r="Y217" s="109" t="s">
        <v>48</v>
      </c>
      <c r="Z217" s="109" t="s">
        <v>48</v>
      </c>
      <c r="AA217" s="109" t="s">
        <v>48</v>
      </c>
      <c r="AB217" s="109" t="s">
        <v>48</v>
      </c>
      <c r="AC217" s="109" t="s">
        <v>48</v>
      </c>
      <c r="AD217" s="166" t="s">
        <v>48</v>
      </c>
      <c r="AE217" s="165" t="s">
        <v>48</v>
      </c>
      <c r="AF217" s="109" t="s">
        <v>48</v>
      </c>
      <c r="AG217" s="109" t="s">
        <v>48</v>
      </c>
      <c r="AH217" s="109" t="s">
        <v>48</v>
      </c>
      <c r="AI217" s="109" t="s">
        <v>48</v>
      </c>
      <c r="AJ217" s="109" t="s">
        <v>48</v>
      </c>
      <c r="AK217" s="166" t="s">
        <v>48</v>
      </c>
      <c r="AL217" s="165" t="s">
        <v>773</v>
      </c>
      <c r="AM217" s="109" t="str">
        <f>AL217</f>
        <v>4.00</v>
      </c>
      <c r="AN217" s="109" t="s">
        <v>48</v>
      </c>
      <c r="AO217" s="109" t="s">
        <v>48</v>
      </c>
      <c r="AP217" s="109" t="s">
        <v>48</v>
      </c>
      <c r="AQ217" s="109" t="s">
        <v>48</v>
      </c>
      <c r="AR217" s="109" t="s">
        <v>48</v>
      </c>
      <c r="AS217" s="166" t="s">
        <v>48</v>
      </c>
      <c r="AT217" s="165" t="s">
        <v>48</v>
      </c>
      <c r="AU217" s="109" t="s">
        <v>48</v>
      </c>
      <c r="AV217" s="109" t="s">
        <v>48</v>
      </c>
      <c r="AW217" s="109" t="s">
        <v>48</v>
      </c>
      <c r="AX217" s="109" t="s">
        <v>48</v>
      </c>
      <c r="AY217" s="109" t="s">
        <v>48</v>
      </c>
      <c r="AZ217" s="166" t="s">
        <v>48</v>
      </c>
      <c r="BA217" s="162" t="s">
        <v>48</v>
      </c>
      <c r="BB217" s="109" t="s">
        <v>49</v>
      </c>
      <c r="BC217" s="79"/>
    </row>
    <row r="218" spans="1:55" ht="14.4" hidden="1">
      <c r="A218" s="109" t="s">
        <v>465</v>
      </c>
      <c r="B218" s="109" t="s">
        <v>465</v>
      </c>
      <c r="C218" s="109" t="s">
        <v>48</v>
      </c>
      <c r="D218" s="109" t="s">
        <v>774</v>
      </c>
      <c r="E218" s="161">
        <v>15000</v>
      </c>
      <c r="F218" s="165" t="s">
        <v>774</v>
      </c>
      <c r="G218" s="109" t="str">
        <f>F218</f>
        <v>4.01</v>
      </c>
      <c r="H218" s="109" t="s">
        <v>48</v>
      </c>
      <c r="I218" s="109" t="s">
        <v>48</v>
      </c>
      <c r="J218" s="109" t="s">
        <v>48</v>
      </c>
      <c r="K218" s="109" t="s">
        <v>48</v>
      </c>
      <c r="L218" s="109" t="s">
        <v>48</v>
      </c>
      <c r="M218" s="166" t="s">
        <v>48</v>
      </c>
      <c r="N218" s="108" t="s">
        <v>48</v>
      </c>
      <c r="O218" s="109" t="s">
        <v>48</v>
      </c>
      <c r="P218" s="162" t="s">
        <v>48</v>
      </c>
      <c r="Q218" s="109" t="s">
        <v>48</v>
      </c>
      <c r="R218" s="109" t="s">
        <v>48</v>
      </c>
      <c r="S218" s="109" t="s">
        <v>48</v>
      </c>
      <c r="T218" s="109" t="s">
        <v>48</v>
      </c>
      <c r="U218" s="109" t="s">
        <v>48</v>
      </c>
      <c r="V218" s="166" t="s">
        <v>48</v>
      </c>
      <c r="W218" s="165" t="s">
        <v>774</v>
      </c>
      <c r="X218" s="109" t="str">
        <f>W218</f>
        <v>4.01</v>
      </c>
      <c r="Y218" s="109" t="s">
        <v>48</v>
      </c>
      <c r="Z218" s="109" t="s">
        <v>48</v>
      </c>
      <c r="AA218" s="109" t="s">
        <v>48</v>
      </c>
      <c r="AB218" s="109" t="s">
        <v>48</v>
      </c>
      <c r="AC218" s="109" t="s">
        <v>48</v>
      </c>
      <c r="AD218" s="166" t="s">
        <v>48</v>
      </c>
      <c r="AE218" s="165" t="s">
        <v>48</v>
      </c>
      <c r="AF218" s="109" t="s">
        <v>48</v>
      </c>
      <c r="AG218" s="109" t="s">
        <v>48</v>
      </c>
      <c r="AH218" s="109" t="s">
        <v>48</v>
      </c>
      <c r="AI218" s="109" t="s">
        <v>48</v>
      </c>
      <c r="AJ218" s="109" t="s">
        <v>48</v>
      </c>
      <c r="AK218" s="166" t="s">
        <v>48</v>
      </c>
      <c r="AL218" s="165" t="s">
        <v>774</v>
      </c>
      <c r="AM218" s="109" t="str">
        <f>AL218</f>
        <v>4.01</v>
      </c>
      <c r="AN218" s="109" t="s">
        <v>48</v>
      </c>
      <c r="AO218" s="109" t="s">
        <v>48</v>
      </c>
      <c r="AP218" s="109" t="s">
        <v>48</v>
      </c>
      <c r="AQ218" s="109" t="s">
        <v>48</v>
      </c>
      <c r="AR218" s="109" t="s">
        <v>48</v>
      </c>
      <c r="AS218" s="166" t="s">
        <v>48</v>
      </c>
      <c r="AT218" s="165" t="s">
        <v>48</v>
      </c>
      <c r="AU218" s="109" t="s">
        <v>48</v>
      </c>
      <c r="AV218" s="109" t="s">
        <v>48</v>
      </c>
      <c r="AW218" s="109" t="s">
        <v>48</v>
      </c>
      <c r="AX218" s="109" t="s">
        <v>48</v>
      </c>
      <c r="AY218" s="109" t="s">
        <v>48</v>
      </c>
      <c r="AZ218" s="166" t="s">
        <v>48</v>
      </c>
      <c r="BA218" s="162" t="s">
        <v>48</v>
      </c>
      <c r="BB218" s="109" t="s">
        <v>49</v>
      </c>
      <c r="BC218" s="79"/>
    </row>
    <row r="219" spans="1:55" ht="75" hidden="1" customHeight="1">
      <c r="A219" s="109" t="s">
        <v>465</v>
      </c>
      <c r="B219" s="109" t="s">
        <v>465</v>
      </c>
      <c r="C219" s="109" t="s">
        <v>48</v>
      </c>
      <c r="D219" s="109" t="s">
        <v>775</v>
      </c>
      <c r="E219" s="161">
        <v>15000</v>
      </c>
      <c r="F219" s="165" t="s">
        <v>775</v>
      </c>
      <c r="G219" s="109" t="str">
        <f>F219</f>
        <v>4.02</v>
      </c>
      <c r="H219" s="109" t="s">
        <v>48</v>
      </c>
      <c r="I219" s="109" t="s">
        <v>48</v>
      </c>
      <c r="J219" s="109" t="s">
        <v>48</v>
      </c>
      <c r="K219" s="109" t="s">
        <v>48</v>
      </c>
      <c r="L219" s="109" t="s">
        <v>48</v>
      </c>
      <c r="M219" s="166" t="s">
        <v>48</v>
      </c>
      <c r="N219" s="108" t="s">
        <v>48</v>
      </c>
      <c r="O219" s="109" t="s">
        <v>48</v>
      </c>
      <c r="P219" s="162" t="s">
        <v>48</v>
      </c>
      <c r="Q219" s="109" t="s">
        <v>48</v>
      </c>
      <c r="R219" s="109" t="s">
        <v>48</v>
      </c>
      <c r="S219" s="109" t="s">
        <v>48</v>
      </c>
      <c r="T219" s="109" t="s">
        <v>48</v>
      </c>
      <c r="U219" s="109" t="s">
        <v>48</v>
      </c>
      <c r="V219" s="166" t="s">
        <v>48</v>
      </c>
      <c r="W219" s="165" t="s">
        <v>775</v>
      </c>
      <c r="X219" s="109" t="str">
        <f>W219</f>
        <v>4.02</v>
      </c>
      <c r="Y219" s="109" t="s">
        <v>48</v>
      </c>
      <c r="Z219" s="109" t="s">
        <v>48</v>
      </c>
      <c r="AA219" s="109" t="s">
        <v>48</v>
      </c>
      <c r="AB219" s="109" t="s">
        <v>48</v>
      </c>
      <c r="AC219" s="109" t="s">
        <v>48</v>
      </c>
      <c r="AD219" s="166" t="s">
        <v>48</v>
      </c>
      <c r="AE219" s="165" t="s">
        <v>48</v>
      </c>
      <c r="AF219" s="109" t="s">
        <v>48</v>
      </c>
      <c r="AG219" s="109" t="s">
        <v>48</v>
      </c>
      <c r="AH219" s="109" t="s">
        <v>48</v>
      </c>
      <c r="AI219" s="109" t="s">
        <v>48</v>
      </c>
      <c r="AJ219" s="109" t="s">
        <v>48</v>
      </c>
      <c r="AK219" s="166" t="s">
        <v>48</v>
      </c>
      <c r="AL219" s="165" t="s">
        <v>775</v>
      </c>
      <c r="AM219" s="109" t="str">
        <f>AL219</f>
        <v>4.02</v>
      </c>
      <c r="AN219" s="109" t="s">
        <v>48</v>
      </c>
      <c r="AO219" s="109" t="s">
        <v>48</v>
      </c>
      <c r="AP219" s="109" t="s">
        <v>48</v>
      </c>
      <c r="AQ219" s="109" t="s">
        <v>48</v>
      </c>
      <c r="AR219" s="109" t="s">
        <v>48</v>
      </c>
      <c r="AS219" s="166" t="s">
        <v>48</v>
      </c>
      <c r="AT219" s="165" t="s">
        <v>48</v>
      </c>
      <c r="AU219" s="109" t="s">
        <v>48</v>
      </c>
      <c r="AV219" s="109" t="s">
        <v>48</v>
      </c>
      <c r="AW219" s="109" t="s">
        <v>48</v>
      </c>
      <c r="AX219" s="109" t="s">
        <v>48</v>
      </c>
      <c r="AY219" s="109" t="s">
        <v>48</v>
      </c>
      <c r="AZ219" s="166" t="s">
        <v>48</v>
      </c>
      <c r="BA219" s="162" t="s">
        <v>48</v>
      </c>
      <c r="BB219" s="109" t="s">
        <v>49</v>
      </c>
      <c r="BC219" s="79"/>
    </row>
    <row r="220" spans="1:55" ht="75" hidden="1" customHeight="1">
      <c r="A220" s="109" t="s">
        <v>1584</v>
      </c>
      <c r="B220" s="109" t="s">
        <v>2016</v>
      </c>
      <c r="C220" s="118" t="s">
        <v>1595</v>
      </c>
      <c r="D220" s="109" t="s">
        <v>1130</v>
      </c>
      <c r="E220" s="161">
        <v>15000</v>
      </c>
      <c r="F220" s="165" t="s">
        <v>1130</v>
      </c>
      <c r="G220" s="109" t="s">
        <v>1130</v>
      </c>
      <c r="H220" s="109" t="s">
        <v>48</v>
      </c>
      <c r="I220" s="109" t="s">
        <v>48</v>
      </c>
      <c r="J220" s="109" t="s">
        <v>48</v>
      </c>
      <c r="K220" s="109" t="s">
        <v>48</v>
      </c>
      <c r="L220" s="109" t="s">
        <v>48</v>
      </c>
      <c r="M220" s="166" t="s">
        <v>1119</v>
      </c>
      <c r="N220" s="108" t="s">
        <v>48</v>
      </c>
      <c r="O220" s="109" t="s">
        <v>48</v>
      </c>
      <c r="P220" s="162" t="s">
        <v>48</v>
      </c>
      <c r="Q220" s="109" t="s">
        <v>48</v>
      </c>
      <c r="R220" s="109" t="s">
        <v>48</v>
      </c>
      <c r="S220" s="109" t="s">
        <v>48</v>
      </c>
      <c r="T220" s="109" t="s">
        <v>48</v>
      </c>
      <c r="U220" s="109" t="s">
        <v>48</v>
      </c>
      <c r="V220" s="166" t="s">
        <v>48</v>
      </c>
      <c r="W220" s="165" t="s">
        <v>1130</v>
      </c>
      <c r="X220" s="109" t="s">
        <v>1130</v>
      </c>
      <c r="Y220" s="109" t="s">
        <v>48</v>
      </c>
      <c r="Z220" s="109" t="s">
        <v>48</v>
      </c>
      <c r="AA220" s="109" t="s">
        <v>48</v>
      </c>
      <c r="AB220" s="109" t="s">
        <v>48</v>
      </c>
      <c r="AC220" s="109" t="s">
        <v>48</v>
      </c>
      <c r="AD220" s="166" t="s">
        <v>48</v>
      </c>
      <c r="AE220" s="174" t="s">
        <v>48</v>
      </c>
      <c r="AF220" s="117" t="s">
        <v>48</v>
      </c>
      <c r="AG220" s="117" t="s">
        <v>48</v>
      </c>
      <c r="AH220" s="109" t="s">
        <v>48</v>
      </c>
      <c r="AI220" s="117" t="s">
        <v>48</v>
      </c>
      <c r="AJ220" s="117" t="s">
        <v>48</v>
      </c>
      <c r="AK220" s="182" t="s">
        <v>48</v>
      </c>
      <c r="AL220" s="165" t="s">
        <v>1117</v>
      </c>
      <c r="AM220" s="109" t="s">
        <v>1130</v>
      </c>
      <c r="AN220" s="109" t="s">
        <v>1135</v>
      </c>
      <c r="AO220" s="109" t="s">
        <v>2039</v>
      </c>
      <c r="AP220" s="109" t="s">
        <v>1921</v>
      </c>
      <c r="AQ220" s="109" t="s">
        <v>1921</v>
      </c>
      <c r="AR220" s="109" t="s">
        <v>1926</v>
      </c>
      <c r="AS220" s="166" t="s">
        <v>1119</v>
      </c>
      <c r="AT220" s="165" t="s">
        <v>48</v>
      </c>
      <c r="AU220" s="109" t="s">
        <v>48</v>
      </c>
      <c r="AV220" s="109" t="s">
        <v>48</v>
      </c>
      <c r="AW220" s="109" t="s">
        <v>48</v>
      </c>
      <c r="AX220" s="109" t="s">
        <v>48</v>
      </c>
      <c r="AY220" s="109" t="s">
        <v>48</v>
      </c>
      <c r="AZ220" s="166" t="s">
        <v>48</v>
      </c>
      <c r="BA220" s="162" t="s">
        <v>1242</v>
      </c>
      <c r="BB220" s="109" t="s">
        <v>82</v>
      </c>
      <c r="BC220" s="109" t="s">
        <v>876</v>
      </c>
    </row>
    <row r="221" spans="1:55" ht="14.4" hidden="1">
      <c r="A221" s="109" t="s">
        <v>1584</v>
      </c>
      <c r="B221" s="109" t="s">
        <v>2016</v>
      </c>
      <c r="C221" s="118" t="s">
        <v>1595</v>
      </c>
      <c r="D221" s="109" t="s">
        <v>1130</v>
      </c>
      <c r="E221" s="161">
        <v>15000</v>
      </c>
      <c r="F221" s="165" t="s">
        <v>1130</v>
      </c>
      <c r="G221" s="109" t="s">
        <v>1130</v>
      </c>
      <c r="H221" s="109" t="s">
        <v>48</v>
      </c>
      <c r="I221" s="109" t="s">
        <v>48</v>
      </c>
      <c r="J221" s="109" t="s">
        <v>48</v>
      </c>
      <c r="K221" s="109" t="s">
        <v>48</v>
      </c>
      <c r="L221" s="109" t="s">
        <v>48</v>
      </c>
      <c r="M221" s="166" t="s">
        <v>48</v>
      </c>
      <c r="N221" s="108" t="s">
        <v>48</v>
      </c>
      <c r="O221" s="109" t="s">
        <v>48</v>
      </c>
      <c r="P221" s="162" t="s">
        <v>48</v>
      </c>
      <c r="Q221" s="109" t="s">
        <v>48</v>
      </c>
      <c r="R221" s="109" t="s">
        <v>48</v>
      </c>
      <c r="S221" s="109" t="s">
        <v>48</v>
      </c>
      <c r="T221" s="109" t="s">
        <v>48</v>
      </c>
      <c r="U221" s="109" t="s">
        <v>48</v>
      </c>
      <c r="V221" s="166" t="s">
        <v>48</v>
      </c>
      <c r="W221" s="165" t="s">
        <v>1117</v>
      </c>
      <c r="X221" s="109" t="s">
        <v>1130</v>
      </c>
      <c r="Y221" s="109" t="s">
        <v>1925</v>
      </c>
      <c r="Z221" s="117" t="s">
        <v>2039</v>
      </c>
      <c r="AA221" s="109" t="s">
        <v>1921</v>
      </c>
      <c r="AB221" s="109" t="s">
        <v>1921</v>
      </c>
      <c r="AC221" s="109" t="s">
        <v>1926</v>
      </c>
      <c r="AD221" s="166" t="s">
        <v>1119</v>
      </c>
      <c r="AE221" s="174" t="s">
        <v>48</v>
      </c>
      <c r="AF221" s="117" t="s">
        <v>48</v>
      </c>
      <c r="AG221" s="117" t="s">
        <v>48</v>
      </c>
      <c r="AH221" s="109" t="s">
        <v>48</v>
      </c>
      <c r="AI221" s="117" t="s">
        <v>48</v>
      </c>
      <c r="AJ221" s="117" t="s">
        <v>48</v>
      </c>
      <c r="AK221" s="182" t="s">
        <v>48</v>
      </c>
      <c r="AL221" s="165" t="s">
        <v>48</v>
      </c>
      <c r="AM221" s="109" t="s">
        <v>48</v>
      </c>
      <c r="AN221" s="109" t="s">
        <v>48</v>
      </c>
      <c r="AO221" s="109" t="s">
        <v>48</v>
      </c>
      <c r="AP221" s="109" t="s">
        <v>48</v>
      </c>
      <c r="AQ221" s="109" t="s">
        <v>48</v>
      </c>
      <c r="AR221" s="109" t="s">
        <v>48</v>
      </c>
      <c r="AS221" s="166" t="s">
        <v>48</v>
      </c>
      <c r="AT221" s="165" t="s">
        <v>48</v>
      </c>
      <c r="AU221" s="109" t="s">
        <v>48</v>
      </c>
      <c r="AV221" s="109" t="s">
        <v>48</v>
      </c>
      <c r="AW221" s="109" t="s">
        <v>48</v>
      </c>
      <c r="AX221" s="109" t="s">
        <v>48</v>
      </c>
      <c r="AY221" s="109" t="s">
        <v>48</v>
      </c>
      <c r="AZ221" s="166" t="s">
        <v>48</v>
      </c>
      <c r="BA221" s="162" t="s">
        <v>1243</v>
      </c>
      <c r="BB221" s="109" t="s">
        <v>82</v>
      </c>
      <c r="BC221" s="109" t="s">
        <v>876</v>
      </c>
    </row>
    <row r="222" spans="1:55" ht="75" hidden="1" customHeight="1">
      <c r="A222" s="109" t="s">
        <v>1583</v>
      </c>
      <c r="B222" s="109" t="s">
        <v>2016</v>
      </c>
      <c r="C222" s="118" t="s">
        <v>1595</v>
      </c>
      <c r="D222" s="109" t="s">
        <v>1130</v>
      </c>
      <c r="E222" s="161">
        <v>15000</v>
      </c>
      <c r="F222" s="165" t="s">
        <v>1130</v>
      </c>
      <c r="G222" s="109" t="s">
        <v>1130</v>
      </c>
      <c r="H222" s="109" t="s">
        <v>48</v>
      </c>
      <c r="I222" s="109" t="s">
        <v>48</v>
      </c>
      <c r="J222" s="109" t="s">
        <v>48</v>
      </c>
      <c r="K222" s="109" t="s">
        <v>48</v>
      </c>
      <c r="L222" s="109" t="s">
        <v>48</v>
      </c>
      <c r="M222" s="166" t="s">
        <v>1119</v>
      </c>
      <c r="N222" s="108" t="s">
        <v>48</v>
      </c>
      <c r="O222" s="109" t="s">
        <v>48</v>
      </c>
      <c r="P222" s="162" t="s">
        <v>48</v>
      </c>
      <c r="Q222" s="109" t="s">
        <v>48</v>
      </c>
      <c r="R222" s="109" t="s">
        <v>48</v>
      </c>
      <c r="S222" s="109" t="s">
        <v>48</v>
      </c>
      <c r="T222" s="109" t="s">
        <v>48</v>
      </c>
      <c r="U222" s="109" t="s">
        <v>48</v>
      </c>
      <c r="V222" s="166" t="s">
        <v>48</v>
      </c>
      <c r="W222" s="165" t="s">
        <v>1130</v>
      </c>
      <c r="X222" s="109" t="s">
        <v>1130</v>
      </c>
      <c r="Y222" s="109" t="s">
        <v>48</v>
      </c>
      <c r="Z222" s="109" t="s">
        <v>48</v>
      </c>
      <c r="AA222" s="109" t="s">
        <v>48</v>
      </c>
      <c r="AB222" s="109" t="s">
        <v>48</v>
      </c>
      <c r="AC222" s="109" t="s">
        <v>48</v>
      </c>
      <c r="AD222" s="166" t="s">
        <v>48</v>
      </c>
      <c r="AE222" s="174" t="s">
        <v>48</v>
      </c>
      <c r="AF222" s="117" t="s">
        <v>48</v>
      </c>
      <c r="AG222" s="117" t="s">
        <v>48</v>
      </c>
      <c r="AH222" s="109" t="s">
        <v>48</v>
      </c>
      <c r="AI222" s="117" t="s">
        <v>48</v>
      </c>
      <c r="AJ222" s="117" t="s">
        <v>48</v>
      </c>
      <c r="AK222" s="182" t="s">
        <v>48</v>
      </c>
      <c r="AL222" s="165" t="s">
        <v>1117</v>
      </c>
      <c r="AM222" s="109" t="s">
        <v>1130</v>
      </c>
      <c r="AN222" s="109" t="s">
        <v>1135</v>
      </c>
      <c r="AO222" s="109" t="s">
        <v>2039</v>
      </c>
      <c r="AP222" s="109" t="s">
        <v>1921</v>
      </c>
      <c r="AQ222" s="109" t="s">
        <v>1921</v>
      </c>
      <c r="AR222" s="109" t="s">
        <v>1926</v>
      </c>
      <c r="AS222" s="166" t="s">
        <v>1119</v>
      </c>
      <c r="AT222" s="165" t="s">
        <v>48</v>
      </c>
      <c r="AU222" s="109" t="s">
        <v>48</v>
      </c>
      <c r="AV222" s="109" t="s">
        <v>48</v>
      </c>
      <c r="AW222" s="109" t="s">
        <v>48</v>
      </c>
      <c r="AX222" s="109" t="s">
        <v>48</v>
      </c>
      <c r="AY222" s="109" t="s">
        <v>48</v>
      </c>
      <c r="AZ222" s="166" t="s">
        <v>48</v>
      </c>
      <c r="BA222" s="162" t="s">
        <v>1242</v>
      </c>
      <c r="BB222" s="109" t="s">
        <v>82</v>
      </c>
      <c r="BC222" s="109" t="s">
        <v>876</v>
      </c>
    </row>
    <row r="223" spans="1:55" ht="75" hidden="1" customHeight="1">
      <c r="A223" s="109" t="s">
        <v>1584</v>
      </c>
      <c r="B223" s="109" t="s">
        <v>2016</v>
      </c>
      <c r="C223" s="118" t="s">
        <v>1595</v>
      </c>
      <c r="D223" s="109" t="s">
        <v>904</v>
      </c>
      <c r="E223" s="161">
        <v>15000</v>
      </c>
      <c r="F223" s="165" t="s">
        <v>904</v>
      </c>
      <c r="G223" s="109" t="s">
        <v>904</v>
      </c>
      <c r="H223" s="109" t="s">
        <v>48</v>
      </c>
      <c r="I223" s="109" t="s">
        <v>48</v>
      </c>
      <c r="J223" s="109" t="s">
        <v>48</v>
      </c>
      <c r="K223" s="109" t="s">
        <v>48</v>
      </c>
      <c r="L223" s="109" t="s">
        <v>48</v>
      </c>
      <c r="M223" s="166" t="s">
        <v>1119</v>
      </c>
      <c r="N223" s="108" t="s">
        <v>48</v>
      </c>
      <c r="O223" s="109" t="s">
        <v>48</v>
      </c>
      <c r="P223" s="162" t="s">
        <v>48</v>
      </c>
      <c r="Q223" s="109" t="s">
        <v>48</v>
      </c>
      <c r="R223" s="109" t="s">
        <v>48</v>
      </c>
      <c r="S223" s="109" t="s">
        <v>48</v>
      </c>
      <c r="T223" s="109" t="s">
        <v>48</v>
      </c>
      <c r="U223" s="109" t="s">
        <v>48</v>
      </c>
      <c r="V223" s="166" t="s">
        <v>48</v>
      </c>
      <c r="W223" s="165" t="s">
        <v>904</v>
      </c>
      <c r="X223" s="109" t="s">
        <v>904</v>
      </c>
      <c r="Y223" s="109" t="s">
        <v>48</v>
      </c>
      <c r="Z223" s="109" t="s">
        <v>48</v>
      </c>
      <c r="AA223" s="109" t="s">
        <v>48</v>
      </c>
      <c r="AB223" s="109" t="s">
        <v>48</v>
      </c>
      <c r="AC223" s="109" t="s">
        <v>48</v>
      </c>
      <c r="AD223" s="166" t="s">
        <v>48</v>
      </c>
      <c r="AE223" s="174" t="s">
        <v>48</v>
      </c>
      <c r="AF223" s="117" t="s">
        <v>48</v>
      </c>
      <c r="AG223" s="117" t="s">
        <v>48</v>
      </c>
      <c r="AH223" s="109" t="s">
        <v>48</v>
      </c>
      <c r="AI223" s="117" t="s">
        <v>48</v>
      </c>
      <c r="AJ223" s="117" t="s">
        <v>48</v>
      </c>
      <c r="AK223" s="182" t="s">
        <v>48</v>
      </c>
      <c r="AL223" s="165" t="s">
        <v>1117</v>
      </c>
      <c r="AM223" s="109" t="s">
        <v>904</v>
      </c>
      <c r="AN223" s="109" t="s">
        <v>1135</v>
      </c>
      <c r="AO223" s="109" t="s">
        <v>2039</v>
      </c>
      <c r="AP223" s="109" t="s">
        <v>1921</v>
      </c>
      <c r="AQ223" s="109" t="s">
        <v>1921</v>
      </c>
      <c r="AR223" s="109" t="s">
        <v>1926</v>
      </c>
      <c r="AS223" s="166" t="s">
        <v>1119</v>
      </c>
      <c r="AT223" s="165" t="s">
        <v>48</v>
      </c>
      <c r="AU223" s="109" t="s">
        <v>48</v>
      </c>
      <c r="AV223" s="109" t="s">
        <v>48</v>
      </c>
      <c r="AW223" s="109" t="s">
        <v>48</v>
      </c>
      <c r="AX223" s="109" t="s">
        <v>48</v>
      </c>
      <c r="AY223" s="109" t="s">
        <v>48</v>
      </c>
      <c r="AZ223" s="166" t="s">
        <v>48</v>
      </c>
      <c r="BA223" s="162" t="s">
        <v>1242</v>
      </c>
      <c r="BB223" s="109" t="s">
        <v>82</v>
      </c>
      <c r="BC223" s="109" t="s">
        <v>876</v>
      </c>
    </row>
    <row r="224" spans="1:55" ht="14.4" hidden="1">
      <c r="A224" s="109" t="s">
        <v>1584</v>
      </c>
      <c r="B224" s="109" t="s">
        <v>2016</v>
      </c>
      <c r="C224" s="118" t="s">
        <v>1595</v>
      </c>
      <c r="D224" s="109" t="s">
        <v>904</v>
      </c>
      <c r="E224" s="161">
        <v>15000</v>
      </c>
      <c r="F224" s="165" t="s">
        <v>904</v>
      </c>
      <c r="G224" s="109" t="s">
        <v>904</v>
      </c>
      <c r="H224" s="109" t="s">
        <v>48</v>
      </c>
      <c r="I224" s="109" t="s">
        <v>48</v>
      </c>
      <c r="J224" s="109" t="s">
        <v>48</v>
      </c>
      <c r="K224" s="109" t="s">
        <v>48</v>
      </c>
      <c r="L224" s="109" t="s">
        <v>48</v>
      </c>
      <c r="M224" s="166" t="s">
        <v>48</v>
      </c>
      <c r="N224" s="108" t="s">
        <v>48</v>
      </c>
      <c r="O224" s="109" t="s">
        <v>48</v>
      </c>
      <c r="P224" s="162" t="s">
        <v>48</v>
      </c>
      <c r="Q224" s="109" t="s">
        <v>48</v>
      </c>
      <c r="R224" s="109" t="s">
        <v>48</v>
      </c>
      <c r="S224" s="109" t="s">
        <v>48</v>
      </c>
      <c r="T224" s="109" t="s">
        <v>48</v>
      </c>
      <c r="U224" s="109" t="s">
        <v>48</v>
      </c>
      <c r="V224" s="166" t="s">
        <v>48</v>
      </c>
      <c r="W224" s="165" t="s">
        <v>1117</v>
      </c>
      <c r="X224" s="109" t="s">
        <v>904</v>
      </c>
      <c r="Y224" s="109" t="s">
        <v>1925</v>
      </c>
      <c r="Z224" s="117" t="s">
        <v>2039</v>
      </c>
      <c r="AA224" s="109" t="s">
        <v>1921</v>
      </c>
      <c r="AB224" s="109" t="s">
        <v>1921</v>
      </c>
      <c r="AC224" s="109" t="s">
        <v>1926</v>
      </c>
      <c r="AD224" s="166" t="s">
        <v>1119</v>
      </c>
      <c r="AE224" s="174" t="s">
        <v>48</v>
      </c>
      <c r="AF224" s="117" t="s">
        <v>48</v>
      </c>
      <c r="AG224" s="117" t="s">
        <v>48</v>
      </c>
      <c r="AH224" s="109" t="s">
        <v>48</v>
      </c>
      <c r="AI224" s="117" t="s">
        <v>48</v>
      </c>
      <c r="AJ224" s="117" t="s">
        <v>48</v>
      </c>
      <c r="AK224" s="182" t="s">
        <v>48</v>
      </c>
      <c r="AL224" s="165" t="s">
        <v>48</v>
      </c>
      <c r="AM224" s="109" t="s">
        <v>48</v>
      </c>
      <c r="AN224" s="109" t="s">
        <v>48</v>
      </c>
      <c r="AO224" s="109" t="s">
        <v>48</v>
      </c>
      <c r="AP224" s="109" t="s">
        <v>48</v>
      </c>
      <c r="AQ224" s="109" t="s">
        <v>48</v>
      </c>
      <c r="AR224" s="109" t="s">
        <v>48</v>
      </c>
      <c r="AS224" s="166" t="s">
        <v>48</v>
      </c>
      <c r="AT224" s="165" t="s">
        <v>48</v>
      </c>
      <c r="AU224" s="109" t="s">
        <v>48</v>
      </c>
      <c r="AV224" s="109" t="s">
        <v>48</v>
      </c>
      <c r="AW224" s="109" t="s">
        <v>48</v>
      </c>
      <c r="AX224" s="109" t="s">
        <v>48</v>
      </c>
      <c r="AY224" s="109" t="s">
        <v>48</v>
      </c>
      <c r="AZ224" s="166" t="s">
        <v>48</v>
      </c>
      <c r="BA224" s="162" t="s">
        <v>1243</v>
      </c>
      <c r="BB224" s="109" t="s">
        <v>82</v>
      </c>
      <c r="BC224" s="109" t="s">
        <v>876</v>
      </c>
    </row>
    <row r="225" spans="1:55" ht="75" hidden="1" customHeight="1">
      <c r="A225" s="109" t="s">
        <v>1583</v>
      </c>
      <c r="B225" s="109" t="s">
        <v>2016</v>
      </c>
      <c r="C225" s="118" t="s">
        <v>1595</v>
      </c>
      <c r="D225" s="109" t="s">
        <v>904</v>
      </c>
      <c r="E225" s="161">
        <v>15000</v>
      </c>
      <c r="F225" s="165" t="s">
        <v>904</v>
      </c>
      <c r="G225" s="109" t="s">
        <v>904</v>
      </c>
      <c r="H225" s="109" t="s">
        <v>48</v>
      </c>
      <c r="I225" s="109" t="s">
        <v>48</v>
      </c>
      <c r="J225" s="109" t="s">
        <v>48</v>
      </c>
      <c r="K225" s="109" t="s">
        <v>48</v>
      </c>
      <c r="L225" s="109" t="s">
        <v>48</v>
      </c>
      <c r="M225" s="166" t="s">
        <v>1119</v>
      </c>
      <c r="N225" s="108" t="s">
        <v>48</v>
      </c>
      <c r="O225" s="109" t="s">
        <v>48</v>
      </c>
      <c r="P225" s="162" t="s">
        <v>48</v>
      </c>
      <c r="Q225" s="109" t="s">
        <v>48</v>
      </c>
      <c r="R225" s="109" t="s">
        <v>48</v>
      </c>
      <c r="S225" s="109" t="s">
        <v>48</v>
      </c>
      <c r="T225" s="109" t="s">
        <v>48</v>
      </c>
      <c r="U225" s="109" t="s">
        <v>48</v>
      </c>
      <c r="V225" s="166" t="s">
        <v>48</v>
      </c>
      <c r="W225" s="165" t="s">
        <v>904</v>
      </c>
      <c r="X225" s="109" t="s">
        <v>904</v>
      </c>
      <c r="Y225" s="109" t="s">
        <v>48</v>
      </c>
      <c r="Z225" s="109" t="s">
        <v>48</v>
      </c>
      <c r="AA225" s="109" t="s">
        <v>48</v>
      </c>
      <c r="AB225" s="109" t="s">
        <v>48</v>
      </c>
      <c r="AC225" s="109" t="s">
        <v>48</v>
      </c>
      <c r="AD225" s="166" t="s">
        <v>48</v>
      </c>
      <c r="AE225" s="174" t="s">
        <v>48</v>
      </c>
      <c r="AF225" s="117" t="s">
        <v>48</v>
      </c>
      <c r="AG225" s="117" t="s">
        <v>48</v>
      </c>
      <c r="AH225" s="109" t="s">
        <v>48</v>
      </c>
      <c r="AI225" s="117" t="s">
        <v>48</v>
      </c>
      <c r="AJ225" s="117" t="s">
        <v>48</v>
      </c>
      <c r="AK225" s="182" t="s">
        <v>48</v>
      </c>
      <c r="AL225" s="165" t="s">
        <v>1117</v>
      </c>
      <c r="AM225" s="109" t="s">
        <v>904</v>
      </c>
      <c r="AN225" s="109" t="s">
        <v>1135</v>
      </c>
      <c r="AO225" s="109" t="s">
        <v>2039</v>
      </c>
      <c r="AP225" s="109" t="s">
        <v>1921</v>
      </c>
      <c r="AQ225" s="109" t="s">
        <v>1921</v>
      </c>
      <c r="AR225" s="109" t="s">
        <v>1926</v>
      </c>
      <c r="AS225" s="166" t="s">
        <v>1119</v>
      </c>
      <c r="AT225" s="165" t="s">
        <v>48</v>
      </c>
      <c r="AU225" s="109" t="s">
        <v>48</v>
      </c>
      <c r="AV225" s="109" t="s">
        <v>48</v>
      </c>
      <c r="AW225" s="109" t="s">
        <v>48</v>
      </c>
      <c r="AX225" s="109" t="s">
        <v>48</v>
      </c>
      <c r="AY225" s="109" t="s">
        <v>48</v>
      </c>
      <c r="AZ225" s="166" t="s">
        <v>48</v>
      </c>
      <c r="BA225" s="162" t="s">
        <v>1242</v>
      </c>
      <c r="BB225" s="109" t="s">
        <v>82</v>
      </c>
      <c r="BC225" s="109" t="s">
        <v>876</v>
      </c>
    </row>
    <row r="226" spans="1:55" ht="75" hidden="1" customHeight="1">
      <c r="A226" s="109" t="s">
        <v>1584</v>
      </c>
      <c r="B226" s="109" t="s">
        <v>2016</v>
      </c>
      <c r="C226" s="118" t="s">
        <v>949</v>
      </c>
      <c r="D226" s="109" t="s">
        <v>948</v>
      </c>
      <c r="E226" s="161">
        <v>15000</v>
      </c>
      <c r="F226" s="165" t="s">
        <v>1843</v>
      </c>
      <c r="G226" s="109" t="s">
        <v>1843</v>
      </c>
      <c r="H226" s="109" t="s">
        <v>1965</v>
      </c>
      <c r="I226" s="109" t="s">
        <v>2039</v>
      </c>
      <c r="J226" s="109" t="s">
        <v>1708</v>
      </c>
      <c r="K226" s="109" t="s">
        <v>1708</v>
      </c>
      <c r="L226" s="109" t="s">
        <v>2001</v>
      </c>
      <c r="M226" s="166" t="s">
        <v>1687</v>
      </c>
      <c r="N226" s="108" t="s">
        <v>48</v>
      </c>
      <c r="O226" s="109" t="s">
        <v>48</v>
      </c>
      <c r="P226" s="162" t="s">
        <v>48</v>
      </c>
      <c r="Q226" s="109" t="s">
        <v>48</v>
      </c>
      <c r="R226" s="109" t="s">
        <v>48</v>
      </c>
      <c r="S226" s="109" t="s">
        <v>48</v>
      </c>
      <c r="T226" s="109" t="s">
        <v>48</v>
      </c>
      <c r="U226" s="109" t="s">
        <v>48</v>
      </c>
      <c r="V226" s="166" t="s">
        <v>48</v>
      </c>
      <c r="W226" s="165" t="s">
        <v>948</v>
      </c>
      <c r="X226" s="109" t="s">
        <v>948</v>
      </c>
      <c r="Y226" s="109" t="s">
        <v>48</v>
      </c>
      <c r="Z226" s="109" t="s">
        <v>48</v>
      </c>
      <c r="AA226" s="109" t="s">
        <v>48</v>
      </c>
      <c r="AB226" s="109" t="s">
        <v>48</v>
      </c>
      <c r="AC226" s="109" t="s">
        <v>48</v>
      </c>
      <c r="AD226" s="166" t="s">
        <v>48</v>
      </c>
      <c r="AE226" s="174" t="s">
        <v>48</v>
      </c>
      <c r="AF226" s="117" t="s">
        <v>48</v>
      </c>
      <c r="AG226" s="117" t="s">
        <v>48</v>
      </c>
      <c r="AH226" s="109" t="s">
        <v>48</v>
      </c>
      <c r="AI226" s="117" t="s">
        <v>48</v>
      </c>
      <c r="AJ226" s="117" t="s">
        <v>48</v>
      </c>
      <c r="AK226" s="182" t="s">
        <v>48</v>
      </c>
      <c r="AL226" s="165" t="s">
        <v>2586</v>
      </c>
      <c r="AM226" s="109" t="s">
        <v>2586</v>
      </c>
      <c r="AN226" s="109" t="s">
        <v>2587</v>
      </c>
      <c r="AO226" s="109" t="s">
        <v>2419</v>
      </c>
      <c r="AP226" s="109" t="s">
        <v>2413</v>
      </c>
      <c r="AQ226" s="109" t="s">
        <v>2413</v>
      </c>
      <c r="AR226" s="109" t="s">
        <v>2588</v>
      </c>
      <c r="AS226" s="166" t="s">
        <v>2589</v>
      </c>
      <c r="AT226" s="165" t="s">
        <v>48</v>
      </c>
      <c r="AU226" s="109" t="s">
        <v>48</v>
      </c>
      <c r="AV226" s="109" t="s">
        <v>48</v>
      </c>
      <c r="AW226" s="109" t="s">
        <v>48</v>
      </c>
      <c r="AX226" s="109" t="s">
        <v>48</v>
      </c>
      <c r="AY226" s="109" t="s">
        <v>48</v>
      </c>
      <c r="AZ226" s="166" t="s">
        <v>48</v>
      </c>
      <c r="BA226" s="162" t="s">
        <v>1850</v>
      </c>
      <c r="BB226" s="109" t="s">
        <v>82</v>
      </c>
      <c r="BC226" s="109" t="s">
        <v>1110</v>
      </c>
    </row>
    <row r="227" spans="1:55" ht="14.4" hidden="1">
      <c r="A227" s="109" t="s">
        <v>1583</v>
      </c>
      <c r="B227" s="109" t="s">
        <v>2016</v>
      </c>
      <c r="C227" s="118" t="s">
        <v>949</v>
      </c>
      <c r="D227" s="109" t="s">
        <v>948</v>
      </c>
      <c r="E227" s="161">
        <v>15000</v>
      </c>
      <c r="F227" s="165" t="s">
        <v>1843</v>
      </c>
      <c r="G227" s="109" t="s">
        <v>1843</v>
      </c>
      <c r="H227" s="109" t="s">
        <v>1965</v>
      </c>
      <c r="I227" s="109" t="s">
        <v>2039</v>
      </c>
      <c r="J227" s="109" t="s">
        <v>1708</v>
      </c>
      <c r="K227" s="109" t="s">
        <v>1708</v>
      </c>
      <c r="L227" s="109" t="s">
        <v>2001</v>
      </c>
      <c r="M227" s="166" t="s">
        <v>1687</v>
      </c>
      <c r="N227" s="108" t="s">
        <v>48</v>
      </c>
      <c r="O227" s="109" t="s">
        <v>48</v>
      </c>
      <c r="P227" s="162" t="s">
        <v>48</v>
      </c>
      <c r="Q227" s="109" t="s">
        <v>48</v>
      </c>
      <c r="R227" s="109" t="s">
        <v>48</v>
      </c>
      <c r="S227" s="109" t="s">
        <v>48</v>
      </c>
      <c r="T227" s="109" t="s">
        <v>48</v>
      </c>
      <c r="U227" s="109" t="s">
        <v>48</v>
      </c>
      <c r="V227" s="166" t="s">
        <v>48</v>
      </c>
      <c r="W227" s="165" t="s">
        <v>948</v>
      </c>
      <c r="X227" s="109" t="s">
        <v>948</v>
      </c>
      <c r="Y227" s="109" t="s">
        <v>48</v>
      </c>
      <c r="Z227" s="109" t="s">
        <v>48</v>
      </c>
      <c r="AA227" s="109" t="s">
        <v>48</v>
      </c>
      <c r="AB227" s="109" t="s">
        <v>48</v>
      </c>
      <c r="AC227" s="109" t="s">
        <v>48</v>
      </c>
      <c r="AD227" s="166" t="s">
        <v>48</v>
      </c>
      <c r="AE227" s="174" t="s">
        <v>48</v>
      </c>
      <c r="AF227" s="117" t="s">
        <v>48</v>
      </c>
      <c r="AG227" s="117" t="s">
        <v>48</v>
      </c>
      <c r="AH227" s="109" t="s">
        <v>48</v>
      </c>
      <c r="AI227" s="117" t="s">
        <v>48</v>
      </c>
      <c r="AJ227" s="117" t="s">
        <v>48</v>
      </c>
      <c r="AK227" s="182" t="s">
        <v>48</v>
      </c>
      <c r="AL227" s="165" t="s">
        <v>2586</v>
      </c>
      <c r="AM227" s="109" t="s">
        <v>2586</v>
      </c>
      <c r="AN227" s="109" t="s">
        <v>2587</v>
      </c>
      <c r="AO227" s="109" t="s">
        <v>2419</v>
      </c>
      <c r="AP227" s="109" t="s">
        <v>2413</v>
      </c>
      <c r="AQ227" s="109" t="s">
        <v>2413</v>
      </c>
      <c r="AR227" s="109" t="s">
        <v>2588</v>
      </c>
      <c r="AS227" s="166" t="s">
        <v>2589</v>
      </c>
      <c r="AT227" s="165" t="s">
        <v>48</v>
      </c>
      <c r="AU227" s="109" t="s">
        <v>48</v>
      </c>
      <c r="AV227" s="109" t="s">
        <v>48</v>
      </c>
      <c r="AW227" s="109" t="s">
        <v>48</v>
      </c>
      <c r="AX227" s="109" t="s">
        <v>48</v>
      </c>
      <c r="AY227" s="109" t="s">
        <v>48</v>
      </c>
      <c r="AZ227" s="166" t="s">
        <v>48</v>
      </c>
      <c r="BA227" s="162" t="s">
        <v>1850</v>
      </c>
      <c r="BB227" s="109" t="s">
        <v>82</v>
      </c>
      <c r="BC227" s="109" t="s">
        <v>1110</v>
      </c>
    </row>
    <row r="228" spans="1:55" ht="75" hidden="1" customHeight="1">
      <c r="A228" s="109" t="s">
        <v>1115</v>
      </c>
      <c r="B228" s="109" t="s">
        <v>2483</v>
      </c>
      <c r="C228" s="109" t="s">
        <v>949</v>
      </c>
      <c r="D228" s="109" t="s">
        <v>1108</v>
      </c>
      <c r="E228" s="161">
        <v>15000</v>
      </c>
      <c r="F228" s="165" t="s">
        <v>1843</v>
      </c>
      <c r="G228" s="109" t="s">
        <v>1843</v>
      </c>
      <c r="H228" s="109" t="s">
        <v>1953</v>
      </c>
      <c r="I228" s="109" t="s">
        <v>1908</v>
      </c>
      <c r="J228" s="109" t="s">
        <v>1708</v>
      </c>
      <c r="K228" s="109" t="s">
        <v>1708</v>
      </c>
      <c r="L228" s="109" t="s">
        <v>1996</v>
      </c>
      <c r="M228" s="166" t="s">
        <v>1687</v>
      </c>
      <c r="N228" s="108" t="s">
        <v>48</v>
      </c>
      <c r="O228" s="109" t="s">
        <v>48</v>
      </c>
      <c r="P228" s="162" t="s">
        <v>48</v>
      </c>
      <c r="Q228" s="109" t="s">
        <v>48</v>
      </c>
      <c r="R228" s="109" t="s">
        <v>48</v>
      </c>
      <c r="S228" s="109" t="s">
        <v>48</v>
      </c>
      <c r="T228" s="109" t="s">
        <v>48</v>
      </c>
      <c r="U228" s="109" t="s">
        <v>48</v>
      </c>
      <c r="V228" s="166" t="s">
        <v>48</v>
      </c>
      <c r="W228" s="165" t="s">
        <v>1108</v>
      </c>
      <c r="X228" s="109" t="s">
        <v>1108</v>
      </c>
      <c r="Y228" s="109" t="s">
        <v>48</v>
      </c>
      <c r="Z228" s="109" t="s">
        <v>48</v>
      </c>
      <c r="AA228" s="109" t="s">
        <v>48</v>
      </c>
      <c r="AB228" s="109" t="s">
        <v>48</v>
      </c>
      <c r="AC228" s="109" t="s">
        <v>48</v>
      </c>
      <c r="AD228" s="166" t="s">
        <v>48</v>
      </c>
      <c r="AE228" s="174" t="s">
        <v>48</v>
      </c>
      <c r="AF228" s="117" t="s">
        <v>48</v>
      </c>
      <c r="AG228" s="117" t="s">
        <v>48</v>
      </c>
      <c r="AH228" s="109" t="s">
        <v>48</v>
      </c>
      <c r="AI228" s="117" t="s">
        <v>48</v>
      </c>
      <c r="AJ228" s="117" t="s">
        <v>48</v>
      </c>
      <c r="AK228" s="182" t="s">
        <v>48</v>
      </c>
      <c r="AL228" s="165" t="s">
        <v>2586</v>
      </c>
      <c r="AM228" s="109" t="s">
        <v>2586</v>
      </c>
      <c r="AN228" s="109" t="s">
        <v>2587</v>
      </c>
      <c r="AO228" s="109" t="s">
        <v>2419</v>
      </c>
      <c r="AP228" s="109" t="s">
        <v>2413</v>
      </c>
      <c r="AQ228" s="109" t="s">
        <v>2413</v>
      </c>
      <c r="AR228" s="109" t="s">
        <v>2588</v>
      </c>
      <c r="AS228" s="166" t="s">
        <v>2589</v>
      </c>
      <c r="AT228" s="165" t="s">
        <v>48</v>
      </c>
      <c r="AU228" s="109" t="s">
        <v>48</v>
      </c>
      <c r="AV228" s="109" t="s">
        <v>48</v>
      </c>
      <c r="AW228" s="109" t="s">
        <v>48</v>
      </c>
      <c r="AX228" s="109" t="s">
        <v>48</v>
      </c>
      <c r="AY228" s="109" t="s">
        <v>48</v>
      </c>
      <c r="AZ228" s="166" t="s">
        <v>48</v>
      </c>
      <c r="BA228" s="162" t="s">
        <v>1850</v>
      </c>
      <c r="BB228" s="109" t="s">
        <v>82</v>
      </c>
      <c r="BC228" s="109" t="s">
        <v>1110</v>
      </c>
    </row>
    <row r="229" spans="1:55" ht="75" customHeight="1">
      <c r="A229" s="109" t="s">
        <v>1118</v>
      </c>
      <c r="B229" s="109" t="s">
        <v>2030</v>
      </c>
      <c r="C229" s="109" t="s">
        <v>949</v>
      </c>
      <c r="D229" s="109" t="s">
        <v>1108</v>
      </c>
      <c r="E229" s="161">
        <v>15000</v>
      </c>
      <c r="F229" s="165" t="s">
        <v>1843</v>
      </c>
      <c r="G229" s="109" t="s">
        <v>1843</v>
      </c>
      <c r="H229" s="109" t="s">
        <v>1953</v>
      </c>
      <c r="I229" s="109" t="s">
        <v>1908</v>
      </c>
      <c r="J229" s="109" t="s">
        <v>1708</v>
      </c>
      <c r="K229" s="109" t="s">
        <v>1708</v>
      </c>
      <c r="L229" s="109" t="s">
        <v>1996</v>
      </c>
      <c r="M229" s="166" t="s">
        <v>1687</v>
      </c>
      <c r="N229" s="108" t="s">
        <v>48</v>
      </c>
      <c r="O229" s="109" t="s">
        <v>48</v>
      </c>
      <c r="P229" s="162" t="s">
        <v>48</v>
      </c>
      <c r="Q229" s="109" t="s">
        <v>48</v>
      </c>
      <c r="R229" s="109" t="s">
        <v>48</v>
      </c>
      <c r="S229" s="109" t="s">
        <v>48</v>
      </c>
      <c r="T229" s="109" t="s">
        <v>48</v>
      </c>
      <c r="U229" s="109" t="s">
        <v>48</v>
      </c>
      <c r="V229" s="166" t="s">
        <v>48</v>
      </c>
      <c r="W229" s="165" t="s">
        <v>1108</v>
      </c>
      <c r="X229" s="109" t="s">
        <v>1108</v>
      </c>
      <c r="Y229" s="109" t="s">
        <v>48</v>
      </c>
      <c r="Z229" s="109" t="s">
        <v>48</v>
      </c>
      <c r="AA229" s="109" t="s">
        <v>48</v>
      </c>
      <c r="AB229" s="109" t="s">
        <v>48</v>
      </c>
      <c r="AC229" s="109" t="s">
        <v>48</v>
      </c>
      <c r="AD229" s="166" t="s">
        <v>48</v>
      </c>
      <c r="AE229" s="174" t="s">
        <v>48</v>
      </c>
      <c r="AF229" s="117" t="s">
        <v>48</v>
      </c>
      <c r="AG229" s="117" t="s">
        <v>48</v>
      </c>
      <c r="AH229" s="109" t="s">
        <v>48</v>
      </c>
      <c r="AI229" s="117" t="s">
        <v>48</v>
      </c>
      <c r="AJ229" s="117" t="s">
        <v>48</v>
      </c>
      <c r="AK229" s="182" t="s">
        <v>48</v>
      </c>
      <c r="AL229" s="165" t="s">
        <v>2586</v>
      </c>
      <c r="AM229" s="109" t="s">
        <v>2586</v>
      </c>
      <c r="AN229" s="109" t="s">
        <v>2587</v>
      </c>
      <c r="AO229" s="109" t="s">
        <v>2419</v>
      </c>
      <c r="AP229" s="109" t="s">
        <v>2413</v>
      </c>
      <c r="AQ229" s="109" t="s">
        <v>2413</v>
      </c>
      <c r="AR229" s="109" t="s">
        <v>2588</v>
      </c>
      <c r="AS229" s="166" t="s">
        <v>2589</v>
      </c>
      <c r="AT229" s="165" t="s">
        <v>48</v>
      </c>
      <c r="AU229" s="109" t="s">
        <v>48</v>
      </c>
      <c r="AV229" s="109" t="s">
        <v>48</v>
      </c>
      <c r="AW229" s="109" t="s">
        <v>48</v>
      </c>
      <c r="AX229" s="109" t="s">
        <v>48</v>
      </c>
      <c r="AY229" s="109" t="s">
        <v>48</v>
      </c>
      <c r="AZ229" s="166" t="s">
        <v>48</v>
      </c>
      <c r="BA229" s="162" t="s">
        <v>1850</v>
      </c>
      <c r="BB229" s="109" t="s">
        <v>82</v>
      </c>
      <c r="BC229" s="109" t="s">
        <v>1110</v>
      </c>
    </row>
    <row r="230" spans="1:55" ht="75" customHeight="1">
      <c r="A230" s="109" t="s">
        <v>1118</v>
      </c>
      <c r="B230" s="109" t="s">
        <v>2030</v>
      </c>
      <c r="C230" s="109" t="s">
        <v>949</v>
      </c>
      <c r="D230" s="109" t="s">
        <v>1108</v>
      </c>
      <c r="E230" s="161">
        <v>15000</v>
      </c>
      <c r="F230" s="165" t="s">
        <v>1843</v>
      </c>
      <c r="G230" s="109" t="s">
        <v>1843</v>
      </c>
      <c r="H230" s="109" t="s">
        <v>1953</v>
      </c>
      <c r="I230" s="109" t="s">
        <v>1908</v>
      </c>
      <c r="J230" s="109" t="s">
        <v>1708</v>
      </c>
      <c r="K230" s="109" t="s">
        <v>1708</v>
      </c>
      <c r="L230" s="109" t="s">
        <v>1996</v>
      </c>
      <c r="M230" s="166" t="s">
        <v>1687</v>
      </c>
      <c r="N230" s="108" t="s">
        <v>48</v>
      </c>
      <c r="O230" s="109" t="s">
        <v>48</v>
      </c>
      <c r="P230" s="162" t="s">
        <v>48</v>
      </c>
      <c r="Q230" s="109" t="s">
        <v>48</v>
      </c>
      <c r="R230" s="109" t="s">
        <v>48</v>
      </c>
      <c r="S230" s="109" t="s">
        <v>48</v>
      </c>
      <c r="T230" s="109" t="s">
        <v>48</v>
      </c>
      <c r="U230" s="109" t="s">
        <v>48</v>
      </c>
      <c r="V230" s="166" t="s">
        <v>48</v>
      </c>
      <c r="W230" s="165" t="s">
        <v>1108</v>
      </c>
      <c r="X230" s="109" t="s">
        <v>1108</v>
      </c>
      <c r="Y230" s="109" t="s">
        <v>48</v>
      </c>
      <c r="Z230" s="109" t="s">
        <v>48</v>
      </c>
      <c r="AA230" s="109" t="s">
        <v>48</v>
      </c>
      <c r="AB230" s="109" t="s">
        <v>48</v>
      </c>
      <c r="AC230" s="109" t="s">
        <v>48</v>
      </c>
      <c r="AD230" s="166" t="s">
        <v>48</v>
      </c>
      <c r="AE230" s="174" t="s">
        <v>48</v>
      </c>
      <c r="AF230" s="117" t="s">
        <v>48</v>
      </c>
      <c r="AG230" s="117" t="s">
        <v>48</v>
      </c>
      <c r="AH230" s="109" t="s">
        <v>48</v>
      </c>
      <c r="AI230" s="117" t="s">
        <v>48</v>
      </c>
      <c r="AJ230" s="117" t="s">
        <v>48</v>
      </c>
      <c r="AK230" s="182" t="s">
        <v>48</v>
      </c>
      <c r="AL230" s="165" t="s">
        <v>2433</v>
      </c>
      <c r="AM230" s="109" t="s">
        <v>2433</v>
      </c>
      <c r="AN230" s="109" t="s">
        <v>2434</v>
      </c>
      <c r="AO230" s="109" t="s">
        <v>2412</v>
      </c>
      <c r="AP230" s="109" t="s">
        <v>2413</v>
      </c>
      <c r="AQ230" s="109" t="s">
        <v>2413</v>
      </c>
      <c r="AR230" s="109" t="s">
        <v>2435</v>
      </c>
      <c r="AS230" s="166" t="s">
        <v>2414</v>
      </c>
      <c r="AT230" s="165" t="s">
        <v>48</v>
      </c>
      <c r="AU230" s="109" t="s">
        <v>48</v>
      </c>
      <c r="AV230" s="109" t="s">
        <v>48</v>
      </c>
      <c r="AW230" s="109" t="s">
        <v>48</v>
      </c>
      <c r="AX230" s="109" t="s">
        <v>48</v>
      </c>
      <c r="AY230" s="109" t="s">
        <v>48</v>
      </c>
      <c r="AZ230" s="166" t="s">
        <v>48</v>
      </c>
      <c r="BA230" s="162" t="s">
        <v>1850</v>
      </c>
      <c r="BB230" s="109" t="s">
        <v>82</v>
      </c>
      <c r="BC230" s="109" t="s">
        <v>1110</v>
      </c>
    </row>
    <row r="231" spans="1:55" ht="14.4" hidden="1">
      <c r="A231" s="109" t="s">
        <v>1584</v>
      </c>
      <c r="B231" s="109" t="s">
        <v>2016</v>
      </c>
      <c r="C231" s="118" t="s">
        <v>949</v>
      </c>
      <c r="D231" s="109" t="s">
        <v>1108</v>
      </c>
      <c r="E231" s="161">
        <v>15000</v>
      </c>
      <c r="F231" s="165" t="s">
        <v>1843</v>
      </c>
      <c r="G231" s="109" t="s">
        <v>1843</v>
      </c>
      <c r="H231" s="109" t="s">
        <v>1965</v>
      </c>
      <c r="I231" s="109" t="s">
        <v>2039</v>
      </c>
      <c r="J231" s="109" t="s">
        <v>1708</v>
      </c>
      <c r="K231" s="109" t="s">
        <v>1708</v>
      </c>
      <c r="L231" s="109" t="s">
        <v>2001</v>
      </c>
      <c r="M231" s="166" t="s">
        <v>1687</v>
      </c>
      <c r="N231" s="108" t="s">
        <v>48</v>
      </c>
      <c r="O231" s="109" t="s">
        <v>48</v>
      </c>
      <c r="P231" s="162" t="s">
        <v>48</v>
      </c>
      <c r="Q231" s="109" t="s">
        <v>48</v>
      </c>
      <c r="R231" s="109" t="s">
        <v>48</v>
      </c>
      <c r="S231" s="109" t="s">
        <v>48</v>
      </c>
      <c r="T231" s="109" t="s">
        <v>48</v>
      </c>
      <c r="U231" s="109" t="s">
        <v>48</v>
      </c>
      <c r="V231" s="166" t="s">
        <v>48</v>
      </c>
      <c r="W231" s="165" t="s">
        <v>1108</v>
      </c>
      <c r="X231" s="109" t="s">
        <v>1108</v>
      </c>
      <c r="Y231" s="109" t="s">
        <v>48</v>
      </c>
      <c r="Z231" s="109" t="s">
        <v>48</v>
      </c>
      <c r="AA231" s="109" t="s">
        <v>48</v>
      </c>
      <c r="AB231" s="109" t="s">
        <v>48</v>
      </c>
      <c r="AC231" s="109" t="s">
        <v>48</v>
      </c>
      <c r="AD231" s="166" t="s">
        <v>48</v>
      </c>
      <c r="AE231" s="174" t="s">
        <v>48</v>
      </c>
      <c r="AF231" s="117" t="s">
        <v>48</v>
      </c>
      <c r="AG231" s="117" t="s">
        <v>48</v>
      </c>
      <c r="AH231" s="109" t="s">
        <v>48</v>
      </c>
      <c r="AI231" s="117" t="s">
        <v>48</v>
      </c>
      <c r="AJ231" s="117" t="s">
        <v>48</v>
      </c>
      <c r="AK231" s="182" t="s">
        <v>48</v>
      </c>
      <c r="AL231" s="165" t="s">
        <v>2586</v>
      </c>
      <c r="AM231" s="109" t="s">
        <v>2586</v>
      </c>
      <c r="AN231" s="109" t="s">
        <v>2587</v>
      </c>
      <c r="AO231" s="109" t="s">
        <v>2419</v>
      </c>
      <c r="AP231" s="109" t="s">
        <v>2413</v>
      </c>
      <c r="AQ231" s="109" t="s">
        <v>2413</v>
      </c>
      <c r="AR231" s="109" t="s">
        <v>2588</v>
      </c>
      <c r="AS231" s="166" t="s">
        <v>2589</v>
      </c>
      <c r="AT231" s="165" t="s">
        <v>48</v>
      </c>
      <c r="AU231" s="109" t="s">
        <v>48</v>
      </c>
      <c r="AV231" s="109" t="s">
        <v>48</v>
      </c>
      <c r="AW231" s="109" t="s">
        <v>48</v>
      </c>
      <c r="AX231" s="109" t="s">
        <v>48</v>
      </c>
      <c r="AY231" s="109" t="s">
        <v>48</v>
      </c>
      <c r="AZ231" s="166" t="s">
        <v>48</v>
      </c>
      <c r="BA231" s="162" t="s">
        <v>1850</v>
      </c>
      <c r="BB231" s="109" t="s">
        <v>82</v>
      </c>
      <c r="BC231" s="109" t="s">
        <v>1110</v>
      </c>
    </row>
    <row r="232" spans="1:55" ht="75" hidden="1" customHeight="1">
      <c r="A232" s="109" t="s">
        <v>1583</v>
      </c>
      <c r="B232" s="109" t="s">
        <v>2016</v>
      </c>
      <c r="C232" s="118" t="s">
        <v>949</v>
      </c>
      <c r="D232" s="109" t="s">
        <v>1108</v>
      </c>
      <c r="E232" s="161">
        <v>15000</v>
      </c>
      <c r="F232" s="165" t="s">
        <v>1843</v>
      </c>
      <c r="G232" s="109" t="s">
        <v>1843</v>
      </c>
      <c r="H232" s="109" t="s">
        <v>1965</v>
      </c>
      <c r="I232" s="109" t="s">
        <v>2039</v>
      </c>
      <c r="J232" s="109" t="s">
        <v>1708</v>
      </c>
      <c r="K232" s="109" t="s">
        <v>1708</v>
      </c>
      <c r="L232" s="109" t="s">
        <v>2001</v>
      </c>
      <c r="M232" s="166" t="s">
        <v>1687</v>
      </c>
      <c r="N232" s="108" t="s">
        <v>48</v>
      </c>
      <c r="O232" s="109" t="s">
        <v>48</v>
      </c>
      <c r="P232" s="162" t="s">
        <v>48</v>
      </c>
      <c r="Q232" s="109" t="s">
        <v>48</v>
      </c>
      <c r="R232" s="109" t="s">
        <v>48</v>
      </c>
      <c r="S232" s="109" t="s">
        <v>48</v>
      </c>
      <c r="T232" s="109" t="s">
        <v>48</v>
      </c>
      <c r="U232" s="109" t="s">
        <v>48</v>
      </c>
      <c r="V232" s="166" t="s">
        <v>48</v>
      </c>
      <c r="W232" s="165" t="s">
        <v>1108</v>
      </c>
      <c r="X232" s="109" t="s">
        <v>1108</v>
      </c>
      <c r="Y232" s="109" t="s">
        <v>48</v>
      </c>
      <c r="Z232" s="109" t="s">
        <v>48</v>
      </c>
      <c r="AA232" s="109" t="s">
        <v>48</v>
      </c>
      <c r="AB232" s="109" t="s">
        <v>48</v>
      </c>
      <c r="AC232" s="109" t="s">
        <v>48</v>
      </c>
      <c r="AD232" s="166" t="s">
        <v>48</v>
      </c>
      <c r="AE232" s="174" t="s">
        <v>48</v>
      </c>
      <c r="AF232" s="117" t="s">
        <v>48</v>
      </c>
      <c r="AG232" s="117" t="s">
        <v>48</v>
      </c>
      <c r="AH232" s="109" t="s">
        <v>48</v>
      </c>
      <c r="AI232" s="117" t="s">
        <v>48</v>
      </c>
      <c r="AJ232" s="117" t="s">
        <v>48</v>
      </c>
      <c r="AK232" s="182" t="s">
        <v>48</v>
      </c>
      <c r="AL232" s="165" t="s">
        <v>2586</v>
      </c>
      <c r="AM232" s="109" t="s">
        <v>2586</v>
      </c>
      <c r="AN232" s="109" t="s">
        <v>2587</v>
      </c>
      <c r="AO232" s="109" t="s">
        <v>2419</v>
      </c>
      <c r="AP232" s="109" t="s">
        <v>2413</v>
      </c>
      <c r="AQ232" s="109" t="s">
        <v>2413</v>
      </c>
      <c r="AR232" s="109" t="s">
        <v>2588</v>
      </c>
      <c r="AS232" s="166" t="s">
        <v>2589</v>
      </c>
      <c r="AT232" s="165" t="s">
        <v>48</v>
      </c>
      <c r="AU232" s="109" t="s">
        <v>48</v>
      </c>
      <c r="AV232" s="109" t="s">
        <v>48</v>
      </c>
      <c r="AW232" s="109" t="s">
        <v>48</v>
      </c>
      <c r="AX232" s="109" t="s">
        <v>48</v>
      </c>
      <c r="AY232" s="109" t="s">
        <v>48</v>
      </c>
      <c r="AZ232" s="166" t="s">
        <v>48</v>
      </c>
      <c r="BA232" s="162" t="s">
        <v>1850</v>
      </c>
      <c r="BB232" s="109" t="s">
        <v>82</v>
      </c>
      <c r="BC232" s="109" t="s">
        <v>1110</v>
      </c>
    </row>
    <row r="233" spans="1:55" ht="75" hidden="1" customHeight="1">
      <c r="A233" s="109" t="s">
        <v>1115</v>
      </c>
      <c r="B233" s="109" t="s">
        <v>2483</v>
      </c>
      <c r="C233" s="118" t="s">
        <v>949</v>
      </c>
      <c r="D233" s="109" t="s">
        <v>1377</v>
      </c>
      <c r="E233" s="161">
        <v>15000</v>
      </c>
      <c r="F233" s="165" t="s">
        <v>1843</v>
      </c>
      <c r="G233" s="109" t="s">
        <v>1843</v>
      </c>
      <c r="H233" s="109" t="s">
        <v>1953</v>
      </c>
      <c r="I233" s="109" t="s">
        <v>1908</v>
      </c>
      <c r="J233" s="109" t="s">
        <v>1708</v>
      </c>
      <c r="K233" s="109" t="s">
        <v>1708</v>
      </c>
      <c r="L233" s="109" t="s">
        <v>1996</v>
      </c>
      <c r="M233" s="166" t="s">
        <v>1687</v>
      </c>
      <c r="N233" s="108" t="s">
        <v>48</v>
      </c>
      <c r="O233" s="109" t="s">
        <v>48</v>
      </c>
      <c r="P233" s="162" t="s">
        <v>48</v>
      </c>
      <c r="Q233" s="109" t="s">
        <v>48</v>
      </c>
      <c r="R233" s="109" t="s">
        <v>48</v>
      </c>
      <c r="S233" s="109" t="s">
        <v>48</v>
      </c>
      <c r="T233" s="109" t="s">
        <v>48</v>
      </c>
      <c r="U233" s="109" t="s">
        <v>48</v>
      </c>
      <c r="V233" s="166" t="s">
        <v>48</v>
      </c>
      <c r="W233" s="165" t="s">
        <v>1377</v>
      </c>
      <c r="X233" s="109" t="s">
        <v>1377</v>
      </c>
      <c r="Y233" s="109" t="s">
        <v>48</v>
      </c>
      <c r="Z233" s="109" t="s">
        <v>48</v>
      </c>
      <c r="AA233" s="109" t="s">
        <v>48</v>
      </c>
      <c r="AB233" s="109" t="s">
        <v>48</v>
      </c>
      <c r="AC233" s="109" t="s">
        <v>48</v>
      </c>
      <c r="AD233" s="166" t="s">
        <v>48</v>
      </c>
      <c r="AE233" s="174" t="s">
        <v>48</v>
      </c>
      <c r="AF233" s="117" t="s">
        <v>48</v>
      </c>
      <c r="AG233" s="117" t="s">
        <v>48</v>
      </c>
      <c r="AH233" s="109" t="s">
        <v>48</v>
      </c>
      <c r="AI233" s="117" t="s">
        <v>48</v>
      </c>
      <c r="AJ233" s="117" t="s">
        <v>48</v>
      </c>
      <c r="AK233" s="182" t="s">
        <v>48</v>
      </c>
      <c r="AL233" s="165" t="s">
        <v>2586</v>
      </c>
      <c r="AM233" s="109" t="s">
        <v>2586</v>
      </c>
      <c r="AN233" s="109" t="s">
        <v>2587</v>
      </c>
      <c r="AO233" s="109" t="s">
        <v>2419</v>
      </c>
      <c r="AP233" s="109" t="s">
        <v>2413</v>
      </c>
      <c r="AQ233" s="109" t="s">
        <v>2413</v>
      </c>
      <c r="AR233" s="109" t="s">
        <v>2588</v>
      </c>
      <c r="AS233" s="166" t="s">
        <v>2589</v>
      </c>
      <c r="AT233" s="165" t="s">
        <v>48</v>
      </c>
      <c r="AU233" s="109" t="s">
        <v>48</v>
      </c>
      <c r="AV233" s="109" t="s">
        <v>48</v>
      </c>
      <c r="AW233" s="109" t="s">
        <v>48</v>
      </c>
      <c r="AX233" s="109" t="s">
        <v>48</v>
      </c>
      <c r="AY233" s="109" t="s">
        <v>48</v>
      </c>
      <c r="AZ233" s="166" t="s">
        <v>48</v>
      </c>
      <c r="BA233" s="162" t="s">
        <v>1850</v>
      </c>
      <c r="BB233" s="109" t="s">
        <v>82</v>
      </c>
      <c r="BC233" s="109" t="s">
        <v>1110</v>
      </c>
    </row>
    <row r="234" spans="1:55" ht="14.4">
      <c r="A234" s="109" t="s">
        <v>1118</v>
      </c>
      <c r="B234" s="109" t="s">
        <v>2030</v>
      </c>
      <c r="C234" s="118" t="s">
        <v>949</v>
      </c>
      <c r="D234" s="109" t="s">
        <v>1377</v>
      </c>
      <c r="E234" s="161">
        <v>15000</v>
      </c>
      <c r="F234" s="165" t="s">
        <v>1843</v>
      </c>
      <c r="G234" s="109" t="s">
        <v>1843</v>
      </c>
      <c r="H234" s="109" t="s">
        <v>1953</v>
      </c>
      <c r="I234" s="109" t="s">
        <v>1908</v>
      </c>
      <c r="J234" s="109" t="s">
        <v>1708</v>
      </c>
      <c r="K234" s="109" t="s">
        <v>1708</v>
      </c>
      <c r="L234" s="109" t="s">
        <v>1996</v>
      </c>
      <c r="M234" s="166" t="s">
        <v>1687</v>
      </c>
      <c r="N234" s="108" t="s">
        <v>48</v>
      </c>
      <c r="O234" s="109" t="s">
        <v>48</v>
      </c>
      <c r="P234" s="162" t="s">
        <v>48</v>
      </c>
      <c r="Q234" s="109" t="s">
        <v>48</v>
      </c>
      <c r="R234" s="109" t="s">
        <v>48</v>
      </c>
      <c r="S234" s="109" t="s">
        <v>48</v>
      </c>
      <c r="T234" s="109" t="s">
        <v>48</v>
      </c>
      <c r="U234" s="109" t="s">
        <v>48</v>
      </c>
      <c r="V234" s="166" t="s">
        <v>48</v>
      </c>
      <c r="W234" s="165" t="s">
        <v>1377</v>
      </c>
      <c r="X234" s="109" t="s">
        <v>1377</v>
      </c>
      <c r="Y234" s="109" t="s">
        <v>48</v>
      </c>
      <c r="Z234" s="109" t="s">
        <v>48</v>
      </c>
      <c r="AA234" s="109" t="s">
        <v>48</v>
      </c>
      <c r="AB234" s="109" t="s">
        <v>48</v>
      </c>
      <c r="AC234" s="109" t="s">
        <v>48</v>
      </c>
      <c r="AD234" s="166" t="s">
        <v>48</v>
      </c>
      <c r="AE234" s="174" t="s">
        <v>48</v>
      </c>
      <c r="AF234" s="117" t="s">
        <v>48</v>
      </c>
      <c r="AG234" s="117" t="s">
        <v>48</v>
      </c>
      <c r="AH234" s="109" t="s">
        <v>48</v>
      </c>
      <c r="AI234" s="117" t="s">
        <v>48</v>
      </c>
      <c r="AJ234" s="117" t="s">
        <v>48</v>
      </c>
      <c r="AK234" s="182" t="s">
        <v>48</v>
      </c>
      <c r="AL234" s="109" t="s">
        <v>2586</v>
      </c>
      <c r="AM234" s="109" t="s">
        <v>2586</v>
      </c>
      <c r="AN234" s="109" t="s">
        <v>2587</v>
      </c>
      <c r="AO234" s="109" t="s">
        <v>2419</v>
      </c>
      <c r="AP234" s="109" t="s">
        <v>2413</v>
      </c>
      <c r="AQ234" s="109" t="s">
        <v>2413</v>
      </c>
      <c r="AR234" s="109" t="s">
        <v>2588</v>
      </c>
      <c r="AS234" s="166" t="s">
        <v>2589</v>
      </c>
      <c r="AT234" s="165" t="s">
        <v>48</v>
      </c>
      <c r="AU234" s="109" t="s">
        <v>48</v>
      </c>
      <c r="AV234" s="109" t="s">
        <v>48</v>
      </c>
      <c r="AW234" s="109" t="s">
        <v>48</v>
      </c>
      <c r="AX234" s="109" t="s">
        <v>48</v>
      </c>
      <c r="AY234" s="109" t="s">
        <v>48</v>
      </c>
      <c r="AZ234" s="166" t="s">
        <v>48</v>
      </c>
      <c r="BA234" s="162" t="s">
        <v>1850</v>
      </c>
      <c r="BB234" s="109" t="s">
        <v>82</v>
      </c>
      <c r="BC234" s="109" t="s">
        <v>1110</v>
      </c>
    </row>
    <row r="235" spans="1:55" ht="14.4">
      <c r="A235" s="109" t="s">
        <v>1118</v>
      </c>
      <c r="B235" s="109" t="s">
        <v>2030</v>
      </c>
      <c r="C235" s="118" t="s">
        <v>949</v>
      </c>
      <c r="D235" s="109" t="s">
        <v>1377</v>
      </c>
      <c r="E235" s="161">
        <v>15000</v>
      </c>
      <c r="F235" s="165" t="s">
        <v>1843</v>
      </c>
      <c r="G235" s="109" t="s">
        <v>1843</v>
      </c>
      <c r="H235" s="109" t="s">
        <v>1953</v>
      </c>
      <c r="I235" s="109" t="s">
        <v>1908</v>
      </c>
      <c r="J235" s="109" t="s">
        <v>1708</v>
      </c>
      <c r="K235" s="109" t="s">
        <v>1708</v>
      </c>
      <c r="L235" s="109" t="s">
        <v>1996</v>
      </c>
      <c r="M235" s="166" t="s">
        <v>1687</v>
      </c>
      <c r="N235" s="108" t="s">
        <v>48</v>
      </c>
      <c r="O235" s="109" t="s">
        <v>48</v>
      </c>
      <c r="P235" s="162" t="s">
        <v>48</v>
      </c>
      <c r="Q235" s="109" t="s">
        <v>48</v>
      </c>
      <c r="R235" s="109" t="s">
        <v>48</v>
      </c>
      <c r="S235" s="109" t="s">
        <v>48</v>
      </c>
      <c r="T235" s="109" t="s">
        <v>48</v>
      </c>
      <c r="U235" s="109" t="s">
        <v>48</v>
      </c>
      <c r="V235" s="166" t="s">
        <v>48</v>
      </c>
      <c r="W235" s="165" t="s">
        <v>1377</v>
      </c>
      <c r="X235" s="109" t="s">
        <v>1377</v>
      </c>
      <c r="Y235" s="109" t="s">
        <v>48</v>
      </c>
      <c r="Z235" s="109" t="s">
        <v>48</v>
      </c>
      <c r="AA235" s="109" t="s">
        <v>48</v>
      </c>
      <c r="AB235" s="109" t="s">
        <v>48</v>
      </c>
      <c r="AC235" s="109" t="s">
        <v>48</v>
      </c>
      <c r="AD235" s="166" t="s">
        <v>48</v>
      </c>
      <c r="AE235" s="174" t="s">
        <v>48</v>
      </c>
      <c r="AF235" s="117" t="s">
        <v>48</v>
      </c>
      <c r="AG235" s="117" t="s">
        <v>48</v>
      </c>
      <c r="AH235" s="109" t="s">
        <v>48</v>
      </c>
      <c r="AI235" s="117" t="s">
        <v>48</v>
      </c>
      <c r="AJ235" s="117" t="s">
        <v>48</v>
      </c>
      <c r="AK235" s="182" t="s">
        <v>48</v>
      </c>
      <c r="AL235" s="165" t="s">
        <v>2433</v>
      </c>
      <c r="AM235" s="109" t="s">
        <v>2433</v>
      </c>
      <c r="AN235" s="109" t="s">
        <v>2434</v>
      </c>
      <c r="AO235" s="109" t="s">
        <v>2412</v>
      </c>
      <c r="AP235" s="109" t="s">
        <v>2413</v>
      </c>
      <c r="AQ235" s="109" t="s">
        <v>2413</v>
      </c>
      <c r="AR235" s="109" t="s">
        <v>2435</v>
      </c>
      <c r="AS235" s="166" t="s">
        <v>2414</v>
      </c>
      <c r="AT235" s="165" t="s">
        <v>48</v>
      </c>
      <c r="AU235" s="109" t="s">
        <v>48</v>
      </c>
      <c r="AV235" s="109" t="s">
        <v>48</v>
      </c>
      <c r="AW235" s="109" t="s">
        <v>48</v>
      </c>
      <c r="AX235" s="109" t="s">
        <v>48</v>
      </c>
      <c r="AY235" s="109" t="s">
        <v>48</v>
      </c>
      <c r="AZ235" s="166" t="s">
        <v>48</v>
      </c>
      <c r="BA235" s="162" t="s">
        <v>1850</v>
      </c>
      <c r="BB235" s="109" t="s">
        <v>82</v>
      </c>
      <c r="BC235" s="109" t="s">
        <v>1110</v>
      </c>
    </row>
    <row r="236" spans="1:55" ht="75" hidden="1" customHeight="1">
      <c r="A236" s="109" t="s">
        <v>1584</v>
      </c>
      <c r="B236" s="109" t="s">
        <v>2016</v>
      </c>
      <c r="C236" s="118" t="s">
        <v>949</v>
      </c>
      <c r="D236" s="109" t="s">
        <v>1377</v>
      </c>
      <c r="E236" s="161">
        <v>15000</v>
      </c>
      <c r="F236" s="165" t="s">
        <v>1843</v>
      </c>
      <c r="G236" s="109" t="s">
        <v>1843</v>
      </c>
      <c r="H236" s="109" t="s">
        <v>1965</v>
      </c>
      <c r="I236" s="109" t="s">
        <v>2039</v>
      </c>
      <c r="J236" s="109" t="s">
        <v>1708</v>
      </c>
      <c r="K236" s="109" t="s">
        <v>1708</v>
      </c>
      <c r="L236" s="109" t="s">
        <v>2001</v>
      </c>
      <c r="M236" s="166" t="s">
        <v>1687</v>
      </c>
      <c r="N236" s="108" t="s">
        <v>48</v>
      </c>
      <c r="O236" s="109" t="s">
        <v>48</v>
      </c>
      <c r="P236" s="162" t="s">
        <v>48</v>
      </c>
      <c r="Q236" s="109" t="s">
        <v>48</v>
      </c>
      <c r="R236" s="109" t="s">
        <v>48</v>
      </c>
      <c r="S236" s="109" t="s">
        <v>48</v>
      </c>
      <c r="T236" s="109" t="s">
        <v>48</v>
      </c>
      <c r="U236" s="109" t="s">
        <v>48</v>
      </c>
      <c r="V236" s="166" t="s">
        <v>48</v>
      </c>
      <c r="W236" s="165" t="s">
        <v>1377</v>
      </c>
      <c r="X236" s="109" t="s">
        <v>1377</v>
      </c>
      <c r="Y236" s="109" t="s">
        <v>48</v>
      </c>
      <c r="Z236" s="109" t="s">
        <v>48</v>
      </c>
      <c r="AA236" s="109" t="s">
        <v>48</v>
      </c>
      <c r="AB236" s="109" t="s">
        <v>48</v>
      </c>
      <c r="AC236" s="109" t="s">
        <v>48</v>
      </c>
      <c r="AD236" s="166" t="s">
        <v>48</v>
      </c>
      <c r="AE236" s="174" t="s">
        <v>48</v>
      </c>
      <c r="AF236" s="117" t="s">
        <v>48</v>
      </c>
      <c r="AG236" s="117" t="s">
        <v>48</v>
      </c>
      <c r="AH236" s="109" t="s">
        <v>48</v>
      </c>
      <c r="AI236" s="117" t="s">
        <v>48</v>
      </c>
      <c r="AJ236" s="117" t="s">
        <v>48</v>
      </c>
      <c r="AK236" s="182" t="s">
        <v>48</v>
      </c>
      <c r="AL236" s="109" t="s">
        <v>2586</v>
      </c>
      <c r="AM236" s="109" t="s">
        <v>2586</v>
      </c>
      <c r="AN236" s="109" t="s">
        <v>2587</v>
      </c>
      <c r="AO236" s="109" t="s">
        <v>2419</v>
      </c>
      <c r="AP236" s="109" t="s">
        <v>2413</v>
      </c>
      <c r="AQ236" s="109" t="s">
        <v>2413</v>
      </c>
      <c r="AR236" s="109" t="s">
        <v>2588</v>
      </c>
      <c r="AS236" s="166" t="s">
        <v>2589</v>
      </c>
      <c r="AT236" s="165" t="s">
        <v>48</v>
      </c>
      <c r="AU236" s="109" t="s">
        <v>48</v>
      </c>
      <c r="AV236" s="109" t="s">
        <v>48</v>
      </c>
      <c r="AW236" s="109" t="s">
        <v>48</v>
      </c>
      <c r="AX236" s="109" t="s">
        <v>48</v>
      </c>
      <c r="AY236" s="109" t="s">
        <v>48</v>
      </c>
      <c r="AZ236" s="166" t="s">
        <v>48</v>
      </c>
      <c r="BA236" s="162" t="s">
        <v>1850</v>
      </c>
      <c r="BB236" s="109" t="s">
        <v>82</v>
      </c>
      <c r="BC236" s="109" t="s">
        <v>1110</v>
      </c>
    </row>
    <row r="237" spans="1:55" ht="75" hidden="1" customHeight="1">
      <c r="A237" s="109" t="s">
        <v>1583</v>
      </c>
      <c r="B237" s="109" t="s">
        <v>2016</v>
      </c>
      <c r="C237" s="118" t="s">
        <v>949</v>
      </c>
      <c r="D237" s="109" t="s">
        <v>1377</v>
      </c>
      <c r="E237" s="161">
        <v>15000</v>
      </c>
      <c r="F237" s="165" t="s">
        <v>1843</v>
      </c>
      <c r="G237" s="109" t="s">
        <v>1843</v>
      </c>
      <c r="H237" s="109" t="s">
        <v>1965</v>
      </c>
      <c r="I237" s="109" t="s">
        <v>2039</v>
      </c>
      <c r="J237" s="109" t="s">
        <v>1708</v>
      </c>
      <c r="K237" s="109" t="s">
        <v>1708</v>
      </c>
      <c r="L237" s="109" t="s">
        <v>2001</v>
      </c>
      <c r="M237" s="166" t="s">
        <v>1687</v>
      </c>
      <c r="N237" s="108" t="s">
        <v>48</v>
      </c>
      <c r="O237" s="109" t="s">
        <v>48</v>
      </c>
      <c r="P237" s="162" t="s">
        <v>48</v>
      </c>
      <c r="Q237" s="109" t="s">
        <v>48</v>
      </c>
      <c r="R237" s="109" t="s">
        <v>48</v>
      </c>
      <c r="S237" s="109" t="s">
        <v>48</v>
      </c>
      <c r="T237" s="109" t="s">
        <v>48</v>
      </c>
      <c r="U237" s="109" t="s">
        <v>48</v>
      </c>
      <c r="V237" s="166" t="s">
        <v>48</v>
      </c>
      <c r="W237" s="165" t="s">
        <v>1377</v>
      </c>
      <c r="X237" s="109" t="s">
        <v>1377</v>
      </c>
      <c r="Y237" s="109" t="s">
        <v>48</v>
      </c>
      <c r="Z237" s="109" t="s">
        <v>48</v>
      </c>
      <c r="AA237" s="109" t="s">
        <v>48</v>
      </c>
      <c r="AB237" s="109" t="s">
        <v>48</v>
      </c>
      <c r="AC237" s="109" t="s">
        <v>48</v>
      </c>
      <c r="AD237" s="166" t="s">
        <v>48</v>
      </c>
      <c r="AE237" s="174" t="s">
        <v>48</v>
      </c>
      <c r="AF237" s="117" t="s">
        <v>48</v>
      </c>
      <c r="AG237" s="117" t="s">
        <v>48</v>
      </c>
      <c r="AH237" s="109" t="s">
        <v>48</v>
      </c>
      <c r="AI237" s="117" t="s">
        <v>48</v>
      </c>
      <c r="AJ237" s="117" t="s">
        <v>48</v>
      </c>
      <c r="AK237" s="182" t="s">
        <v>48</v>
      </c>
      <c r="AL237" s="109" t="s">
        <v>2586</v>
      </c>
      <c r="AM237" s="109" t="s">
        <v>2586</v>
      </c>
      <c r="AN237" s="109" t="s">
        <v>2587</v>
      </c>
      <c r="AO237" s="109" t="s">
        <v>2419</v>
      </c>
      <c r="AP237" s="109" t="s">
        <v>2413</v>
      </c>
      <c r="AQ237" s="109" t="s">
        <v>2413</v>
      </c>
      <c r="AR237" s="109" t="s">
        <v>2588</v>
      </c>
      <c r="AS237" s="166" t="s">
        <v>2589</v>
      </c>
      <c r="AT237" s="165" t="s">
        <v>48</v>
      </c>
      <c r="AU237" s="109" t="s">
        <v>48</v>
      </c>
      <c r="AV237" s="109" t="s">
        <v>48</v>
      </c>
      <c r="AW237" s="109" t="s">
        <v>48</v>
      </c>
      <c r="AX237" s="109" t="s">
        <v>48</v>
      </c>
      <c r="AY237" s="109" t="s">
        <v>48</v>
      </c>
      <c r="AZ237" s="166" t="s">
        <v>48</v>
      </c>
      <c r="BA237" s="162" t="s">
        <v>1850</v>
      </c>
      <c r="BB237" s="109" t="s">
        <v>82</v>
      </c>
      <c r="BC237" s="109" t="s">
        <v>1110</v>
      </c>
    </row>
    <row r="238" spans="1:55" ht="27.6" hidden="1">
      <c r="A238" s="109" t="s">
        <v>1115</v>
      </c>
      <c r="B238" s="109" t="s">
        <v>2483</v>
      </c>
      <c r="C238" s="118" t="s">
        <v>949</v>
      </c>
      <c r="D238" s="109" t="s">
        <v>1582</v>
      </c>
      <c r="E238" s="161">
        <v>15000</v>
      </c>
      <c r="F238" s="165" t="s">
        <v>1843</v>
      </c>
      <c r="G238" s="109" t="s">
        <v>1843</v>
      </c>
      <c r="H238" s="109" t="s">
        <v>1953</v>
      </c>
      <c r="I238" s="109" t="s">
        <v>1908</v>
      </c>
      <c r="J238" s="109" t="s">
        <v>1708</v>
      </c>
      <c r="K238" s="109" t="s">
        <v>1708</v>
      </c>
      <c r="L238" s="109" t="s">
        <v>1996</v>
      </c>
      <c r="M238" s="166" t="s">
        <v>1687</v>
      </c>
      <c r="N238" s="108" t="s">
        <v>48</v>
      </c>
      <c r="O238" s="109" t="s">
        <v>48</v>
      </c>
      <c r="P238" s="162" t="s">
        <v>48</v>
      </c>
      <c r="Q238" s="109" t="s">
        <v>48</v>
      </c>
      <c r="R238" s="109" t="s">
        <v>48</v>
      </c>
      <c r="S238" s="109" t="s">
        <v>48</v>
      </c>
      <c r="T238" s="109" t="s">
        <v>48</v>
      </c>
      <c r="U238" s="109" t="s">
        <v>48</v>
      </c>
      <c r="V238" s="166" t="s">
        <v>48</v>
      </c>
      <c r="W238" s="165" t="s">
        <v>1582</v>
      </c>
      <c r="X238" s="109" t="s">
        <v>1582</v>
      </c>
      <c r="Y238" s="109" t="s">
        <v>48</v>
      </c>
      <c r="Z238" s="109" t="s">
        <v>48</v>
      </c>
      <c r="AA238" s="109" t="s">
        <v>48</v>
      </c>
      <c r="AB238" s="109" t="s">
        <v>48</v>
      </c>
      <c r="AC238" s="109" t="s">
        <v>48</v>
      </c>
      <c r="AD238" s="166" t="s">
        <v>48</v>
      </c>
      <c r="AE238" s="174" t="s">
        <v>48</v>
      </c>
      <c r="AF238" s="117" t="s">
        <v>48</v>
      </c>
      <c r="AG238" s="117" t="s">
        <v>48</v>
      </c>
      <c r="AH238" s="109" t="s">
        <v>48</v>
      </c>
      <c r="AI238" s="117" t="s">
        <v>48</v>
      </c>
      <c r="AJ238" s="117" t="s">
        <v>48</v>
      </c>
      <c r="AK238" s="182" t="s">
        <v>48</v>
      </c>
      <c r="AL238" s="109" t="s">
        <v>2586</v>
      </c>
      <c r="AM238" s="109" t="s">
        <v>2586</v>
      </c>
      <c r="AN238" s="109" t="s">
        <v>2587</v>
      </c>
      <c r="AO238" s="109" t="s">
        <v>2419</v>
      </c>
      <c r="AP238" s="109" t="s">
        <v>2413</v>
      </c>
      <c r="AQ238" s="109" t="s">
        <v>2413</v>
      </c>
      <c r="AR238" s="109" t="s">
        <v>2588</v>
      </c>
      <c r="AS238" s="166" t="s">
        <v>2589</v>
      </c>
      <c r="AT238" s="165" t="s">
        <v>48</v>
      </c>
      <c r="AU238" s="109" t="s">
        <v>48</v>
      </c>
      <c r="AV238" s="109" t="s">
        <v>48</v>
      </c>
      <c r="AW238" s="109" t="s">
        <v>48</v>
      </c>
      <c r="AX238" s="109" t="s">
        <v>48</v>
      </c>
      <c r="AY238" s="109" t="s">
        <v>48</v>
      </c>
      <c r="AZ238" s="166" t="s">
        <v>48</v>
      </c>
      <c r="BA238" s="162" t="s">
        <v>1850</v>
      </c>
      <c r="BB238" s="109" t="s">
        <v>82</v>
      </c>
      <c r="BC238" s="109" t="s">
        <v>1110</v>
      </c>
    </row>
    <row r="239" spans="1:55" ht="75" customHeight="1">
      <c r="A239" s="109" t="s">
        <v>1118</v>
      </c>
      <c r="B239" s="109" t="s">
        <v>2030</v>
      </c>
      <c r="C239" s="118" t="s">
        <v>949</v>
      </c>
      <c r="D239" s="109" t="s">
        <v>1582</v>
      </c>
      <c r="E239" s="161">
        <v>15000</v>
      </c>
      <c r="F239" s="165" t="s">
        <v>1843</v>
      </c>
      <c r="G239" s="109" t="s">
        <v>1843</v>
      </c>
      <c r="H239" s="109" t="s">
        <v>1953</v>
      </c>
      <c r="I239" s="109" t="s">
        <v>1908</v>
      </c>
      <c r="J239" s="109" t="s">
        <v>1708</v>
      </c>
      <c r="K239" s="109" t="s">
        <v>1708</v>
      </c>
      <c r="L239" s="109" t="s">
        <v>1996</v>
      </c>
      <c r="M239" s="166" t="s">
        <v>1687</v>
      </c>
      <c r="N239" s="108" t="s">
        <v>48</v>
      </c>
      <c r="O239" s="109" t="s">
        <v>48</v>
      </c>
      <c r="P239" s="162" t="s">
        <v>48</v>
      </c>
      <c r="Q239" s="109" t="s">
        <v>48</v>
      </c>
      <c r="R239" s="109" t="s">
        <v>48</v>
      </c>
      <c r="S239" s="109" t="s">
        <v>48</v>
      </c>
      <c r="T239" s="109" t="s">
        <v>48</v>
      </c>
      <c r="U239" s="109" t="s">
        <v>48</v>
      </c>
      <c r="V239" s="166" t="s">
        <v>48</v>
      </c>
      <c r="W239" s="165" t="s">
        <v>1582</v>
      </c>
      <c r="X239" s="109" t="s">
        <v>1582</v>
      </c>
      <c r="Y239" s="109" t="s">
        <v>48</v>
      </c>
      <c r="Z239" s="109" t="s">
        <v>48</v>
      </c>
      <c r="AA239" s="109" t="s">
        <v>48</v>
      </c>
      <c r="AB239" s="109" t="s">
        <v>48</v>
      </c>
      <c r="AC239" s="109" t="s">
        <v>48</v>
      </c>
      <c r="AD239" s="166" t="s">
        <v>48</v>
      </c>
      <c r="AE239" s="174" t="s">
        <v>48</v>
      </c>
      <c r="AF239" s="117" t="s">
        <v>48</v>
      </c>
      <c r="AG239" s="117" t="s">
        <v>48</v>
      </c>
      <c r="AH239" s="109" t="s">
        <v>48</v>
      </c>
      <c r="AI239" s="117" t="s">
        <v>48</v>
      </c>
      <c r="AJ239" s="117" t="s">
        <v>48</v>
      </c>
      <c r="AK239" s="182" t="s">
        <v>48</v>
      </c>
      <c r="AL239" s="109" t="s">
        <v>2586</v>
      </c>
      <c r="AM239" s="109" t="s">
        <v>2586</v>
      </c>
      <c r="AN239" s="109" t="s">
        <v>2587</v>
      </c>
      <c r="AO239" s="109" t="s">
        <v>2419</v>
      </c>
      <c r="AP239" s="109" t="s">
        <v>2413</v>
      </c>
      <c r="AQ239" s="109" t="s">
        <v>2413</v>
      </c>
      <c r="AR239" s="109" t="s">
        <v>2588</v>
      </c>
      <c r="AS239" s="166" t="s">
        <v>2589</v>
      </c>
      <c r="AT239" s="165" t="s">
        <v>48</v>
      </c>
      <c r="AU239" s="109" t="s">
        <v>48</v>
      </c>
      <c r="AV239" s="109" t="s">
        <v>48</v>
      </c>
      <c r="AW239" s="109" t="s">
        <v>48</v>
      </c>
      <c r="AX239" s="109" t="s">
        <v>48</v>
      </c>
      <c r="AY239" s="109" t="s">
        <v>48</v>
      </c>
      <c r="AZ239" s="166" t="s">
        <v>48</v>
      </c>
      <c r="BA239" s="162" t="s">
        <v>1850</v>
      </c>
      <c r="BB239" s="109" t="s">
        <v>82</v>
      </c>
      <c r="BC239" s="109" t="s">
        <v>1110</v>
      </c>
    </row>
    <row r="240" spans="1:55" ht="75" customHeight="1">
      <c r="A240" s="109" t="s">
        <v>1118</v>
      </c>
      <c r="B240" s="109" t="s">
        <v>2030</v>
      </c>
      <c r="C240" s="118" t="s">
        <v>949</v>
      </c>
      <c r="D240" s="109" t="s">
        <v>1582</v>
      </c>
      <c r="E240" s="161">
        <v>15000</v>
      </c>
      <c r="F240" s="165" t="s">
        <v>1843</v>
      </c>
      <c r="G240" s="109" t="s">
        <v>1843</v>
      </c>
      <c r="H240" s="109" t="s">
        <v>1953</v>
      </c>
      <c r="I240" s="109" t="s">
        <v>1908</v>
      </c>
      <c r="J240" s="109" t="s">
        <v>1708</v>
      </c>
      <c r="K240" s="109" t="s">
        <v>1708</v>
      </c>
      <c r="L240" s="109" t="s">
        <v>1996</v>
      </c>
      <c r="M240" s="166" t="s">
        <v>1687</v>
      </c>
      <c r="N240" s="108" t="s">
        <v>48</v>
      </c>
      <c r="O240" s="109" t="s">
        <v>48</v>
      </c>
      <c r="P240" s="162" t="s">
        <v>48</v>
      </c>
      <c r="Q240" s="109" t="s">
        <v>48</v>
      </c>
      <c r="R240" s="109" t="s">
        <v>48</v>
      </c>
      <c r="S240" s="109" t="s">
        <v>48</v>
      </c>
      <c r="T240" s="109" t="s">
        <v>48</v>
      </c>
      <c r="U240" s="109" t="s">
        <v>48</v>
      </c>
      <c r="V240" s="166" t="s">
        <v>48</v>
      </c>
      <c r="W240" s="165" t="s">
        <v>1582</v>
      </c>
      <c r="X240" s="109" t="s">
        <v>1582</v>
      </c>
      <c r="Y240" s="109" t="s">
        <v>48</v>
      </c>
      <c r="Z240" s="109" t="s">
        <v>48</v>
      </c>
      <c r="AA240" s="109" t="s">
        <v>48</v>
      </c>
      <c r="AB240" s="109" t="s">
        <v>48</v>
      </c>
      <c r="AC240" s="109" t="s">
        <v>48</v>
      </c>
      <c r="AD240" s="166" t="s">
        <v>48</v>
      </c>
      <c r="AE240" s="174" t="s">
        <v>48</v>
      </c>
      <c r="AF240" s="117" t="s">
        <v>48</v>
      </c>
      <c r="AG240" s="117" t="s">
        <v>48</v>
      </c>
      <c r="AH240" s="109" t="s">
        <v>48</v>
      </c>
      <c r="AI240" s="117" t="s">
        <v>48</v>
      </c>
      <c r="AJ240" s="117" t="s">
        <v>48</v>
      </c>
      <c r="AK240" s="182" t="s">
        <v>48</v>
      </c>
      <c r="AL240" s="165" t="s">
        <v>2433</v>
      </c>
      <c r="AM240" s="109" t="s">
        <v>2433</v>
      </c>
      <c r="AN240" s="109" t="s">
        <v>2434</v>
      </c>
      <c r="AO240" s="109" t="s">
        <v>2412</v>
      </c>
      <c r="AP240" s="109" t="s">
        <v>2413</v>
      </c>
      <c r="AQ240" s="109" t="s">
        <v>2413</v>
      </c>
      <c r="AR240" s="109" t="s">
        <v>2435</v>
      </c>
      <c r="AS240" s="166" t="s">
        <v>2414</v>
      </c>
      <c r="AT240" s="165" t="s">
        <v>48</v>
      </c>
      <c r="AU240" s="109" t="s">
        <v>48</v>
      </c>
      <c r="AV240" s="109" t="s">
        <v>48</v>
      </c>
      <c r="AW240" s="109" t="s">
        <v>48</v>
      </c>
      <c r="AX240" s="109" t="s">
        <v>48</v>
      </c>
      <c r="AY240" s="109" t="s">
        <v>48</v>
      </c>
      <c r="AZ240" s="166" t="s">
        <v>48</v>
      </c>
      <c r="BA240" s="162" t="s">
        <v>1850</v>
      </c>
      <c r="BB240" s="109" t="s">
        <v>82</v>
      </c>
      <c r="BC240" s="109" t="s">
        <v>1110</v>
      </c>
    </row>
    <row r="241" spans="1:55" ht="75" hidden="1" customHeight="1">
      <c r="A241" s="109" t="s">
        <v>1584</v>
      </c>
      <c r="B241" s="109" t="s">
        <v>2016</v>
      </c>
      <c r="C241" s="118" t="s">
        <v>949</v>
      </c>
      <c r="D241" s="109" t="s">
        <v>1582</v>
      </c>
      <c r="E241" s="161">
        <v>15000</v>
      </c>
      <c r="F241" s="165" t="s">
        <v>1843</v>
      </c>
      <c r="G241" s="109" t="s">
        <v>1843</v>
      </c>
      <c r="H241" s="109" t="s">
        <v>1965</v>
      </c>
      <c r="I241" s="109" t="s">
        <v>2039</v>
      </c>
      <c r="J241" s="109" t="s">
        <v>1708</v>
      </c>
      <c r="K241" s="109" t="s">
        <v>1708</v>
      </c>
      <c r="L241" s="109" t="s">
        <v>2001</v>
      </c>
      <c r="M241" s="166" t="s">
        <v>1687</v>
      </c>
      <c r="N241" s="108" t="s">
        <v>48</v>
      </c>
      <c r="O241" s="109" t="s">
        <v>48</v>
      </c>
      <c r="P241" s="162" t="s">
        <v>48</v>
      </c>
      <c r="Q241" s="109" t="s">
        <v>48</v>
      </c>
      <c r="R241" s="109" t="s">
        <v>48</v>
      </c>
      <c r="S241" s="109" t="s">
        <v>48</v>
      </c>
      <c r="T241" s="109" t="s">
        <v>48</v>
      </c>
      <c r="U241" s="109" t="s">
        <v>48</v>
      </c>
      <c r="V241" s="166" t="s">
        <v>48</v>
      </c>
      <c r="W241" s="165" t="s">
        <v>1582</v>
      </c>
      <c r="X241" s="109" t="s">
        <v>1582</v>
      </c>
      <c r="Y241" s="109" t="s">
        <v>48</v>
      </c>
      <c r="Z241" s="109" t="s">
        <v>48</v>
      </c>
      <c r="AA241" s="109" t="s">
        <v>48</v>
      </c>
      <c r="AB241" s="109" t="s">
        <v>48</v>
      </c>
      <c r="AC241" s="109" t="s">
        <v>48</v>
      </c>
      <c r="AD241" s="166" t="s">
        <v>48</v>
      </c>
      <c r="AE241" s="174" t="s">
        <v>48</v>
      </c>
      <c r="AF241" s="117" t="s">
        <v>48</v>
      </c>
      <c r="AG241" s="117" t="s">
        <v>48</v>
      </c>
      <c r="AH241" s="109" t="s">
        <v>48</v>
      </c>
      <c r="AI241" s="117" t="s">
        <v>48</v>
      </c>
      <c r="AJ241" s="117" t="s">
        <v>48</v>
      </c>
      <c r="AK241" s="182" t="s">
        <v>48</v>
      </c>
      <c r="AL241" s="109" t="s">
        <v>2586</v>
      </c>
      <c r="AM241" s="109" t="s">
        <v>2586</v>
      </c>
      <c r="AN241" s="109" t="s">
        <v>2587</v>
      </c>
      <c r="AO241" s="109" t="s">
        <v>2419</v>
      </c>
      <c r="AP241" s="109" t="s">
        <v>2413</v>
      </c>
      <c r="AQ241" s="109" t="s">
        <v>2413</v>
      </c>
      <c r="AR241" s="109" t="s">
        <v>2588</v>
      </c>
      <c r="AS241" s="166" t="s">
        <v>2589</v>
      </c>
      <c r="AT241" s="165" t="s">
        <v>48</v>
      </c>
      <c r="AU241" s="109" t="s">
        <v>48</v>
      </c>
      <c r="AV241" s="109" t="s">
        <v>48</v>
      </c>
      <c r="AW241" s="109" t="s">
        <v>48</v>
      </c>
      <c r="AX241" s="109" t="s">
        <v>48</v>
      </c>
      <c r="AY241" s="109" t="s">
        <v>48</v>
      </c>
      <c r="AZ241" s="166" t="s">
        <v>48</v>
      </c>
      <c r="BA241" s="162" t="s">
        <v>1850</v>
      </c>
      <c r="BB241" s="109" t="s">
        <v>82</v>
      </c>
      <c r="BC241" s="109" t="s">
        <v>1110</v>
      </c>
    </row>
    <row r="242" spans="1:55" ht="14.4" hidden="1">
      <c r="A242" s="109" t="s">
        <v>1583</v>
      </c>
      <c r="B242" s="109" t="s">
        <v>2016</v>
      </c>
      <c r="C242" s="118" t="s">
        <v>949</v>
      </c>
      <c r="D242" s="109" t="s">
        <v>1582</v>
      </c>
      <c r="E242" s="161">
        <v>15000</v>
      </c>
      <c r="F242" s="165" t="s">
        <v>1843</v>
      </c>
      <c r="G242" s="109" t="s">
        <v>1843</v>
      </c>
      <c r="H242" s="109" t="s">
        <v>1965</v>
      </c>
      <c r="I242" s="109" t="s">
        <v>2039</v>
      </c>
      <c r="J242" s="109" t="s">
        <v>1708</v>
      </c>
      <c r="K242" s="109" t="s">
        <v>1708</v>
      </c>
      <c r="L242" s="109" t="s">
        <v>2001</v>
      </c>
      <c r="M242" s="166" t="s">
        <v>1687</v>
      </c>
      <c r="N242" s="108" t="s">
        <v>48</v>
      </c>
      <c r="O242" s="109" t="s">
        <v>48</v>
      </c>
      <c r="P242" s="162" t="s">
        <v>48</v>
      </c>
      <c r="Q242" s="109" t="s">
        <v>48</v>
      </c>
      <c r="R242" s="109" t="s">
        <v>48</v>
      </c>
      <c r="S242" s="109" t="s">
        <v>48</v>
      </c>
      <c r="T242" s="109" t="s">
        <v>48</v>
      </c>
      <c r="U242" s="109" t="s">
        <v>48</v>
      </c>
      <c r="V242" s="166" t="s">
        <v>48</v>
      </c>
      <c r="W242" s="165" t="s">
        <v>1582</v>
      </c>
      <c r="X242" s="109" t="s">
        <v>1582</v>
      </c>
      <c r="Y242" s="109" t="s">
        <v>48</v>
      </c>
      <c r="Z242" s="109" t="s">
        <v>48</v>
      </c>
      <c r="AA242" s="109" t="s">
        <v>48</v>
      </c>
      <c r="AB242" s="109" t="s">
        <v>48</v>
      </c>
      <c r="AC242" s="109" t="s">
        <v>48</v>
      </c>
      <c r="AD242" s="166" t="s">
        <v>48</v>
      </c>
      <c r="AE242" s="174" t="s">
        <v>48</v>
      </c>
      <c r="AF242" s="117" t="s">
        <v>48</v>
      </c>
      <c r="AG242" s="117" t="s">
        <v>48</v>
      </c>
      <c r="AH242" s="109" t="s">
        <v>48</v>
      </c>
      <c r="AI242" s="117" t="s">
        <v>48</v>
      </c>
      <c r="AJ242" s="117" t="s">
        <v>48</v>
      </c>
      <c r="AK242" s="182" t="s">
        <v>48</v>
      </c>
      <c r="AL242" s="109" t="s">
        <v>2586</v>
      </c>
      <c r="AM242" s="109" t="s">
        <v>2586</v>
      </c>
      <c r="AN242" s="109" t="s">
        <v>2587</v>
      </c>
      <c r="AO242" s="109" t="s">
        <v>2419</v>
      </c>
      <c r="AP242" s="109" t="s">
        <v>2413</v>
      </c>
      <c r="AQ242" s="109" t="s">
        <v>2413</v>
      </c>
      <c r="AR242" s="109" t="s">
        <v>2588</v>
      </c>
      <c r="AS242" s="166" t="s">
        <v>2589</v>
      </c>
      <c r="AT242" s="165" t="s">
        <v>48</v>
      </c>
      <c r="AU242" s="109" t="s">
        <v>48</v>
      </c>
      <c r="AV242" s="109" t="s">
        <v>48</v>
      </c>
      <c r="AW242" s="109" t="s">
        <v>48</v>
      </c>
      <c r="AX242" s="109" t="s">
        <v>48</v>
      </c>
      <c r="AY242" s="109" t="s">
        <v>48</v>
      </c>
      <c r="AZ242" s="166" t="s">
        <v>48</v>
      </c>
      <c r="BA242" s="162" t="s">
        <v>1850</v>
      </c>
      <c r="BB242" s="109" t="s">
        <v>82</v>
      </c>
      <c r="BC242" s="109" t="s">
        <v>1110</v>
      </c>
    </row>
    <row r="243" spans="1:55" ht="75" hidden="1" customHeight="1">
      <c r="A243" s="109" t="s">
        <v>1115</v>
      </c>
      <c r="B243" s="109" t="s">
        <v>2483</v>
      </c>
      <c r="C243" s="109" t="s">
        <v>1844</v>
      </c>
      <c r="D243" s="109" t="s">
        <v>1843</v>
      </c>
      <c r="E243" s="161">
        <v>15000</v>
      </c>
      <c r="F243" s="165" t="s">
        <v>1843</v>
      </c>
      <c r="G243" s="109" t="s">
        <v>1843</v>
      </c>
      <c r="H243" s="109" t="s">
        <v>48</v>
      </c>
      <c r="I243" s="109" t="s">
        <v>48</v>
      </c>
      <c r="J243" s="109" t="s">
        <v>48</v>
      </c>
      <c r="K243" s="109" t="s">
        <v>48</v>
      </c>
      <c r="L243" s="109" t="s">
        <v>48</v>
      </c>
      <c r="M243" s="166" t="s">
        <v>1687</v>
      </c>
      <c r="N243" s="108" t="s">
        <v>48</v>
      </c>
      <c r="O243" s="109" t="s">
        <v>48</v>
      </c>
      <c r="P243" s="162" t="s">
        <v>48</v>
      </c>
      <c r="Q243" s="109" t="s">
        <v>48</v>
      </c>
      <c r="R243" s="109" t="s">
        <v>48</v>
      </c>
      <c r="S243" s="109" t="s">
        <v>48</v>
      </c>
      <c r="T243" s="109" t="s">
        <v>48</v>
      </c>
      <c r="U243" s="109" t="s">
        <v>48</v>
      </c>
      <c r="V243" s="166" t="s">
        <v>48</v>
      </c>
      <c r="W243" s="165" t="s">
        <v>1843</v>
      </c>
      <c r="X243" s="109" t="s">
        <v>1843</v>
      </c>
      <c r="Y243" s="109" t="s">
        <v>48</v>
      </c>
      <c r="Z243" s="109" t="s">
        <v>48</v>
      </c>
      <c r="AA243" s="109" t="s">
        <v>48</v>
      </c>
      <c r="AB243" s="109" t="s">
        <v>48</v>
      </c>
      <c r="AC243" s="109" t="s">
        <v>48</v>
      </c>
      <c r="AD243" s="166" t="s">
        <v>48</v>
      </c>
      <c r="AE243" s="165" t="s">
        <v>48</v>
      </c>
      <c r="AF243" s="109" t="s">
        <v>48</v>
      </c>
      <c r="AG243" s="109" t="s">
        <v>48</v>
      </c>
      <c r="AH243" s="109" t="s">
        <v>48</v>
      </c>
      <c r="AI243" s="109" t="s">
        <v>48</v>
      </c>
      <c r="AJ243" s="109" t="s">
        <v>48</v>
      </c>
      <c r="AK243" s="166" t="s">
        <v>48</v>
      </c>
      <c r="AL243" s="109" t="s">
        <v>2586</v>
      </c>
      <c r="AM243" s="109" t="s">
        <v>2586</v>
      </c>
      <c r="AN243" s="109" t="s">
        <v>2587</v>
      </c>
      <c r="AO243" s="109" t="s">
        <v>2419</v>
      </c>
      <c r="AP243" s="109" t="s">
        <v>2413</v>
      </c>
      <c r="AQ243" s="109" t="s">
        <v>2413</v>
      </c>
      <c r="AR243" s="109" t="s">
        <v>2588</v>
      </c>
      <c r="AS243" s="166" t="s">
        <v>2589</v>
      </c>
      <c r="AT243" s="165" t="s">
        <v>48</v>
      </c>
      <c r="AU243" s="109" t="s">
        <v>48</v>
      </c>
      <c r="AV243" s="109" t="s">
        <v>48</v>
      </c>
      <c r="AW243" s="109" t="s">
        <v>48</v>
      </c>
      <c r="AX243" s="109" t="s">
        <v>48</v>
      </c>
      <c r="AY243" s="109" t="s">
        <v>48</v>
      </c>
      <c r="AZ243" s="166" t="s">
        <v>48</v>
      </c>
      <c r="BA243" s="162" t="s">
        <v>2852</v>
      </c>
      <c r="BB243" s="109" t="s">
        <v>82</v>
      </c>
      <c r="BC243" s="109" t="s">
        <v>1110</v>
      </c>
    </row>
    <row r="244" spans="1:55" ht="75" customHeight="1">
      <c r="A244" s="109" t="s">
        <v>1118</v>
      </c>
      <c r="B244" s="109" t="s">
        <v>2030</v>
      </c>
      <c r="C244" s="109" t="s">
        <v>1844</v>
      </c>
      <c r="D244" s="109" t="s">
        <v>2577</v>
      </c>
      <c r="E244" s="161">
        <v>15000</v>
      </c>
      <c r="F244" s="165" t="s">
        <v>1843</v>
      </c>
      <c r="G244" s="109" t="s">
        <v>1843</v>
      </c>
      <c r="H244" s="109" t="s">
        <v>48</v>
      </c>
      <c r="I244" s="109" t="s">
        <v>48</v>
      </c>
      <c r="J244" s="109" t="s">
        <v>48</v>
      </c>
      <c r="K244" s="109" t="s">
        <v>48</v>
      </c>
      <c r="L244" s="109" t="s">
        <v>48</v>
      </c>
      <c r="M244" s="166" t="s">
        <v>1687</v>
      </c>
      <c r="N244" s="108" t="s">
        <v>48</v>
      </c>
      <c r="O244" s="109" t="s">
        <v>48</v>
      </c>
      <c r="P244" s="162" t="s">
        <v>48</v>
      </c>
      <c r="Q244" s="109" t="s">
        <v>48</v>
      </c>
      <c r="R244" s="109" t="s">
        <v>48</v>
      </c>
      <c r="S244" s="109" t="s">
        <v>48</v>
      </c>
      <c r="T244" s="109" t="s">
        <v>48</v>
      </c>
      <c r="U244" s="109" t="s">
        <v>48</v>
      </c>
      <c r="V244" s="166" t="s">
        <v>48</v>
      </c>
      <c r="W244" s="165" t="s">
        <v>1843</v>
      </c>
      <c r="X244" s="109" t="s">
        <v>1843</v>
      </c>
      <c r="Y244" s="109" t="s">
        <v>48</v>
      </c>
      <c r="Z244" s="109" t="s">
        <v>48</v>
      </c>
      <c r="AA244" s="109" t="s">
        <v>48</v>
      </c>
      <c r="AB244" s="109" t="s">
        <v>48</v>
      </c>
      <c r="AC244" s="109" t="s">
        <v>48</v>
      </c>
      <c r="AD244" s="166" t="s">
        <v>48</v>
      </c>
      <c r="AE244" s="165" t="s">
        <v>48</v>
      </c>
      <c r="AF244" s="109" t="s">
        <v>48</v>
      </c>
      <c r="AG244" s="109" t="s">
        <v>48</v>
      </c>
      <c r="AH244" s="109" t="s">
        <v>48</v>
      </c>
      <c r="AI244" s="109" t="s">
        <v>48</v>
      </c>
      <c r="AJ244" s="109" t="s">
        <v>48</v>
      </c>
      <c r="AK244" s="166" t="s">
        <v>48</v>
      </c>
      <c r="AL244" s="109" t="s">
        <v>2586</v>
      </c>
      <c r="AM244" s="109" t="s">
        <v>2586</v>
      </c>
      <c r="AN244" s="109" t="s">
        <v>2587</v>
      </c>
      <c r="AO244" s="109" t="s">
        <v>2419</v>
      </c>
      <c r="AP244" s="109" t="s">
        <v>2413</v>
      </c>
      <c r="AQ244" s="109" t="s">
        <v>2413</v>
      </c>
      <c r="AR244" s="109" t="s">
        <v>2588</v>
      </c>
      <c r="AS244" s="166" t="s">
        <v>2589</v>
      </c>
      <c r="AT244" s="165" t="s">
        <v>48</v>
      </c>
      <c r="AU244" s="109" t="s">
        <v>48</v>
      </c>
      <c r="AV244" s="109" t="s">
        <v>48</v>
      </c>
      <c r="AW244" s="109" t="s">
        <v>48</v>
      </c>
      <c r="AX244" s="109" t="s">
        <v>48</v>
      </c>
      <c r="AY244" s="109" t="s">
        <v>48</v>
      </c>
      <c r="AZ244" s="166" t="s">
        <v>48</v>
      </c>
      <c r="BA244" s="162" t="s">
        <v>2852</v>
      </c>
      <c r="BB244" s="109" t="s">
        <v>82</v>
      </c>
      <c r="BC244" s="109" t="s">
        <v>1110</v>
      </c>
    </row>
    <row r="245" spans="1:55" ht="75" customHeight="1">
      <c r="A245" s="109" t="s">
        <v>1118</v>
      </c>
      <c r="B245" s="109" t="s">
        <v>2030</v>
      </c>
      <c r="C245" s="109" t="s">
        <v>1844</v>
      </c>
      <c r="D245" s="109" t="s">
        <v>2577</v>
      </c>
      <c r="E245" s="161">
        <v>15000</v>
      </c>
      <c r="F245" s="165" t="s">
        <v>1843</v>
      </c>
      <c r="G245" s="109" t="s">
        <v>1843</v>
      </c>
      <c r="H245" s="109" t="s">
        <v>48</v>
      </c>
      <c r="I245" s="109" t="s">
        <v>48</v>
      </c>
      <c r="J245" s="109" t="s">
        <v>48</v>
      </c>
      <c r="K245" s="109" t="s">
        <v>48</v>
      </c>
      <c r="L245" s="109" t="s">
        <v>48</v>
      </c>
      <c r="M245" s="166" t="s">
        <v>1687</v>
      </c>
      <c r="N245" s="108" t="s">
        <v>48</v>
      </c>
      <c r="O245" s="109" t="s">
        <v>48</v>
      </c>
      <c r="P245" s="162" t="s">
        <v>48</v>
      </c>
      <c r="Q245" s="109" t="s">
        <v>48</v>
      </c>
      <c r="R245" s="109" t="s">
        <v>48</v>
      </c>
      <c r="S245" s="109" t="s">
        <v>48</v>
      </c>
      <c r="T245" s="109" t="s">
        <v>48</v>
      </c>
      <c r="U245" s="109" t="s">
        <v>48</v>
      </c>
      <c r="V245" s="166" t="s">
        <v>48</v>
      </c>
      <c r="W245" s="165" t="s">
        <v>1843</v>
      </c>
      <c r="X245" s="109" t="s">
        <v>1843</v>
      </c>
      <c r="Y245" s="109" t="s">
        <v>48</v>
      </c>
      <c r="Z245" s="109" t="s">
        <v>48</v>
      </c>
      <c r="AA245" s="109" t="s">
        <v>48</v>
      </c>
      <c r="AB245" s="109" t="s">
        <v>48</v>
      </c>
      <c r="AC245" s="109" t="s">
        <v>48</v>
      </c>
      <c r="AD245" s="166" t="s">
        <v>48</v>
      </c>
      <c r="AE245" s="165" t="s">
        <v>48</v>
      </c>
      <c r="AF245" s="109" t="s">
        <v>48</v>
      </c>
      <c r="AG245" s="109" t="s">
        <v>48</v>
      </c>
      <c r="AH245" s="109" t="s">
        <v>48</v>
      </c>
      <c r="AI245" s="109" t="s">
        <v>48</v>
      </c>
      <c r="AJ245" s="109" t="s">
        <v>48</v>
      </c>
      <c r="AK245" s="166" t="s">
        <v>48</v>
      </c>
      <c r="AL245" s="165" t="s">
        <v>2433</v>
      </c>
      <c r="AM245" s="109" t="s">
        <v>2433</v>
      </c>
      <c r="AN245" s="109" t="s">
        <v>2434</v>
      </c>
      <c r="AO245" s="109" t="s">
        <v>2412</v>
      </c>
      <c r="AP245" s="109" t="s">
        <v>2413</v>
      </c>
      <c r="AQ245" s="109" t="s">
        <v>2413</v>
      </c>
      <c r="AR245" s="109" t="s">
        <v>2435</v>
      </c>
      <c r="AS245" s="166" t="s">
        <v>2414</v>
      </c>
      <c r="AT245" s="165" t="s">
        <v>48</v>
      </c>
      <c r="AU245" s="109" t="s">
        <v>48</v>
      </c>
      <c r="AV245" s="109" t="s">
        <v>48</v>
      </c>
      <c r="AW245" s="109" t="s">
        <v>48</v>
      </c>
      <c r="AX245" s="109" t="s">
        <v>48</v>
      </c>
      <c r="AY245" s="109" t="s">
        <v>48</v>
      </c>
      <c r="AZ245" s="166" t="s">
        <v>48</v>
      </c>
      <c r="BA245" s="162" t="s">
        <v>2850</v>
      </c>
      <c r="BB245" s="109" t="s">
        <v>82</v>
      </c>
      <c r="BC245" s="109" t="s">
        <v>1110</v>
      </c>
    </row>
    <row r="246" spans="1:55" ht="14.4" hidden="1">
      <c r="A246" s="109" t="s">
        <v>1584</v>
      </c>
      <c r="B246" s="109" t="s">
        <v>2016</v>
      </c>
      <c r="C246" s="118" t="s">
        <v>1596</v>
      </c>
      <c r="D246" s="109" t="s">
        <v>786</v>
      </c>
      <c r="E246" s="161">
        <v>15000</v>
      </c>
      <c r="F246" s="165" t="s">
        <v>1834</v>
      </c>
      <c r="G246" s="109" t="s">
        <v>1834</v>
      </c>
      <c r="H246" s="109" t="s">
        <v>1964</v>
      </c>
      <c r="I246" s="109" t="s">
        <v>2039</v>
      </c>
      <c r="J246" s="109" t="s">
        <v>1708</v>
      </c>
      <c r="K246" s="109" t="s">
        <v>1708</v>
      </c>
      <c r="L246" s="109" t="s">
        <v>2000</v>
      </c>
      <c r="M246" s="166" t="s">
        <v>1687</v>
      </c>
      <c r="N246" s="108" t="s">
        <v>48</v>
      </c>
      <c r="O246" s="109" t="s">
        <v>48</v>
      </c>
      <c r="P246" s="162" t="s">
        <v>48</v>
      </c>
      <c r="Q246" s="109" t="s">
        <v>48</v>
      </c>
      <c r="R246" s="109" t="s">
        <v>48</v>
      </c>
      <c r="S246" s="109" t="s">
        <v>48</v>
      </c>
      <c r="T246" s="109" t="s">
        <v>48</v>
      </c>
      <c r="U246" s="109" t="s">
        <v>48</v>
      </c>
      <c r="V246" s="166" t="s">
        <v>48</v>
      </c>
      <c r="W246" s="165" t="s">
        <v>786</v>
      </c>
      <c r="X246" s="109" t="s">
        <v>786</v>
      </c>
      <c r="Y246" s="109" t="s">
        <v>48</v>
      </c>
      <c r="Z246" s="109" t="s">
        <v>48</v>
      </c>
      <c r="AA246" s="109" t="s">
        <v>48</v>
      </c>
      <c r="AB246" s="109" t="s">
        <v>48</v>
      </c>
      <c r="AC246" s="109" t="s">
        <v>48</v>
      </c>
      <c r="AD246" s="166" t="s">
        <v>48</v>
      </c>
      <c r="AE246" s="174" t="s">
        <v>48</v>
      </c>
      <c r="AF246" s="117" t="s">
        <v>48</v>
      </c>
      <c r="AG246" s="117" t="s">
        <v>48</v>
      </c>
      <c r="AH246" s="109" t="s">
        <v>48</v>
      </c>
      <c r="AI246" s="117" t="s">
        <v>48</v>
      </c>
      <c r="AJ246" s="117" t="s">
        <v>48</v>
      </c>
      <c r="AK246" s="182" t="s">
        <v>48</v>
      </c>
      <c r="AL246" s="165" t="s">
        <v>786</v>
      </c>
      <c r="AM246" s="109" t="s">
        <v>786</v>
      </c>
      <c r="AN246" s="109" t="s">
        <v>48</v>
      </c>
      <c r="AO246" s="109" t="s">
        <v>48</v>
      </c>
      <c r="AP246" s="109" t="s">
        <v>48</v>
      </c>
      <c r="AQ246" s="109" t="s">
        <v>48</v>
      </c>
      <c r="AR246" s="109" t="s">
        <v>48</v>
      </c>
      <c r="AS246" s="166" t="s">
        <v>48</v>
      </c>
      <c r="AT246" s="165" t="s">
        <v>48</v>
      </c>
      <c r="AU246" s="109" t="s">
        <v>48</v>
      </c>
      <c r="AV246" s="109" t="s">
        <v>48</v>
      </c>
      <c r="AW246" s="109" t="s">
        <v>48</v>
      </c>
      <c r="AX246" s="109" t="s">
        <v>48</v>
      </c>
      <c r="AY246" s="109" t="s">
        <v>48</v>
      </c>
      <c r="AZ246" s="166" t="s">
        <v>48</v>
      </c>
      <c r="BA246" s="162" t="s">
        <v>1841</v>
      </c>
      <c r="BB246" s="109" t="s">
        <v>82</v>
      </c>
      <c r="BC246" s="109" t="s">
        <v>1836</v>
      </c>
    </row>
    <row r="247" spans="1:55" ht="75" hidden="1" customHeight="1">
      <c r="A247" s="109" t="s">
        <v>1583</v>
      </c>
      <c r="B247" s="109" t="s">
        <v>2016</v>
      </c>
      <c r="C247" s="118" t="s">
        <v>1596</v>
      </c>
      <c r="D247" s="109" t="s">
        <v>786</v>
      </c>
      <c r="E247" s="161">
        <v>15000</v>
      </c>
      <c r="F247" s="165" t="s">
        <v>1834</v>
      </c>
      <c r="G247" s="109" t="s">
        <v>1834</v>
      </c>
      <c r="H247" s="109" t="s">
        <v>1964</v>
      </c>
      <c r="I247" s="109" t="s">
        <v>2039</v>
      </c>
      <c r="J247" s="109" t="s">
        <v>1708</v>
      </c>
      <c r="K247" s="109" t="s">
        <v>1708</v>
      </c>
      <c r="L247" s="109" t="s">
        <v>2000</v>
      </c>
      <c r="M247" s="166" t="s">
        <v>1687</v>
      </c>
      <c r="N247" s="108" t="s">
        <v>48</v>
      </c>
      <c r="O247" s="109" t="s">
        <v>48</v>
      </c>
      <c r="P247" s="162" t="s">
        <v>48</v>
      </c>
      <c r="Q247" s="109" t="s">
        <v>48</v>
      </c>
      <c r="R247" s="109" t="s">
        <v>48</v>
      </c>
      <c r="S247" s="109" t="s">
        <v>48</v>
      </c>
      <c r="T247" s="109" t="s">
        <v>48</v>
      </c>
      <c r="U247" s="109" t="s">
        <v>48</v>
      </c>
      <c r="V247" s="166" t="s">
        <v>48</v>
      </c>
      <c r="W247" s="165" t="s">
        <v>786</v>
      </c>
      <c r="X247" s="109" t="s">
        <v>786</v>
      </c>
      <c r="Y247" s="109" t="s">
        <v>48</v>
      </c>
      <c r="Z247" s="109" t="s">
        <v>48</v>
      </c>
      <c r="AA247" s="109" t="s">
        <v>48</v>
      </c>
      <c r="AB247" s="109" t="s">
        <v>48</v>
      </c>
      <c r="AC247" s="109" t="s">
        <v>48</v>
      </c>
      <c r="AD247" s="166" t="s">
        <v>48</v>
      </c>
      <c r="AE247" s="174" t="s">
        <v>48</v>
      </c>
      <c r="AF247" s="117" t="s">
        <v>48</v>
      </c>
      <c r="AG247" s="117" t="s">
        <v>48</v>
      </c>
      <c r="AH247" s="109" t="s">
        <v>48</v>
      </c>
      <c r="AI247" s="117" t="s">
        <v>48</v>
      </c>
      <c r="AJ247" s="117" t="s">
        <v>48</v>
      </c>
      <c r="AK247" s="182" t="s">
        <v>48</v>
      </c>
      <c r="AL247" s="165" t="s">
        <v>786</v>
      </c>
      <c r="AM247" s="109" t="s">
        <v>786</v>
      </c>
      <c r="AN247" s="109" t="s">
        <v>48</v>
      </c>
      <c r="AO247" s="109" t="s">
        <v>48</v>
      </c>
      <c r="AP247" s="109" t="s">
        <v>48</v>
      </c>
      <c r="AQ247" s="109" t="s">
        <v>48</v>
      </c>
      <c r="AR247" s="109" t="s">
        <v>48</v>
      </c>
      <c r="AS247" s="166" t="s">
        <v>48</v>
      </c>
      <c r="AT247" s="165" t="s">
        <v>48</v>
      </c>
      <c r="AU247" s="109" t="s">
        <v>48</v>
      </c>
      <c r="AV247" s="109" t="s">
        <v>48</v>
      </c>
      <c r="AW247" s="109" t="s">
        <v>48</v>
      </c>
      <c r="AX247" s="109" t="s">
        <v>48</v>
      </c>
      <c r="AY247" s="109" t="s">
        <v>48</v>
      </c>
      <c r="AZ247" s="166" t="s">
        <v>48</v>
      </c>
      <c r="BA247" s="162" t="s">
        <v>1841</v>
      </c>
      <c r="BB247" s="109" t="s">
        <v>82</v>
      </c>
      <c r="BC247" s="109" t="s">
        <v>1836</v>
      </c>
    </row>
    <row r="248" spans="1:55" ht="75" hidden="1" customHeight="1">
      <c r="A248" s="109" t="s">
        <v>1584</v>
      </c>
      <c r="B248" s="109" t="s">
        <v>2016</v>
      </c>
      <c r="C248" s="118" t="s">
        <v>1596</v>
      </c>
      <c r="D248" s="109" t="s">
        <v>871</v>
      </c>
      <c r="E248" s="161">
        <v>15000</v>
      </c>
      <c r="F248" s="165" t="s">
        <v>1834</v>
      </c>
      <c r="G248" s="109" t="s">
        <v>1834</v>
      </c>
      <c r="H248" s="109" t="s">
        <v>1964</v>
      </c>
      <c r="I248" s="109" t="s">
        <v>2039</v>
      </c>
      <c r="J248" s="109" t="s">
        <v>1708</v>
      </c>
      <c r="K248" s="109" t="s">
        <v>1708</v>
      </c>
      <c r="L248" s="109" t="s">
        <v>2000</v>
      </c>
      <c r="M248" s="166" t="s">
        <v>1687</v>
      </c>
      <c r="N248" s="108" t="s">
        <v>48</v>
      </c>
      <c r="O248" s="109" t="s">
        <v>48</v>
      </c>
      <c r="P248" s="162" t="s">
        <v>48</v>
      </c>
      <c r="Q248" s="109" t="s">
        <v>48</v>
      </c>
      <c r="R248" s="109" t="s">
        <v>48</v>
      </c>
      <c r="S248" s="109" t="s">
        <v>48</v>
      </c>
      <c r="T248" s="109" t="s">
        <v>48</v>
      </c>
      <c r="U248" s="109" t="s">
        <v>48</v>
      </c>
      <c r="V248" s="166" t="s">
        <v>48</v>
      </c>
      <c r="W248" s="165" t="s">
        <v>871</v>
      </c>
      <c r="X248" s="109" t="s">
        <v>871</v>
      </c>
      <c r="Y248" s="109" t="s">
        <v>48</v>
      </c>
      <c r="Z248" s="109" t="s">
        <v>48</v>
      </c>
      <c r="AA248" s="109" t="s">
        <v>48</v>
      </c>
      <c r="AB248" s="109" t="s">
        <v>48</v>
      </c>
      <c r="AC248" s="109" t="s">
        <v>48</v>
      </c>
      <c r="AD248" s="166" t="s">
        <v>48</v>
      </c>
      <c r="AE248" s="174" t="s">
        <v>48</v>
      </c>
      <c r="AF248" s="117" t="s">
        <v>48</v>
      </c>
      <c r="AG248" s="117" t="s">
        <v>48</v>
      </c>
      <c r="AH248" s="109" t="s">
        <v>48</v>
      </c>
      <c r="AI248" s="117" t="s">
        <v>48</v>
      </c>
      <c r="AJ248" s="117" t="s">
        <v>48</v>
      </c>
      <c r="AK248" s="182" t="s">
        <v>48</v>
      </c>
      <c r="AL248" s="165" t="s">
        <v>871</v>
      </c>
      <c r="AM248" s="109" t="s">
        <v>871</v>
      </c>
      <c r="AN248" s="109" t="s">
        <v>48</v>
      </c>
      <c r="AO248" s="109" t="s">
        <v>48</v>
      </c>
      <c r="AP248" s="109" t="s">
        <v>48</v>
      </c>
      <c r="AQ248" s="109" t="s">
        <v>48</v>
      </c>
      <c r="AR248" s="109" t="s">
        <v>48</v>
      </c>
      <c r="AS248" s="166" t="s">
        <v>48</v>
      </c>
      <c r="AT248" s="165" t="s">
        <v>48</v>
      </c>
      <c r="AU248" s="109" t="s">
        <v>48</v>
      </c>
      <c r="AV248" s="109" t="s">
        <v>48</v>
      </c>
      <c r="AW248" s="109" t="s">
        <v>48</v>
      </c>
      <c r="AX248" s="109" t="s">
        <v>48</v>
      </c>
      <c r="AY248" s="109" t="s">
        <v>48</v>
      </c>
      <c r="AZ248" s="166" t="s">
        <v>48</v>
      </c>
      <c r="BA248" s="162" t="s">
        <v>1841</v>
      </c>
      <c r="BB248" s="109" t="s">
        <v>82</v>
      </c>
      <c r="BC248" s="109" t="s">
        <v>1836</v>
      </c>
    </row>
    <row r="249" spans="1:55" ht="14.4" hidden="1">
      <c r="A249" s="109" t="s">
        <v>1583</v>
      </c>
      <c r="B249" s="109" t="s">
        <v>2016</v>
      </c>
      <c r="C249" s="118" t="s">
        <v>1596</v>
      </c>
      <c r="D249" s="109" t="s">
        <v>871</v>
      </c>
      <c r="E249" s="161">
        <v>15000</v>
      </c>
      <c r="F249" s="165" t="s">
        <v>1834</v>
      </c>
      <c r="G249" s="109" t="s">
        <v>1834</v>
      </c>
      <c r="H249" s="109" t="s">
        <v>1964</v>
      </c>
      <c r="I249" s="109" t="s">
        <v>2039</v>
      </c>
      <c r="J249" s="109" t="s">
        <v>1708</v>
      </c>
      <c r="K249" s="109" t="s">
        <v>1708</v>
      </c>
      <c r="L249" s="109" t="s">
        <v>2000</v>
      </c>
      <c r="M249" s="166" t="s">
        <v>1687</v>
      </c>
      <c r="N249" s="108" t="s">
        <v>48</v>
      </c>
      <c r="O249" s="109" t="s">
        <v>48</v>
      </c>
      <c r="P249" s="162" t="s">
        <v>48</v>
      </c>
      <c r="Q249" s="109" t="s">
        <v>48</v>
      </c>
      <c r="R249" s="109" t="s">
        <v>48</v>
      </c>
      <c r="S249" s="109" t="s">
        <v>48</v>
      </c>
      <c r="T249" s="109" t="s">
        <v>48</v>
      </c>
      <c r="U249" s="109" t="s">
        <v>48</v>
      </c>
      <c r="V249" s="166" t="s">
        <v>48</v>
      </c>
      <c r="W249" s="165" t="s">
        <v>871</v>
      </c>
      <c r="X249" s="109" t="s">
        <v>871</v>
      </c>
      <c r="Y249" s="109" t="s">
        <v>48</v>
      </c>
      <c r="Z249" s="109" t="s">
        <v>48</v>
      </c>
      <c r="AA249" s="109" t="s">
        <v>48</v>
      </c>
      <c r="AB249" s="109" t="s">
        <v>48</v>
      </c>
      <c r="AC249" s="109" t="s">
        <v>48</v>
      </c>
      <c r="AD249" s="166" t="s">
        <v>48</v>
      </c>
      <c r="AE249" s="174" t="s">
        <v>48</v>
      </c>
      <c r="AF249" s="117" t="s">
        <v>48</v>
      </c>
      <c r="AG249" s="117" t="s">
        <v>48</v>
      </c>
      <c r="AH249" s="109" t="s">
        <v>48</v>
      </c>
      <c r="AI249" s="117" t="s">
        <v>48</v>
      </c>
      <c r="AJ249" s="117" t="s">
        <v>48</v>
      </c>
      <c r="AK249" s="182" t="s">
        <v>48</v>
      </c>
      <c r="AL249" s="165" t="s">
        <v>871</v>
      </c>
      <c r="AM249" s="109" t="s">
        <v>871</v>
      </c>
      <c r="AN249" s="109" t="s">
        <v>48</v>
      </c>
      <c r="AO249" s="109" t="s">
        <v>48</v>
      </c>
      <c r="AP249" s="109" t="s">
        <v>48</v>
      </c>
      <c r="AQ249" s="109" t="s">
        <v>48</v>
      </c>
      <c r="AR249" s="109" t="s">
        <v>48</v>
      </c>
      <c r="AS249" s="166" t="s">
        <v>48</v>
      </c>
      <c r="AT249" s="165" t="s">
        <v>48</v>
      </c>
      <c r="AU249" s="109" t="s">
        <v>48</v>
      </c>
      <c r="AV249" s="109" t="s">
        <v>48</v>
      </c>
      <c r="AW249" s="109" t="s">
        <v>48</v>
      </c>
      <c r="AX249" s="109" t="s">
        <v>48</v>
      </c>
      <c r="AY249" s="109" t="s">
        <v>48</v>
      </c>
      <c r="AZ249" s="166" t="s">
        <v>48</v>
      </c>
      <c r="BA249" s="162" t="s">
        <v>1841</v>
      </c>
      <c r="BB249" s="109" t="s">
        <v>82</v>
      </c>
      <c r="BC249" s="109" t="s">
        <v>1836</v>
      </c>
    </row>
    <row r="250" spans="1:55" ht="75" hidden="1" customHeight="1">
      <c r="A250" s="109" t="s">
        <v>1584</v>
      </c>
      <c r="B250" s="109" t="s">
        <v>2016</v>
      </c>
      <c r="C250" s="118" t="s">
        <v>1596</v>
      </c>
      <c r="D250" s="109" t="s">
        <v>1117</v>
      </c>
      <c r="E250" s="161">
        <v>15000</v>
      </c>
      <c r="F250" s="165" t="s">
        <v>1834</v>
      </c>
      <c r="G250" s="109" t="s">
        <v>1834</v>
      </c>
      <c r="H250" s="109" t="s">
        <v>1964</v>
      </c>
      <c r="I250" s="109" t="s">
        <v>2039</v>
      </c>
      <c r="J250" s="109" t="s">
        <v>1708</v>
      </c>
      <c r="K250" s="109" t="s">
        <v>1708</v>
      </c>
      <c r="L250" s="109" t="s">
        <v>2000</v>
      </c>
      <c r="M250" s="166" t="s">
        <v>1687</v>
      </c>
      <c r="N250" s="108" t="s">
        <v>48</v>
      </c>
      <c r="O250" s="109" t="s">
        <v>48</v>
      </c>
      <c r="P250" s="162" t="s">
        <v>48</v>
      </c>
      <c r="Q250" s="109" t="s">
        <v>48</v>
      </c>
      <c r="R250" s="109" t="s">
        <v>48</v>
      </c>
      <c r="S250" s="109" t="s">
        <v>48</v>
      </c>
      <c r="T250" s="109" t="s">
        <v>48</v>
      </c>
      <c r="U250" s="109" t="s">
        <v>48</v>
      </c>
      <c r="V250" s="166" t="s">
        <v>48</v>
      </c>
      <c r="W250" s="165" t="s">
        <v>1117</v>
      </c>
      <c r="X250" s="109" t="s">
        <v>1117</v>
      </c>
      <c r="Y250" s="109" t="s">
        <v>48</v>
      </c>
      <c r="Z250" s="109" t="s">
        <v>48</v>
      </c>
      <c r="AA250" s="109" t="s">
        <v>48</v>
      </c>
      <c r="AB250" s="109" t="s">
        <v>48</v>
      </c>
      <c r="AC250" s="109" t="s">
        <v>48</v>
      </c>
      <c r="AD250" s="166" t="s">
        <v>48</v>
      </c>
      <c r="AE250" s="174" t="s">
        <v>48</v>
      </c>
      <c r="AF250" s="117" t="s">
        <v>48</v>
      </c>
      <c r="AG250" s="117" t="s">
        <v>48</v>
      </c>
      <c r="AH250" s="109" t="s">
        <v>48</v>
      </c>
      <c r="AI250" s="117" t="s">
        <v>48</v>
      </c>
      <c r="AJ250" s="117" t="s">
        <v>48</v>
      </c>
      <c r="AK250" s="182" t="s">
        <v>48</v>
      </c>
      <c r="AL250" s="165" t="s">
        <v>1117</v>
      </c>
      <c r="AM250" s="109" t="s">
        <v>1117</v>
      </c>
      <c r="AN250" s="109" t="s">
        <v>48</v>
      </c>
      <c r="AO250" s="109" t="s">
        <v>48</v>
      </c>
      <c r="AP250" s="109" t="s">
        <v>48</v>
      </c>
      <c r="AQ250" s="109" t="s">
        <v>48</v>
      </c>
      <c r="AR250" s="109" t="s">
        <v>48</v>
      </c>
      <c r="AS250" s="166" t="s">
        <v>48</v>
      </c>
      <c r="AT250" s="165" t="s">
        <v>48</v>
      </c>
      <c r="AU250" s="109" t="s">
        <v>48</v>
      </c>
      <c r="AV250" s="109" t="s">
        <v>48</v>
      </c>
      <c r="AW250" s="109" t="s">
        <v>48</v>
      </c>
      <c r="AX250" s="109" t="s">
        <v>48</v>
      </c>
      <c r="AY250" s="109" t="s">
        <v>48</v>
      </c>
      <c r="AZ250" s="166" t="s">
        <v>48</v>
      </c>
      <c r="BA250" s="162" t="s">
        <v>1841</v>
      </c>
      <c r="BB250" s="109" t="s">
        <v>82</v>
      </c>
      <c r="BC250" s="109" t="s">
        <v>1836</v>
      </c>
    </row>
    <row r="251" spans="1:55" ht="75" hidden="1" customHeight="1">
      <c r="A251" s="109" t="s">
        <v>1583</v>
      </c>
      <c r="B251" s="109" t="s">
        <v>2016</v>
      </c>
      <c r="C251" s="118" t="s">
        <v>1596</v>
      </c>
      <c r="D251" s="109" t="s">
        <v>1117</v>
      </c>
      <c r="E251" s="161">
        <v>15000</v>
      </c>
      <c r="F251" s="165" t="s">
        <v>1834</v>
      </c>
      <c r="G251" s="109" t="s">
        <v>1834</v>
      </c>
      <c r="H251" s="109" t="s">
        <v>1964</v>
      </c>
      <c r="I251" s="109" t="s">
        <v>2039</v>
      </c>
      <c r="J251" s="109" t="s">
        <v>1708</v>
      </c>
      <c r="K251" s="109" t="s">
        <v>1708</v>
      </c>
      <c r="L251" s="109" t="s">
        <v>2000</v>
      </c>
      <c r="M251" s="166" t="s">
        <v>1687</v>
      </c>
      <c r="N251" s="108" t="s">
        <v>48</v>
      </c>
      <c r="O251" s="109" t="s">
        <v>48</v>
      </c>
      <c r="P251" s="162" t="s">
        <v>48</v>
      </c>
      <c r="Q251" s="109" t="s">
        <v>48</v>
      </c>
      <c r="R251" s="109" t="s">
        <v>48</v>
      </c>
      <c r="S251" s="109" t="s">
        <v>48</v>
      </c>
      <c r="T251" s="109" t="s">
        <v>48</v>
      </c>
      <c r="U251" s="109" t="s">
        <v>48</v>
      </c>
      <c r="V251" s="166" t="s">
        <v>48</v>
      </c>
      <c r="W251" s="165" t="s">
        <v>1117</v>
      </c>
      <c r="X251" s="109" t="s">
        <v>1117</v>
      </c>
      <c r="Y251" s="109" t="s">
        <v>48</v>
      </c>
      <c r="Z251" s="109" t="s">
        <v>48</v>
      </c>
      <c r="AA251" s="109" t="s">
        <v>48</v>
      </c>
      <c r="AB251" s="109" t="s">
        <v>48</v>
      </c>
      <c r="AC251" s="109" t="s">
        <v>48</v>
      </c>
      <c r="AD251" s="166" t="s">
        <v>48</v>
      </c>
      <c r="AE251" s="174" t="s">
        <v>48</v>
      </c>
      <c r="AF251" s="117" t="s">
        <v>48</v>
      </c>
      <c r="AG251" s="117" t="s">
        <v>48</v>
      </c>
      <c r="AH251" s="109" t="s">
        <v>48</v>
      </c>
      <c r="AI251" s="117" t="s">
        <v>48</v>
      </c>
      <c r="AJ251" s="117" t="s">
        <v>48</v>
      </c>
      <c r="AK251" s="182" t="s">
        <v>48</v>
      </c>
      <c r="AL251" s="165" t="s">
        <v>1117</v>
      </c>
      <c r="AM251" s="109" t="s">
        <v>1117</v>
      </c>
      <c r="AN251" s="109" t="s">
        <v>48</v>
      </c>
      <c r="AO251" s="109" t="s">
        <v>48</v>
      </c>
      <c r="AP251" s="109" t="s">
        <v>48</v>
      </c>
      <c r="AQ251" s="109" t="s">
        <v>48</v>
      </c>
      <c r="AR251" s="109" t="s">
        <v>48</v>
      </c>
      <c r="AS251" s="166" t="s">
        <v>48</v>
      </c>
      <c r="AT251" s="165" t="s">
        <v>48</v>
      </c>
      <c r="AU251" s="109" t="s">
        <v>48</v>
      </c>
      <c r="AV251" s="109" t="s">
        <v>48</v>
      </c>
      <c r="AW251" s="109" t="s">
        <v>48</v>
      </c>
      <c r="AX251" s="109" t="s">
        <v>48</v>
      </c>
      <c r="AY251" s="109" t="s">
        <v>48</v>
      </c>
      <c r="AZ251" s="166" t="s">
        <v>48</v>
      </c>
      <c r="BA251" s="162" t="s">
        <v>1841</v>
      </c>
      <c r="BB251" s="109" t="s">
        <v>82</v>
      </c>
      <c r="BC251" s="109" t="s">
        <v>1836</v>
      </c>
    </row>
    <row r="252" spans="1:55" ht="41.4">
      <c r="A252" s="109" t="s">
        <v>2793</v>
      </c>
      <c r="B252" s="117" t="s">
        <v>2803</v>
      </c>
      <c r="C252" s="109" t="s">
        <v>934</v>
      </c>
      <c r="D252" s="109" t="s">
        <v>2559</v>
      </c>
      <c r="E252" s="161">
        <v>30000</v>
      </c>
      <c r="F252" s="165" t="s">
        <v>1803</v>
      </c>
      <c r="G252" s="109" t="s">
        <v>1803</v>
      </c>
      <c r="H252" s="109" t="s">
        <v>1943</v>
      </c>
      <c r="I252" s="109" t="s">
        <v>1908</v>
      </c>
      <c r="J252" s="109" t="s">
        <v>1708</v>
      </c>
      <c r="K252" s="109" t="s">
        <v>1708</v>
      </c>
      <c r="L252" s="109" t="s">
        <v>1993</v>
      </c>
      <c r="M252" s="166" t="s">
        <v>935</v>
      </c>
      <c r="N252" s="108" t="s">
        <v>48</v>
      </c>
      <c r="O252" s="109" t="s">
        <v>48</v>
      </c>
      <c r="P252" s="162" t="s">
        <v>48</v>
      </c>
      <c r="Q252" s="109" t="s">
        <v>48</v>
      </c>
      <c r="R252" s="109" t="s">
        <v>48</v>
      </c>
      <c r="S252" s="109" t="s">
        <v>48</v>
      </c>
      <c r="T252" s="109" t="s">
        <v>48</v>
      </c>
      <c r="U252" s="109" t="s">
        <v>48</v>
      </c>
      <c r="V252" s="166" t="s">
        <v>48</v>
      </c>
      <c r="W252" s="165" t="s">
        <v>930</v>
      </c>
      <c r="X252" s="109" t="s">
        <v>930</v>
      </c>
      <c r="Y252" s="109" t="s">
        <v>48</v>
      </c>
      <c r="Z252" s="109" t="s">
        <v>48</v>
      </c>
      <c r="AA252" s="109" t="s">
        <v>48</v>
      </c>
      <c r="AB252" s="109" t="s">
        <v>48</v>
      </c>
      <c r="AC252" s="109" t="s">
        <v>48</v>
      </c>
      <c r="AD252" s="166" t="s">
        <v>48</v>
      </c>
      <c r="AE252" s="174" t="s">
        <v>1388</v>
      </c>
      <c r="AF252" s="194" t="s">
        <v>1387</v>
      </c>
      <c r="AG252" s="117" t="s">
        <v>1389</v>
      </c>
      <c r="AH252" s="109" t="s">
        <v>1908</v>
      </c>
      <c r="AI252" s="117" t="s">
        <v>1390</v>
      </c>
      <c r="AJ252" s="117" t="s">
        <v>1391</v>
      </c>
      <c r="AK252" s="182" t="s">
        <v>1392</v>
      </c>
      <c r="AL252" s="165" t="s">
        <v>930</v>
      </c>
      <c r="AM252" s="109" t="s">
        <v>930</v>
      </c>
      <c r="AN252" s="109" t="s">
        <v>48</v>
      </c>
      <c r="AO252" s="109" t="s">
        <v>48</v>
      </c>
      <c r="AP252" s="109" t="s">
        <v>48</v>
      </c>
      <c r="AQ252" s="109" t="s">
        <v>48</v>
      </c>
      <c r="AR252" s="109" t="s">
        <v>48</v>
      </c>
      <c r="AS252" s="166" t="s">
        <v>48</v>
      </c>
      <c r="AT252" s="165" t="s">
        <v>48</v>
      </c>
      <c r="AU252" s="109" t="s">
        <v>48</v>
      </c>
      <c r="AV252" s="109" t="s">
        <v>48</v>
      </c>
      <c r="AW252" s="109" t="s">
        <v>48</v>
      </c>
      <c r="AX252" s="109" t="s">
        <v>48</v>
      </c>
      <c r="AY252" s="109" t="s">
        <v>48</v>
      </c>
      <c r="AZ252" s="166" t="s">
        <v>48</v>
      </c>
      <c r="BA252" s="162" t="s">
        <v>1806</v>
      </c>
      <c r="BB252" s="109" t="s">
        <v>49</v>
      </c>
      <c r="BC252" s="109"/>
    </row>
    <row r="253" spans="1:55" ht="75" customHeight="1">
      <c r="A253" s="109" t="s">
        <v>2485</v>
      </c>
      <c r="B253" s="117" t="s">
        <v>2803</v>
      </c>
      <c r="C253" s="117" t="s">
        <v>240</v>
      </c>
      <c r="D253" s="109" t="s">
        <v>2525</v>
      </c>
      <c r="E253" s="161">
        <v>30000</v>
      </c>
      <c r="F253" s="165" t="s">
        <v>1803</v>
      </c>
      <c r="G253" s="109" t="s">
        <v>1803</v>
      </c>
      <c r="H253" s="109" t="s">
        <v>1943</v>
      </c>
      <c r="I253" s="109" t="s">
        <v>1908</v>
      </c>
      <c r="J253" s="109" t="s">
        <v>1708</v>
      </c>
      <c r="K253" s="109" t="s">
        <v>1708</v>
      </c>
      <c r="L253" s="109" t="s">
        <v>1993</v>
      </c>
      <c r="M253" s="166" t="s">
        <v>935</v>
      </c>
      <c r="N253" s="108" t="s">
        <v>48</v>
      </c>
      <c r="O253" s="109" t="s">
        <v>48</v>
      </c>
      <c r="P253" s="162" t="s">
        <v>48</v>
      </c>
      <c r="Q253" s="109" t="s">
        <v>48</v>
      </c>
      <c r="R253" s="109" t="s">
        <v>48</v>
      </c>
      <c r="S253" s="109" t="s">
        <v>48</v>
      </c>
      <c r="T253" s="109" t="s">
        <v>48</v>
      </c>
      <c r="U253" s="109" t="s">
        <v>48</v>
      </c>
      <c r="V253" s="166" t="s">
        <v>48</v>
      </c>
      <c r="W253" s="165" t="s">
        <v>769</v>
      </c>
      <c r="X253" s="109" t="s">
        <v>769</v>
      </c>
      <c r="Y253" s="109" t="s">
        <v>649</v>
      </c>
      <c r="Z253" s="109" t="s">
        <v>1908</v>
      </c>
      <c r="AA253" s="109" t="s">
        <v>629</v>
      </c>
      <c r="AB253" s="109" t="s">
        <v>629</v>
      </c>
      <c r="AC253" s="109" t="s">
        <v>650</v>
      </c>
      <c r="AD253" s="166" t="s">
        <v>657</v>
      </c>
      <c r="AE253" s="174" t="s">
        <v>48</v>
      </c>
      <c r="AF253" s="117" t="s">
        <v>48</v>
      </c>
      <c r="AG253" s="117" t="s">
        <v>48</v>
      </c>
      <c r="AH253" s="109" t="s">
        <v>48</v>
      </c>
      <c r="AI253" s="117" t="s">
        <v>48</v>
      </c>
      <c r="AJ253" s="117" t="s">
        <v>48</v>
      </c>
      <c r="AK253" s="166" t="s">
        <v>48</v>
      </c>
      <c r="AL253" s="165" t="s">
        <v>768</v>
      </c>
      <c r="AM253" s="109" t="s">
        <v>768</v>
      </c>
      <c r="AN253" s="109" t="s">
        <v>48</v>
      </c>
      <c r="AO253" s="109" t="s">
        <v>48</v>
      </c>
      <c r="AP253" s="109" t="s">
        <v>48</v>
      </c>
      <c r="AQ253" s="109" t="s">
        <v>48</v>
      </c>
      <c r="AR253" s="109" t="s">
        <v>48</v>
      </c>
      <c r="AS253" s="166" t="s">
        <v>48</v>
      </c>
      <c r="AT253" s="174" t="s">
        <v>48</v>
      </c>
      <c r="AU253" s="117" t="s">
        <v>48</v>
      </c>
      <c r="AV253" s="117" t="s">
        <v>48</v>
      </c>
      <c r="AW253" s="109" t="s">
        <v>48</v>
      </c>
      <c r="AX253" s="117" t="s">
        <v>48</v>
      </c>
      <c r="AY253" s="117" t="s">
        <v>48</v>
      </c>
      <c r="AZ253" s="166" t="s">
        <v>48</v>
      </c>
      <c r="BA253" s="162" t="s">
        <v>1806</v>
      </c>
      <c r="BB253" s="109" t="s">
        <v>49</v>
      </c>
      <c r="BC253" s="79"/>
    </row>
    <row r="254" spans="1:55" ht="75" customHeight="1">
      <c r="A254" s="109" t="s">
        <v>2485</v>
      </c>
      <c r="B254" s="117" t="s">
        <v>2803</v>
      </c>
      <c r="C254" s="117" t="s">
        <v>240</v>
      </c>
      <c r="D254" s="109" t="s">
        <v>2558</v>
      </c>
      <c r="E254" s="161">
        <v>30000</v>
      </c>
      <c r="F254" s="165" t="s">
        <v>1803</v>
      </c>
      <c r="G254" s="109" t="s">
        <v>1803</v>
      </c>
      <c r="H254" s="109" t="s">
        <v>1943</v>
      </c>
      <c r="I254" s="109" t="s">
        <v>1908</v>
      </c>
      <c r="J254" s="109" t="s">
        <v>1708</v>
      </c>
      <c r="K254" s="109" t="s">
        <v>1708</v>
      </c>
      <c r="L254" s="109" t="s">
        <v>1993</v>
      </c>
      <c r="M254" s="166" t="s">
        <v>935</v>
      </c>
      <c r="N254" s="108" t="s">
        <v>48</v>
      </c>
      <c r="O254" s="109" t="s">
        <v>48</v>
      </c>
      <c r="P254" s="162" t="s">
        <v>48</v>
      </c>
      <c r="Q254" s="109" t="s">
        <v>48</v>
      </c>
      <c r="R254" s="109" t="s">
        <v>48</v>
      </c>
      <c r="S254" s="109" t="s">
        <v>48</v>
      </c>
      <c r="T254" s="109" t="s">
        <v>48</v>
      </c>
      <c r="U254" s="109" t="s">
        <v>48</v>
      </c>
      <c r="V254" s="166" t="s">
        <v>48</v>
      </c>
      <c r="W254" s="165" t="s">
        <v>930</v>
      </c>
      <c r="X254" s="109" t="s">
        <v>769</v>
      </c>
      <c r="Y254" s="109" t="s">
        <v>961</v>
      </c>
      <c r="Z254" s="109" t="s">
        <v>1908</v>
      </c>
      <c r="AA254" s="109" t="s">
        <v>962</v>
      </c>
      <c r="AB254" s="109" t="s">
        <v>48</v>
      </c>
      <c r="AC254" s="109" t="s">
        <v>963</v>
      </c>
      <c r="AD254" s="166" t="s">
        <v>935</v>
      </c>
      <c r="AE254" s="174" t="s">
        <v>48</v>
      </c>
      <c r="AF254" s="117" t="s">
        <v>48</v>
      </c>
      <c r="AG254" s="117" t="s">
        <v>48</v>
      </c>
      <c r="AH254" s="109" t="s">
        <v>48</v>
      </c>
      <c r="AI254" s="117" t="s">
        <v>48</v>
      </c>
      <c r="AJ254" s="117" t="s">
        <v>48</v>
      </c>
      <c r="AK254" s="166" t="s">
        <v>48</v>
      </c>
      <c r="AL254" s="165" t="s">
        <v>769</v>
      </c>
      <c r="AM254" s="109" t="s">
        <v>769</v>
      </c>
      <c r="AN254" s="109" t="s">
        <v>48</v>
      </c>
      <c r="AO254" s="109" t="s">
        <v>48</v>
      </c>
      <c r="AP254" s="109" t="s">
        <v>48</v>
      </c>
      <c r="AQ254" s="109" t="s">
        <v>48</v>
      </c>
      <c r="AR254" s="109" t="s">
        <v>48</v>
      </c>
      <c r="AS254" s="166" t="s">
        <v>48</v>
      </c>
      <c r="AT254" s="174" t="s">
        <v>80</v>
      </c>
      <c r="AU254" s="117" t="s">
        <v>770</v>
      </c>
      <c r="AV254" s="117" t="s">
        <v>48</v>
      </c>
      <c r="AW254" s="109" t="s">
        <v>48</v>
      </c>
      <c r="AX254" s="117" t="s">
        <v>48</v>
      </c>
      <c r="AY254" s="117" t="s">
        <v>48</v>
      </c>
      <c r="AZ254" s="182" t="s">
        <v>48</v>
      </c>
      <c r="BA254" s="162" t="s">
        <v>1806</v>
      </c>
      <c r="BB254" s="186" t="s">
        <v>49</v>
      </c>
      <c r="BC254" s="83" t="s">
        <v>722</v>
      </c>
    </row>
    <row r="255" spans="1:55" ht="41.4">
      <c r="A255" s="109" t="s">
        <v>2485</v>
      </c>
      <c r="B255" s="117" t="s">
        <v>2803</v>
      </c>
      <c r="C255" s="117" t="s">
        <v>186</v>
      </c>
      <c r="D255" s="109" t="s">
        <v>2521</v>
      </c>
      <c r="E255" s="161">
        <v>30000</v>
      </c>
      <c r="F255" s="165" t="s">
        <v>767</v>
      </c>
      <c r="G255" s="109" t="s">
        <v>767</v>
      </c>
      <c r="H255" s="117" t="s">
        <v>48</v>
      </c>
      <c r="I255" s="109" t="s">
        <v>48</v>
      </c>
      <c r="J255" s="109" t="s">
        <v>48</v>
      </c>
      <c r="K255" s="109" t="s">
        <v>48</v>
      </c>
      <c r="L255" s="109" t="s">
        <v>48</v>
      </c>
      <c r="M255" s="166" t="s">
        <v>48</v>
      </c>
      <c r="N255" s="108" t="s">
        <v>48</v>
      </c>
      <c r="O255" s="109" t="s">
        <v>48</v>
      </c>
      <c r="P255" s="162" t="s">
        <v>48</v>
      </c>
      <c r="Q255" s="109" t="s">
        <v>48</v>
      </c>
      <c r="R255" s="109" t="s">
        <v>48</v>
      </c>
      <c r="S255" s="109" t="s">
        <v>48</v>
      </c>
      <c r="T255" s="109" t="s">
        <v>48</v>
      </c>
      <c r="U255" s="109" t="s">
        <v>48</v>
      </c>
      <c r="V255" s="166" t="s">
        <v>48</v>
      </c>
      <c r="W255" s="165" t="s">
        <v>767</v>
      </c>
      <c r="X255" s="109" t="s">
        <v>767</v>
      </c>
      <c r="Y255" s="117" t="s">
        <v>48</v>
      </c>
      <c r="Z255" s="117" t="s">
        <v>48</v>
      </c>
      <c r="AA255" s="109" t="s">
        <v>48</v>
      </c>
      <c r="AB255" s="109" t="s">
        <v>48</v>
      </c>
      <c r="AC255" s="109" t="s">
        <v>48</v>
      </c>
      <c r="AD255" s="166" t="s">
        <v>48</v>
      </c>
      <c r="AE255" s="174" t="s">
        <v>877</v>
      </c>
      <c r="AF255" s="115" t="s">
        <v>878</v>
      </c>
      <c r="AG255" s="117" t="s">
        <v>879</v>
      </c>
      <c r="AH255" s="109" t="s">
        <v>1908</v>
      </c>
      <c r="AI255" s="117" t="s">
        <v>880</v>
      </c>
      <c r="AJ255" s="109" t="s">
        <v>881</v>
      </c>
      <c r="AK255" s="166" t="s">
        <v>882</v>
      </c>
      <c r="AL255" s="165" t="s">
        <v>767</v>
      </c>
      <c r="AM255" s="109" t="s">
        <v>767</v>
      </c>
      <c r="AN255" s="117" t="s">
        <v>48</v>
      </c>
      <c r="AO255" s="117" t="s">
        <v>48</v>
      </c>
      <c r="AP255" s="109" t="s">
        <v>48</v>
      </c>
      <c r="AQ255" s="109" t="s">
        <v>48</v>
      </c>
      <c r="AR255" s="109" t="s">
        <v>48</v>
      </c>
      <c r="AS255" s="166" t="s">
        <v>48</v>
      </c>
      <c r="AT255" s="174" t="s">
        <v>48</v>
      </c>
      <c r="AU255" s="117" t="s">
        <v>48</v>
      </c>
      <c r="AV255" s="117" t="s">
        <v>48</v>
      </c>
      <c r="AW255" s="109" t="s">
        <v>48</v>
      </c>
      <c r="AX255" s="117" t="s">
        <v>48</v>
      </c>
      <c r="AY255" s="117" t="s">
        <v>48</v>
      </c>
      <c r="AZ255" s="166" t="s">
        <v>48</v>
      </c>
      <c r="BA255" s="187" t="s">
        <v>2853</v>
      </c>
      <c r="BB255" s="109" t="s">
        <v>49</v>
      </c>
      <c r="BC255" s="96" t="s">
        <v>883</v>
      </c>
    </row>
    <row r="256" spans="1:55" ht="75" hidden="1" customHeight="1">
      <c r="A256" s="109" t="s">
        <v>18</v>
      </c>
      <c r="B256" s="109" t="s">
        <v>18</v>
      </c>
      <c r="C256" s="109" t="s">
        <v>103</v>
      </c>
      <c r="D256" s="109" t="s">
        <v>104</v>
      </c>
      <c r="E256" s="161">
        <v>700</v>
      </c>
      <c r="F256" s="165" t="s">
        <v>104</v>
      </c>
      <c r="G256" s="109" t="str">
        <f>F256</f>
        <v>OPENMR4.292a_M4_0844.a</v>
      </c>
      <c r="H256" s="109" t="s">
        <v>2347</v>
      </c>
      <c r="I256" s="109" t="s">
        <v>1908</v>
      </c>
      <c r="J256" s="109" t="s">
        <v>1910</v>
      </c>
      <c r="K256" s="109" t="s">
        <v>1910</v>
      </c>
      <c r="L256" s="109" t="s">
        <v>2348</v>
      </c>
      <c r="M256" s="166" t="s">
        <v>795</v>
      </c>
      <c r="N256" s="108" t="s">
        <v>48</v>
      </c>
      <c r="O256" s="109" t="s">
        <v>48</v>
      </c>
      <c r="P256" s="162" t="s">
        <v>48</v>
      </c>
      <c r="Q256" s="109" t="s">
        <v>48</v>
      </c>
      <c r="R256" s="109" t="s">
        <v>48</v>
      </c>
      <c r="S256" s="109" t="s">
        <v>48</v>
      </c>
      <c r="T256" s="109" t="s">
        <v>48</v>
      </c>
      <c r="U256" s="109" t="s">
        <v>48</v>
      </c>
      <c r="V256" s="166" t="s">
        <v>48</v>
      </c>
      <c r="W256" s="165" t="s">
        <v>104</v>
      </c>
      <c r="X256" s="109" t="str">
        <f>W256</f>
        <v>OPENMR4.292a_M4_0844.a</v>
      </c>
      <c r="Y256" s="109" t="s">
        <v>48</v>
      </c>
      <c r="Z256" s="109" t="s">
        <v>48</v>
      </c>
      <c r="AA256" s="109" t="s">
        <v>48</v>
      </c>
      <c r="AB256" s="109" t="s">
        <v>48</v>
      </c>
      <c r="AC256" s="109" t="s">
        <v>48</v>
      </c>
      <c r="AD256" s="166" t="s">
        <v>48</v>
      </c>
      <c r="AE256" s="165" t="s">
        <v>95</v>
      </c>
      <c r="AF256" s="109" t="s">
        <v>565</v>
      </c>
      <c r="AG256" s="109" t="s">
        <v>420</v>
      </c>
      <c r="AH256" s="109" t="s">
        <v>1908</v>
      </c>
      <c r="AI256" s="109" t="s">
        <v>623</v>
      </c>
      <c r="AJ256" s="109">
        <v>5457490</v>
      </c>
      <c r="AK256" s="166" t="s">
        <v>566</v>
      </c>
      <c r="AL256" s="165" t="s">
        <v>104</v>
      </c>
      <c r="AM256" s="109" t="str">
        <f>AL256</f>
        <v>OPENMR4.292a_M4_0844.a</v>
      </c>
      <c r="AN256" s="109" t="s">
        <v>48</v>
      </c>
      <c r="AO256" s="109" t="s">
        <v>48</v>
      </c>
      <c r="AP256" s="109" t="s">
        <v>48</v>
      </c>
      <c r="AQ256" s="109" t="s">
        <v>48</v>
      </c>
      <c r="AR256" s="109" t="s">
        <v>48</v>
      </c>
      <c r="AS256" s="166" t="s">
        <v>48</v>
      </c>
      <c r="AT256" s="165" t="s">
        <v>48</v>
      </c>
      <c r="AU256" s="109" t="s">
        <v>48</v>
      </c>
      <c r="AV256" s="109" t="s">
        <v>48</v>
      </c>
      <c r="AW256" s="109" t="s">
        <v>48</v>
      </c>
      <c r="AX256" s="109" t="s">
        <v>48</v>
      </c>
      <c r="AY256" s="109" t="s">
        <v>48</v>
      </c>
      <c r="AZ256" s="166" t="s">
        <v>48</v>
      </c>
      <c r="BA256" s="162" t="s">
        <v>807</v>
      </c>
      <c r="BB256" s="109" t="s">
        <v>62</v>
      </c>
      <c r="BC256" s="79"/>
    </row>
    <row r="257" spans="1:55" ht="75" hidden="1" customHeight="1">
      <c r="A257" s="109" t="s">
        <v>16</v>
      </c>
      <c r="B257" s="109" t="s">
        <v>16</v>
      </c>
      <c r="C257" s="109" t="s">
        <v>99</v>
      </c>
      <c r="D257" s="109" t="s">
        <v>100</v>
      </c>
      <c r="E257" s="161"/>
      <c r="F257" s="165" t="s">
        <v>100</v>
      </c>
      <c r="G257" s="109" t="str">
        <f>F257</f>
        <v>MFO3.291a_M4_0837.a</v>
      </c>
      <c r="H257" s="109" t="s">
        <v>503</v>
      </c>
      <c r="I257" s="109" t="s">
        <v>1908</v>
      </c>
      <c r="J257" s="109" t="s">
        <v>582</v>
      </c>
      <c r="K257" s="109" t="s">
        <v>582</v>
      </c>
      <c r="L257" s="109">
        <v>5315510</v>
      </c>
      <c r="M257" s="166" t="s">
        <v>48</v>
      </c>
      <c r="N257" s="108" t="s">
        <v>48</v>
      </c>
      <c r="O257" s="109" t="s">
        <v>48</v>
      </c>
      <c r="P257" s="187" t="s">
        <v>48</v>
      </c>
      <c r="Q257" s="117" t="s">
        <v>48</v>
      </c>
      <c r="R257" s="117" t="s">
        <v>48</v>
      </c>
      <c r="S257" s="117" t="s">
        <v>48</v>
      </c>
      <c r="T257" s="117" t="s">
        <v>48</v>
      </c>
      <c r="U257" s="117" t="s">
        <v>48</v>
      </c>
      <c r="V257" s="182" t="s">
        <v>48</v>
      </c>
      <c r="W257" s="165" t="s">
        <v>100</v>
      </c>
      <c r="X257" s="109" t="str">
        <f>W257</f>
        <v>MFO3.291a_M4_0837.a</v>
      </c>
      <c r="Y257" s="109" t="s">
        <v>48</v>
      </c>
      <c r="Z257" s="109" t="s">
        <v>48</v>
      </c>
      <c r="AA257" s="109" t="s">
        <v>48</v>
      </c>
      <c r="AB257" s="109" t="s">
        <v>48</v>
      </c>
      <c r="AC257" s="109" t="s">
        <v>48</v>
      </c>
      <c r="AD257" s="166" t="s">
        <v>48</v>
      </c>
      <c r="AE257" s="165" t="s">
        <v>48</v>
      </c>
      <c r="AF257" s="109" t="s">
        <v>48</v>
      </c>
      <c r="AG257" s="109" t="s">
        <v>48</v>
      </c>
      <c r="AH257" s="109" t="s">
        <v>48</v>
      </c>
      <c r="AI257" s="109" t="s">
        <v>48</v>
      </c>
      <c r="AJ257" s="109" t="s">
        <v>48</v>
      </c>
      <c r="AK257" s="166" t="s">
        <v>48</v>
      </c>
      <c r="AL257" s="165" t="s">
        <v>100</v>
      </c>
      <c r="AM257" s="109" t="str">
        <f>AL257</f>
        <v>MFO3.291a_M4_0837.a</v>
      </c>
      <c r="AN257" s="109" t="s">
        <v>48</v>
      </c>
      <c r="AO257" s="109" t="s">
        <v>48</v>
      </c>
      <c r="AP257" s="109" t="s">
        <v>48</v>
      </c>
      <c r="AQ257" s="109" t="s">
        <v>48</v>
      </c>
      <c r="AR257" s="109" t="s">
        <v>48</v>
      </c>
      <c r="AS257" s="166" t="s">
        <v>48</v>
      </c>
      <c r="AT257" s="165" t="s">
        <v>48</v>
      </c>
      <c r="AU257" s="109" t="s">
        <v>48</v>
      </c>
      <c r="AV257" s="109" t="s">
        <v>48</v>
      </c>
      <c r="AW257" s="109" t="s">
        <v>48</v>
      </c>
      <c r="AX257" s="109" t="s">
        <v>48</v>
      </c>
      <c r="AY257" s="109" t="s">
        <v>48</v>
      </c>
      <c r="AZ257" s="166" t="s">
        <v>48</v>
      </c>
      <c r="BA257" s="162" t="s">
        <v>48</v>
      </c>
      <c r="BB257" s="109" t="s">
        <v>101</v>
      </c>
      <c r="BC257" s="79"/>
    </row>
    <row r="258" spans="1:55" ht="14.4" hidden="1">
      <c r="A258" s="109" t="s">
        <v>15</v>
      </c>
      <c r="B258" s="109" t="s">
        <v>15</v>
      </c>
      <c r="C258" s="109" t="s">
        <v>97</v>
      </c>
      <c r="D258" s="109" t="s">
        <v>98</v>
      </c>
      <c r="E258" s="161"/>
      <c r="F258" s="165" t="s">
        <v>98</v>
      </c>
      <c r="G258" s="109" t="str">
        <f>F258</f>
        <v>MFO2.29F_M4_0828.a</v>
      </c>
      <c r="H258" s="109" t="s">
        <v>502</v>
      </c>
      <c r="I258" s="109" t="s">
        <v>1908</v>
      </c>
      <c r="J258" s="109" t="s">
        <v>582</v>
      </c>
      <c r="K258" s="109" t="s">
        <v>582</v>
      </c>
      <c r="L258" s="109" t="s">
        <v>2351</v>
      </c>
      <c r="M258" s="166" t="s">
        <v>48</v>
      </c>
      <c r="N258" s="108" t="s">
        <v>48</v>
      </c>
      <c r="O258" s="109" t="s">
        <v>48</v>
      </c>
      <c r="P258" s="187" t="s">
        <v>48</v>
      </c>
      <c r="Q258" s="117" t="s">
        <v>48</v>
      </c>
      <c r="R258" s="117" t="s">
        <v>48</v>
      </c>
      <c r="S258" s="117" t="s">
        <v>48</v>
      </c>
      <c r="T258" s="117" t="s">
        <v>48</v>
      </c>
      <c r="U258" s="117" t="s">
        <v>48</v>
      </c>
      <c r="V258" s="166" t="s">
        <v>48</v>
      </c>
      <c r="W258" s="165" t="s">
        <v>98</v>
      </c>
      <c r="X258" s="109" t="str">
        <f>W258</f>
        <v>MFO2.29F_M4_0828.a</v>
      </c>
      <c r="Y258" s="109" t="s">
        <v>48</v>
      </c>
      <c r="Z258" s="109" t="s">
        <v>48</v>
      </c>
      <c r="AA258" s="109" t="s">
        <v>48</v>
      </c>
      <c r="AB258" s="109" t="s">
        <v>48</v>
      </c>
      <c r="AC258" s="109" t="s">
        <v>48</v>
      </c>
      <c r="AD258" s="166" t="s">
        <v>48</v>
      </c>
      <c r="AE258" s="165" t="s">
        <v>48</v>
      </c>
      <c r="AF258" s="109" t="s">
        <v>48</v>
      </c>
      <c r="AG258" s="109" t="s">
        <v>48</v>
      </c>
      <c r="AH258" s="109" t="s">
        <v>48</v>
      </c>
      <c r="AI258" s="109" t="s">
        <v>48</v>
      </c>
      <c r="AJ258" s="109" t="s">
        <v>48</v>
      </c>
      <c r="AK258" s="166" t="s">
        <v>48</v>
      </c>
      <c r="AL258" s="165" t="s">
        <v>98</v>
      </c>
      <c r="AM258" s="109" t="str">
        <f>AL258</f>
        <v>MFO2.29F_M4_0828.a</v>
      </c>
      <c r="AN258" s="109" t="s">
        <v>48</v>
      </c>
      <c r="AO258" s="109" t="s">
        <v>48</v>
      </c>
      <c r="AP258" s="109" t="s">
        <v>48</v>
      </c>
      <c r="AQ258" s="109" t="s">
        <v>48</v>
      </c>
      <c r="AR258" s="109" t="s">
        <v>48</v>
      </c>
      <c r="AS258" s="166" t="s">
        <v>48</v>
      </c>
      <c r="AT258" s="165" t="s">
        <v>48</v>
      </c>
      <c r="AU258" s="109" t="s">
        <v>48</v>
      </c>
      <c r="AV258" s="109" t="s">
        <v>48</v>
      </c>
      <c r="AW258" s="109" t="s">
        <v>48</v>
      </c>
      <c r="AX258" s="109" t="s">
        <v>48</v>
      </c>
      <c r="AY258" s="109" t="s">
        <v>48</v>
      </c>
      <c r="AZ258" s="166" t="s">
        <v>48</v>
      </c>
      <c r="BA258" s="162" t="s">
        <v>48</v>
      </c>
      <c r="BB258" s="109" t="s">
        <v>62</v>
      </c>
      <c r="BC258" s="79"/>
    </row>
    <row r="259" spans="1:55" ht="75" hidden="1" customHeight="1">
      <c r="A259" s="109" t="s">
        <v>660</v>
      </c>
      <c r="B259" s="109" t="s">
        <v>2013</v>
      </c>
      <c r="C259" s="109" t="s">
        <v>779</v>
      </c>
      <c r="D259" s="109" t="s">
        <v>778</v>
      </c>
      <c r="E259" s="161">
        <v>15000</v>
      </c>
      <c r="F259" s="165" t="s">
        <v>1729</v>
      </c>
      <c r="G259" s="109" t="s">
        <v>1729</v>
      </c>
      <c r="H259" s="109" t="s">
        <v>1932</v>
      </c>
      <c r="I259" s="109" t="s">
        <v>2090</v>
      </c>
      <c r="J259" s="109" t="s">
        <v>1708</v>
      </c>
      <c r="K259" s="109" t="s">
        <v>1708</v>
      </c>
      <c r="L259" s="109" t="s">
        <v>1986</v>
      </c>
      <c r="M259" s="166" t="s">
        <v>1687</v>
      </c>
      <c r="N259" s="108" t="s">
        <v>48</v>
      </c>
      <c r="O259" s="109" t="s">
        <v>48</v>
      </c>
      <c r="P259" s="162" t="s">
        <v>48</v>
      </c>
      <c r="Q259" s="109" t="s">
        <v>48</v>
      </c>
      <c r="R259" s="109" t="s">
        <v>48</v>
      </c>
      <c r="S259" s="109" t="s">
        <v>48</v>
      </c>
      <c r="T259" s="109" t="s">
        <v>48</v>
      </c>
      <c r="U259" s="109" t="s">
        <v>48</v>
      </c>
      <c r="V259" s="166" t="s">
        <v>48</v>
      </c>
      <c r="W259" s="165" t="s">
        <v>778</v>
      </c>
      <c r="X259" s="109" t="s">
        <v>778</v>
      </c>
      <c r="Y259" s="109" t="s">
        <v>48</v>
      </c>
      <c r="Z259" s="109" t="s">
        <v>48</v>
      </c>
      <c r="AA259" s="109" t="s">
        <v>48</v>
      </c>
      <c r="AB259" s="109" t="s">
        <v>48</v>
      </c>
      <c r="AC259" s="109" t="s">
        <v>48</v>
      </c>
      <c r="AD259" s="166" t="s">
        <v>48</v>
      </c>
      <c r="AE259" s="174" t="s">
        <v>65</v>
      </c>
      <c r="AF259" s="109" t="s">
        <v>48</v>
      </c>
      <c r="AG259" s="130" t="s">
        <v>48</v>
      </c>
      <c r="AH259" s="109" t="s">
        <v>48</v>
      </c>
      <c r="AI259" s="109" t="s">
        <v>48</v>
      </c>
      <c r="AJ259" s="109" t="s">
        <v>48</v>
      </c>
      <c r="AK259" s="166" t="s">
        <v>48</v>
      </c>
      <c r="AL259" s="165" t="s">
        <v>778</v>
      </c>
      <c r="AM259" s="109" t="s">
        <v>778</v>
      </c>
      <c r="AN259" s="109" t="s">
        <v>48</v>
      </c>
      <c r="AO259" s="109" t="s">
        <v>48</v>
      </c>
      <c r="AP259" s="109" t="s">
        <v>48</v>
      </c>
      <c r="AQ259" s="109" t="s">
        <v>48</v>
      </c>
      <c r="AR259" s="109" t="s">
        <v>48</v>
      </c>
      <c r="AS259" s="166" t="s">
        <v>48</v>
      </c>
      <c r="AT259" s="165" t="s">
        <v>48</v>
      </c>
      <c r="AU259" s="109" t="s">
        <v>48</v>
      </c>
      <c r="AV259" s="109" t="s">
        <v>48</v>
      </c>
      <c r="AW259" s="109" t="s">
        <v>48</v>
      </c>
      <c r="AX259" s="109" t="s">
        <v>48</v>
      </c>
      <c r="AY259" s="109" t="s">
        <v>48</v>
      </c>
      <c r="AZ259" s="166" t="s">
        <v>48</v>
      </c>
      <c r="BA259" s="162" t="s">
        <v>1860</v>
      </c>
      <c r="BB259" s="117" t="s">
        <v>199</v>
      </c>
      <c r="BC259" s="109" t="s">
        <v>1857</v>
      </c>
    </row>
    <row r="260" spans="1:55" ht="75" hidden="1" customHeight="1">
      <c r="A260" s="109" t="s">
        <v>660</v>
      </c>
      <c r="B260" s="109" t="s">
        <v>2013</v>
      </c>
      <c r="C260" s="109" t="s">
        <v>779</v>
      </c>
      <c r="D260" s="109" t="s">
        <v>778</v>
      </c>
      <c r="E260" s="161">
        <v>15000</v>
      </c>
      <c r="F260" s="165" t="s">
        <v>1727</v>
      </c>
      <c r="G260" s="109" t="s">
        <v>1727</v>
      </c>
      <c r="H260" s="109" t="s">
        <v>1933</v>
      </c>
      <c r="I260" s="109" t="s">
        <v>2039</v>
      </c>
      <c r="J260" s="109" t="s">
        <v>1708</v>
      </c>
      <c r="K260" s="109" t="s">
        <v>1708</v>
      </c>
      <c r="L260" s="109" t="s">
        <v>1987</v>
      </c>
      <c r="M260" s="166" t="s">
        <v>1687</v>
      </c>
      <c r="N260" s="108" t="s">
        <v>48</v>
      </c>
      <c r="O260" s="109" t="s">
        <v>48</v>
      </c>
      <c r="P260" s="162" t="s">
        <v>48</v>
      </c>
      <c r="Q260" s="109" t="s">
        <v>48</v>
      </c>
      <c r="R260" s="109" t="s">
        <v>48</v>
      </c>
      <c r="S260" s="109" t="s">
        <v>48</v>
      </c>
      <c r="T260" s="109" t="s">
        <v>48</v>
      </c>
      <c r="U260" s="109" t="s">
        <v>48</v>
      </c>
      <c r="V260" s="166" t="s">
        <v>48</v>
      </c>
      <c r="W260" s="165" t="s">
        <v>778</v>
      </c>
      <c r="X260" s="109" t="s">
        <v>778</v>
      </c>
      <c r="Y260" s="109" t="s">
        <v>48</v>
      </c>
      <c r="Z260" s="109" t="s">
        <v>48</v>
      </c>
      <c r="AA260" s="109" t="s">
        <v>48</v>
      </c>
      <c r="AB260" s="109" t="s">
        <v>48</v>
      </c>
      <c r="AC260" s="109" t="s">
        <v>48</v>
      </c>
      <c r="AD260" s="166" t="s">
        <v>48</v>
      </c>
      <c r="AE260" s="174" t="s">
        <v>65</v>
      </c>
      <c r="AF260" s="109" t="s">
        <v>48</v>
      </c>
      <c r="AG260" s="130" t="s">
        <v>48</v>
      </c>
      <c r="AH260" s="109" t="s">
        <v>48</v>
      </c>
      <c r="AI260" s="109" t="s">
        <v>48</v>
      </c>
      <c r="AJ260" s="109" t="s">
        <v>48</v>
      </c>
      <c r="AK260" s="166" t="s">
        <v>48</v>
      </c>
      <c r="AL260" s="165" t="s">
        <v>778</v>
      </c>
      <c r="AM260" s="109" t="s">
        <v>778</v>
      </c>
      <c r="AN260" s="109" t="s">
        <v>48</v>
      </c>
      <c r="AO260" s="109" t="s">
        <v>48</v>
      </c>
      <c r="AP260" s="109" t="s">
        <v>48</v>
      </c>
      <c r="AQ260" s="109" t="s">
        <v>48</v>
      </c>
      <c r="AR260" s="109" t="s">
        <v>48</v>
      </c>
      <c r="AS260" s="166" t="s">
        <v>48</v>
      </c>
      <c r="AT260" s="165" t="s">
        <v>48</v>
      </c>
      <c r="AU260" s="109" t="s">
        <v>48</v>
      </c>
      <c r="AV260" s="109" t="s">
        <v>48</v>
      </c>
      <c r="AW260" s="109" t="s">
        <v>48</v>
      </c>
      <c r="AX260" s="109" t="s">
        <v>48</v>
      </c>
      <c r="AY260" s="109" t="s">
        <v>48</v>
      </c>
      <c r="AZ260" s="166" t="s">
        <v>48</v>
      </c>
      <c r="BA260" s="162" t="s">
        <v>1860</v>
      </c>
      <c r="BB260" s="117" t="s">
        <v>199</v>
      </c>
      <c r="BC260" s="109" t="s">
        <v>1857</v>
      </c>
    </row>
    <row r="261" spans="1:55" ht="41.4" hidden="1">
      <c r="A261" s="109" t="s">
        <v>660</v>
      </c>
      <c r="B261" s="109" t="s">
        <v>2013</v>
      </c>
      <c r="C261" s="109" t="s">
        <v>779</v>
      </c>
      <c r="D261" s="109" t="s">
        <v>778</v>
      </c>
      <c r="E261" s="161">
        <v>15000</v>
      </c>
      <c r="F261" s="165" t="s">
        <v>1726</v>
      </c>
      <c r="G261" s="109" t="s">
        <v>1726</v>
      </c>
      <c r="H261" s="109" t="s">
        <v>1934</v>
      </c>
      <c r="I261" s="109" t="s">
        <v>1908</v>
      </c>
      <c r="J261" s="109" t="s">
        <v>1708</v>
      </c>
      <c r="K261" s="109" t="s">
        <v>1708</v>
      </c>
      <c r="L261" s="109" t="s">
        <v>1859</v>
      </c>
      <c r="M261" s="166" t="s">
        <v>1687</v>
      </c>
      <c r="N261" s="108" t="s">
        <v>48</v>
      </c>
      <c r="O261" s="109" t="s">
        <v>48</v>
      </c>
      <c r="P261" s="162" t="s">
        <v>48</v>
      </c>
      <c r="Q261" s="109" t="s">
        <v>48</v>
      </c>
      <c r="R261" s="109" t="s">
        <v>48</v>
      </c>
      <c r="S261" s="109" t="s">
        <v>48</v>
      </c>
      <c r="T261" s="109" t="s">
        <v>48</v>
      </c>
      <c r="U261" s="109" t="s">
        <v>48</v>
      </c>
      <c r="V261" s="166" t="s">
        <v>48</v>
      </c>
      <c r="W261" s="165" t="s">
        <v>778</v>
      </c>
      <c r="X261" s="109" t="s">
        <v>778</v>
      </c>
      <c r="Y261" s="109" t="s">
        <v>48</v>
      </c>
      <c r="Z261" s="109" t="s">
        <v>48</v>
      </c>
      <c r="AA261" s="109" t="s">
        <v>48</v>
      </c>
      <c r="AB261" s="109" t="s">
        <v>48</v>
      </c>
      <c r="AC261" s="109" t="s">
        <v>48</v>
      </c>
      <c r="AD261" s="166" t="s">
        <v>48</v>
      </c>
      <c r="AE261" s="174" t="s">
        <v>65</v>
      </c>
      <c r="AF261" s="109" t="s">
        <v>48</v>
      </c>
      <c r="AG261" s="130" t="s">
        <v>48</v>
      </c>
      <c r="AH261" s="109" t="s">
        <v>48</v>
      </c>
      <c r="AI261" s="109" t="s">
        <v>48</v>
      </c>
      <c r="AJ261" s="109" t="s">
        <v>48</v>
      </c>
      <c r="AK261" s="166" t="s">
        <v>48</v>
      </c>
      <c r="AL261" s="165" t="s">
        <v>778</v>
      </c>
      <c r="AM261" s="109" t="s">
        <v>778</v>
      </c>
      <c r="AN261" s="109" t="s">
        <v>48</v>
      </c>
      <c r="AO261" s="109" t="s">
        <v>48</v>
      </c>
      <c r="AP261" s="109" t="s">
        <v>48</v>
      </c>
      <c r="AQ261" s="109" t="s">
        <v>48</v>
      </c>
      <c r="AR261" s="109" t="s">
        <v>48</v>
      </c>
      <c r="AS261" s="166" t="s">
        <v>48</v>
      </c>
      <c r="AT261" s="165" t="s">
        <v>48</v>
      </c>
      <c r="AU261" s="109" t="s">
        <v>48</v>
      </c>
      <c r="AV261" s="109" t="s">
        <v>48</v>
      </c>
      <c r="AW261" s="109" t="s">
        <v>48</v>
      </c>
      <c r="AX261" s="109" t="s">
        <v>48</v>
      </c>
      <c r="AY261" s="109" t="s">
        <v>48</v>
      </c>
      <c r="AZ261" s="166" t="s">
        <v>48</v>
      </c>
      <c r="BA261" s="162" t="s">
        <v>1860</v>
      </c>
      <c r="BB261" s="117" t="s">
        <v>199</v>
      </c>
      <c r="BC261" s="109" t="s">
        <v>1857</v>
      </c>
    </row>
    <row r="262" spans="1:55" ht="75" hidden="1" customHeight="1">
      <c r="A262" s="109" t="s">
        <v>660</v>
      </c>
      <c r="B262" s="117" t="s">
        <v>2013</v>
      </c>
      <c r="C262" s="109" t="s">
        <v>1731</v>
      </c>
      <c r="D262" s="109" t="s">
        <v>1729</v>
      </c>
      <c r="E262" s="161">
        <v>15000</v>
      </c>
      <c r="F262" s="165" t="s">
        <v>1729</v>
      </c>
      <c r="G262" s="109" t="s">
        <v>1729</v>
      </c>
      <c r="H262" s="117" t="s">
        <v>48</v>
      </c>
      <c r="I262" s="117" t="s">
        <v>48</v>
      </c>
      <c r="J262" s="117" t="s">
        <v>48</v>
      </c>
      <c r="K262" s="117" t="s">
        <v>48</v>
      </c>
      <c r="L262" s="117" t="s">
        <v>48</v>
      </c>
      <c r="M262" s="166" t="s">
        <v>1687</v>
      </c>
      <c r="N262" s="108" t="s">
        <v>48</v>
      </c>
      <c r="O262" s="109" t="s">
        <v>48</v>
      </c>
      <c r="P262" s="162" t="s">
        <v>48</v>
      </c>
      <c r="Q262" s="109" t="s">
        <v>48</v>
      </c>
      <c r="R262" s="109" t="s">
        <v>48</v>
      </c>
      <c r="S262" s="109" t="s">
        <v>48</v>
      </c>
      <c r="T262" s="109" t="s">
        <v>48</v>
      </c>
      <c r="U262" s="109" t="s">
        <v>48</v>
      </c>
      <c r="V262" s="166" t="s">
        <v>48</v>
      </c>
      <c r="W262" s="165" t="s">
        <v>1729</v>
      </c>
      <c r="X262" s="109" t="s">
        <v>1729</v>
      </c>
      <c r="Y262" s="109" t="s">
        <v>48</v>
      </c>
      <c r="Z262" s="109" t="s">
        <v>48</v>
      </c>
      <c r="AA262" s="109" t="s">
        <v>48</v>
      </c>
      <c r="AB262" s="109" t="s">
        <v>48</v>
      </c>
      <c r="AC262" s="109" t="s">
        <v>48</v>
      </c>
      <c r="AD262" s="166" t="s">
        <v>48</v>
      </c>
      <c r="AE262" s="165" t="s">
        <v>48</v>
      </c>
      <c r="AF262" s="109" t="s">
        <v>48</v>
      </c>
      <c r="AG262" s="109" t="s">
        <v>48</v>
      </c>
      <c r="AH262" s="109" t="s">
        <v>48</v>
      </c>
      <c r="AI262" s="109" t="s">
        <v>48</v>
      </c>
      <c r="AJ262" s="109" t="s">
        <v>48</v>
      </c>
      <c r="AK262" s="166" t="s">
        <v>48</v>
      </c>
      <c r="AL262" s="165" t="s">
        <v>1729</v>
      </c>
      <c r="AM262" s="109" t="s">
        <v>1729</v>
      </c>
      <c r="AN262" s="109" t="s">
        <v>48</v>
      </c>
      <c r="AO262" s="109" t="s">
        <v>48</v>
      </c>
      <c r="AP262" s="109" t="s">
        <v>48</v>
      </c>
      <c r="AQ262" s="109" t="s">
        <v>48</v>
      </c>
      <c r="AR262" s="109" t="s">
        <v>48</v>
      </c>
      <c r="AS262" s="166" t="s">
        <v>48</v>
      </c>
      <c r="AT262" s="165" t="s">
        <v>48</v>
      </c>
      <c r="AU262" s="109" t="s">
        <v>48</v>
      </c>
      <c r="AV262" s="109" t="s">
        <v>48</v>
      </c>
      <c r="AW262" s="109" t="s">
        <v>48</v>
      </c>
      <c r="AX262" s="109" t="s">
        <v>48</v>
      </c>
      <c r="AY262" s="109" t="s">
        <v>48</v>
      </c>
      <c r="AZ262" s="166" t="s">
        <v>48</v>
      </c>
      <c r="BA262" s="162" t="s">
        <v>1860</v>
      </c>
      <c r="BB262" s="109" t="s">
        <v>82</v>
      </c>
      <c r="BC262" s="109" t="s">
        <v>1857</v>
      </c>
    </row>
    <row r="263" spans="1:55" ht="75" hidden="1" customHeight="1">
      <c r="A263" s="109" t="s">
        <v>2344</v>
      </c>
      <c r="B263" s="117" t="s">
        <v>2021</v>
      </c>
      <c r="C263" s="117" t="s">
        <v>201</v>
      </c>
      <c r="D263" s="109" t="s">
        <v>202</v>
      </c>
      <c r="E263" s="161">
        <v>30000</v>
      </c>
      <c r="F263" s="165" t="s">
        <v>202</v>
      </c>
      <c r="G263" s="109" t="s">
        <v>202</v>
      </c>
      <c r="H263" s="109" t="s">
        <v>48</v>
      </c>
      <c r="I263" s="109" t="s">
        <v>48</v>
      </c>
      <c r="J263" s="109" t="s">
        <v>48</v>
      </c>
      <c r="K263" s="109" t="s">
        <v>48</v>
      </c>
      <c r="L263" s="109" t="s">
        <v>48</v>
      </c>
      <c r="M263" s="166" t="s">
        <v>48</v>
      </c>
      <c r="N263" s="108" t="s">
        <v>48</v>
      </c>
      <c r="O263" s="109" t="s">
        <v>48</v>
      </c>
      <c r="P263" s="162" t="s">
        <v>48</v>
      </c>
      <c r="Q263" s="109" t="s">
        <v>48</v>
      </c>
      <c r="R263" s="109" t="s">
        <v>48</v>
      </c>
      <c r="S263" s="109" t="s">
        <v>48</v>
      </c>
      <c r="T263" s="109" t="s">
        <v>48</v>
      </c>
      <c r="U263" s="109" t="s">
        <v>48</v>
      </c>
      <c r="V263" s="166" t="s">
        <v>48</v>
      </c>
      <c r="W263" s="165" t="s">
        <v>202</v>
      </c>
      <c r="X263" s="109" t="s">
        <v>202</v>
      </c>
      <c r="Y263" s="109" t="s">
        <v>48</v>
      </c>
      <c r="Z263" s="109" t="s">
        <v>48</v>
      </c>
      <c r="AA263" s="109" t="s">
        <v>48</v>
      </c>
      <c r="AB263" s="109" t="s">
        <v>48</v>
      </c>
      <c r="AC263" s="109" t="s">
        <v>48</v>
      </c>
      <c r="AD263" s="166" t="s">
        <v>48</v>
      </c>
      <c r="AE263" s="174" t="s">
        <v>203</v>
      </c>
      <c r="AF263" s="117" t="s">
        <v>204</v>
      </c>
      <c r="AG263" s="117">
        <v>68007</v>
      </c>
      <c r="AH263" s="109" t="s">
        <v>1908</v>
      </c>
      <c r="AI263" s="117" t="s">
        <v>621</v>
      </c>
      <c r="AJ263" s="109" t="s">
        <v>265</v>
      </c>
      <c r="AK263" s="166" t="s">
        <v>506</v>
      </c>
      <c r="AL263" s="165" t="s">
        <v>714</v>
      </c>
      <c r="AM263" s="109" t="s">
        <v>202</v>
      </c>
      <c r="AN263" s="117" t="s">
        <v>912</v>
      </c>
      <c r="AO263" s="117" t="s">
        <v>1908</v>
      </c>
      <c r="AP263" s="109" t="s">
        <v>919</v>
      </c>
      <c r="AQ263" s="109" t="s">
        <v>48</v>
      </c>
      <c r="AR263" s="109" t="s">
        <v>917</v>
      </c>
      <c r="AS263" s="166" t="s">
        <v>718</v>
      </c>
      <c r="AT263" s="165" t="s">
        <v>48</v>
      </c>
      <c r="AU263" s="109" t="s">
        <v>48</v>
      </c>
      <c r="AV263" s="109" t="s">
        <v>48</v>
      </c>
      <c r="AW263" s="109" t="s">
        <v>48</v>
      </c>
      <c r="AX263" s="109" t="s">
        <v>48</v>
      </c>
      <c r="AY263" s="109" t="s">
        <v>48</v>
      </c>
      <c r="AZ263" s="166" t="s">
        <v>48</v>
      </c>
      <c r="BA263" s="162" t="s">
        <v>914</v>
      </c>
      <c r="BB263" s="117" t="s">
        <v>101</v>
      </c>
      <c r="BC263" s="79"/>
    </row>
    <row r="264" spans="1:55" ht="14.4" hidden="1">
      <c r="A264" s="109" t="s">
        <v>2344</v>
      </c>
      <c r="B264" s="117" t="s">
        <v>2021</v>
      </c>
      <c r="C264" s="117" t="s">
        <v>201</v>
      </c>
      <c r="D264" s="109" t="s">
        <v>202</v>
      </c>
      <c r="E264" s="161">
        <v>30000</v>
      </c>
      <c r="F264" s="165" t="s">
        <v>202</v>
      </c>
      <c r="G264" s="109" t="s">
        <v>202</v>
      </c>
      <c r="H264" s="109" t="s">
        <v>48</v>
      </c>
      <c r="I264" s="109" t="s">
        <v>48</v>
      </c>
      <c r="J264" s="109" t="s">
        <v>48</v>
      </c>
      <c r="K264" s="109" t="s">
        <v>48</v>
      </c>
      <c r="L264" s="109" t="s">
        <v>48</v>
      </c>
      <c r="M264" s="166" t="s">
        <v>48</v>
      </c>
      <c r="N264" s="108" t="s">
        <v>48</v>
      </c>
      <c r="O264" s="109" t="s">
        <v>48</v>
      </c>
      <c r="P264" s="162" t="s">
        <v>48</v>
      </c>
      <c r="Q264" s="109" t="s">
        <v>48</v>
      </c>
      <c r="R264" s="109" t="s">
        <v>48</v>
      </c>
      <c r="S264" s="109" t="s">
        <v>48</v>
      </c>
      <c r="T264" s="109" t="s">
        <v>48</v>
      </c>
      <c r="U264" s="109" t="s">
        <v>48</v>
      </c>
      <c r="V264" s="166" t="s">
        <v>48</v>
      </c>
      <c r="W264" s="165" t="s">
        <v>202</v>
      </c>
      <c r="X264" s="109" t="s">
        <v>202</v>
      </c>
      <c r="Y264" s="109" t="s">
        <v>48</v>
      </c>
      <c r="Z264" s="109" t="s">
        <v>48</v>
      </c>
      <c r="AA264" s="109" t="s">
        <v>48</v>
      </c>
      <c r="AB264" s="109" t="s">
        <v>48</v>
      </c>
      <c r="AC264" s="109" t="s">
        <v>48</v>
      </c>
      <c r="AD264" s="166" t="s">
        <v>48</v>
      </c>
      <c r="AE264" s="174" t="s">
        <v>205</v>
      </c>
      <c r="AF264" s="117" t="s">
        <v>206</v>
      </c>
      <c r="AG264" s="117" t="s">
        <v>248</v>
      </c>
      <c r="AH264" s="109" t="s">
        <v>1908</v>
      </c>
      <c r="AI264" s="117"/>
      <c r="AJ264" s="109" t="s">
        <v>266</v>
      </c>
      <c r="AK264" s="166" t="s">
        <v>507</v>
      </c>
      <c r="AL264" s="165" t="s">
        <v>714</v>
      </c>
      <c r="AM264" s="109" t="s">
        <v>202</v>
      </c>
      <c r="AN264" s="117" t="s">
        <v>912</v>
      </c>
      <c r="AO264" s="117" t="s">
        <v>1908</v>
      </c>
      <c r="AP264" s="109" t="s">
        <v>919</v>
      </c>
      <c r="AQ264" s="109" t="s">
        <v>48</v>
      </c>
      <c r="AR264" s="109" t="s">
        <v>917</v>
      </c>
      <c r="AS264" s="166" t="s">
        <v>718</v>
      </c>
      <c r="AT264" s="165" t="s">
        <v>48</v>
      </c>
      <c r="AU264" s="109" t="s">
        <v>48</v>
      </c>
      <c r="AV264" s="109" t="s">
        <v>48</v>
      </c>
      <c r="AW264" s="109" t="s">
        <v>48</v>
      </c>
      <c r="AX264" s="109" t="s">
        <v>48</v>
      </c>
      <c r="AY264" s="109" t="s">
        <v>48</v>
      </c>
      <c r="AZ264" s="166" t="s">
        <v>48</v>
      </c>
      <c r="BA264" s="162" t="s">
        <v>914</v>
      </c>
      <c r="BB264" s="117" t="s">
        <v>101</v>
      </c>
      <c r="BC264" s="79"/>
    </row>
    <row r="265" spans="1:55" ht="75" hidden="1" customHeight="1">
      <c r="A265" s="109" t="s">
        <v>2344</v>
      </c>
      <c r="B265" s="117" t="s">
        <v>2021</v>
      </c>
      <c r="C265" s="117" t="s">
        <v>201</v>
      </c>
      <c r="D265" s="109" t="s">
        <v>209</v>
      </c>
      <c r="E265" s="161">
        <v>30000</v>
      </c>
      <c r="F265" s="165" t="s">
        <v>1777</v>
      </c>
      <c r="G265" s="109" t="s">
        <v>1777</v>
      </c>
      <c r="H265" s="117" t="s">
        <v>1985</v>
      </c>
      <c r="I265" s="109" t="s">
        <v>2039</v>
      </c>
      <c r="J265" s="109" t="s">
        <v>1708</v>
      </c>
      <c r="K265" s="109" t="s">
        <v>1708</v>
      </c>
      <c r="L265" s="109" t="s">
        <v>1983</v>
      </c>
      <c r="M265" s="166" t="s">
        <v>1687</v>
      </c>
      <c r="N265" s="108" t="s">
        <v>48</v>
      </c>
      <c r="O265" s="109" t="s">
        <v>48</v>
      </c>
      <c r="P265" s="162" t="s">
        <v>48</v>
      </c>
      <c r="Q265" s="109" t="s">
        <v>48</v>
      </c>
      <c r="R265" s="109" t="s">
        <v>48</v>
      </c>
      <c r="S265" s="109" t="s">
        <v>48</v>
      </c>
      <c r="T265" s="109" t="s">
        <v>48</v>
      </c>
      <c r="U265" s="109" t="s">
        <v>48</v>
      </c>
      <c r="V265" s="166" t="s">
        <v>48</v>
      </c>
      <c r="W265" s="165" t="s">
        <v>715</v>
      </c>
      <c r="X265" s="109" t="s">
        <v>209</v>
      </c>
      <c r="Y265" s="117" t="s">
        <v>913</v>
      </c>
      <c r="Z265" s="117" t="s">
        <v>2039</v>
      </c>
      <c r="AA265" s="109" t="s">
        <v>920</v>
      </c>
      <c r="AB265" s="109" t="s">
        <v>48</v>
      </c>
      <c r="AC265" s="109" t="s">
        <v>918</v>
      </c>
      <c r="AD265" s="166" t="s">
        <v>718</v>
      </c>
      <c r="AE265" s="188" t="s">
        <v>68</v>
      </c>
      <c r="AF265" s="130" t="s">
        <v>210</v>
      </c>
      <c r="AG265" s="117" t="s">
        <v>526</v>
      </c>
      <c r="AH265" s="109" t="s">
        <v>1908</v>
      </c>
      <c r="AI265" s="117" t="s">
        <v>48</v>
      </c>
      <c r="AJ265" s="109" t="s">
        <v>48</v>
      </c>
      <c r="AK265" s="166" t="s">
        <v>48</v>
      </c>
      <c r="AL265" s="165" t="s">
        <v>209</v>
      </c>
      <c r="AM265" s="109" t="s">
        <v>209</v>
      </c>
      <c r="AN265" s="109" t="s">
        <v>48</v>
      </c>
      <c r="AO265" s="109" t="s">
        <v>48</v>
      </c>
      <c r="AP265" s="109" t="s">
        <v>48</v>
      </c>
      <c r="AQ265" s="109" t="s">
        <v>48</v>
      </c>
      <c r="AR265" s="109" t="s">
        <v>48</v>
      </c>
      <c r="AS265" s="166" t="s">
        <v>48</v>
      </c>
      <c r="AT265" s="165" t="s">
        <v>48</v>
      </c>
      <c r="AU265" s="109" t="s">
        <v>48</v>
      </c>
      <c r="AV265" s="109" t="s">
        <v>48</v>
      </c>
      <c r="AW265" s="109" t="s">
        <v>48</v>
      </c>
      <c r="AX265" s="109" t="s">
        <v>48</v>
      </c>
      <c r="AY265" s="109" t="s">
        <v>48</v>
      </c>
      <c r="AZ265" s="166" t="s">
        <v>48</v>
      </c>
      <c r="BA265" s="162" t="s">
        <v>914</v>
      </c>
      <c r="BB265" s="117" t="s">
        <v>49</v>
      </c>
      <c r="BC265" s="79" t="s">
        <v>414</v>
      </c>
    </row>
    <row r="266" spans="1:55" ht="75" hidden="1" customHeight="1">
      <c r="A266" s="109" t="s">
        <v>2344</v>
      </c>
      <c r="B266" s="117" t="s">
        <v>2021</v>
      </c>
      <c r="C266" s="117" t="s">
        <v>201</v>
      </c>
      <c r="D266" s="109" t="s">
        <v>715</v>
      </c>
      <c r="E266" s="161">
        <v>30000</v>
      </c>
      <c r="F266" s="165" t="s">
        <v>1777</v>
      </c>
      <c r="G266" s="109" t="s">
        <v>1777</v>
      </c>
      <c r="H266" s="117" t="s">
        <v>1985</v>
      </c>
      <c r="I266" s="109" t="s">
        <v>2039</v>
      </c>
      <c r="J266" s="109" t="s">
        <v>1708</v>
      </c>
      <c r="K266" s="109" t="s">
        <v>1708</v>
      </c>
      <c r="L266" s="109" t="s">
        <v>1983</v>
      </c>
      <c r="M266" s="166" t="s">
        <v>1687</v>
      </c>
      <c r="N266" s="108" t="s">
        <v>48</v>
      </c>
      <c r="O266" s="109" t="s">
        <v>48</v>
      </c>
      <c r="P266" s="162" t="s">
        <v>48</v>
      </c>
      <c r="Q266" s="109" t="s">
        <v>48</v>
      </c>
      <c r="R266" s="109" t="s">
        <v>48</v>
      </c>
      <c r="S266" s="109" t="s">
        <v>48</v>
      </c>
      <c r="T266" s="109" t="s">
        <v>48</v>
      </c>
      <c r="U266" s="109" t="s">
        <v>48</v>
      </c>
      <c r="V266" s="166" t="s">
        <v>48</v>
      </c>
      <c r="W266" s="165" t="s">
        <v>715</v>
      </c>
      <c r="X266" s="109" t="s">
        <v>715</v>
      </c>
      <c r="Y266" s="117" t="s">
        <v>48</v>
      </c>
      <c r="Z266" s="117" t="s">
        <v>48</v>
      </c>
      <c r="AA266" s="117" t="s">
        <v>48</v>
      </c>
      <c r="AB266" s="117" t="s">
        <v>48</v>
      </c>
      <c r="AC266" s="117" t="s">
        <v>48</v>
      </c>
      <c r="AD266" s="182" t="s">
        <v>48</v>
      </c>
      <c r="AE266" s="188" t="s">
        <v>48</v>
      </c>
      <c r="AF266" s="130" t="s">
        <v>48</v>
      </c>
      <c r="AG266" s="130" t="s">
        <v>48</v>
      </c>
      <c r="AH266" s="109" t="s">
        <v>48</v>
      </c>
      <c r="AI266" s="117" t="s">
        <v>48</v>
      </c>
      <c r="AJ266" s="109" t="s">
        <v>48</v>
      </c>
      <c r="AK266" s="166" t="s">
        <v>48</v>
      </c>
      <c r="AL266" s="165" t="s">
        <v>715</v>
      </c>
      <c r="AM266" s="109" t="s">
        <v>715</v>
      </c>
      <c r="AN266" s="109" t="s">
        <v>48</v>
      </c>
      <c r="AO266" s="109" t="s">
        <v>48</v>
      </c>
      <c r="AP266" s="109" t="s">
        <v>48</v>
      </c>
      <c r="AQ266" s="109" t="s">
        <v>48</v>
      </c>
      <c r="AR266" s="109" t="s">
        <v>48</v>
      </c>
      <c r="AS266" s="166" t="s">
        <v>48</v>
      </c>
      <c r="AT266" s="165" t="s">
        <v>48</v>
      </c>
      <c r="AU266" s="109" t="s">
        <v>48</v>
      </c>
      <c r="AV266" s="109" t="s">
        <v>48</v>
      </c>
      <c r="AW266" s="109" t="s">
        <v>48</v>
      </c>
      <c r="AX266" s="109" t="s">
        <v>48</v>
      </c>
      <c r="AY266" s="109" t="s">
        <v>48</v>
      </c>
      <c r="AZ266" s="166" t="s">
        <v>48</v>
      </c>
      <c r="BA266" s="162" t="s">
        <v>1797</v>
      </c>
      <c r="BB266" s="117" t="s">
        <v>49</v>
      </c>
      <c r="BC266" s="121" t="s">
        <v>1689</v>
      </c>
    </row>
    <row r="267" spans="1:55" ht="41.7" hidden="1">
      <c r="A267" s="109" t="s">
        <v>2344</v>
      </c>
      <c r="B267" s="117" t="s">
        <v>2021</v>
      </c>
      <c r="C267" s="117" t="s">
        <v>201</v>
      </c>
      <c r="D267" s="109" t="s">
        <v>207</v>
      </c>
      <c r="E267" s="161">
        <v>30000</v>
      </c>
      <c r="F267" s="165" t="s">
        <v>1686</v>
      </c>
      <c r="G267" s="109" t="s">
        <v>1686</v>
      </c>
      <c r="H267" s="117" t="s">
        <v>1984</v>
      </c>
      <c r="I267" s="117" t="s">
        <v>1908</v>
      </c>
      <c r="J267" s="109" t="s">
        <v>1708</v>
      </c>
      <c r="K267" s="109" t="s">
        <v>1708</v>
      </c>
      <c r="L267" s="109" t="s">
        <v>1982</v>
      </c>
      <c r="M267" s="166" t="s">
        <v>1687</v>
      </c>
      <c r="N267" s="108" t="s">
        <v>48</v>
      </c>
      <c r="O267" s="109" t="s">
        <v>48</v>
      </c>
      <c r="P267" s="162" t="s">
        <v>48</v>
      </c>
      <c r="Q267" s="109" t="s">
        <v>48</v>
      </c>
      <c r="R267" s="109" t="s">
        <v>48</v>
      </c>
      <c r="S267" s="109" t="s">
        <v>48</v>
      </c>
      <c r="T267" s="109" t="s">
        <v>48</v>
      </c>
      <c r="U267" s="109" t="s">
        <v>48</v>
      </c>
      <c r="V267" s="166" t="s">
        <v>48</v>
      </c>
      <c r="W267" s="165" t="s">
        <v>207</v>
      </c>
      <c r="X267" s="109" t="s">
        <v>207</v>
      </c>
      <c r="Y267" s="109" t="s">
        <v>48</v>
      </c>
      <c r="Z267" s="109" t="s">
        <v>48</v>
      </c>
      <c r="AA267" s="109" t="s">
        <v>48</v>
      </c>
      <c r="AB267" s="109" t="s">
        <v>48</v>
      </c>
      <c r="AC267" s="109" t="s">
        <v>48</v>
      </c>
      <c r="AD267" s="166" t="s">
        <v>48</v>
      </c>
      <c r="AE267" s="188" t="s">
        <v>68</v>
      </c>
      <c r="AF267" s="130" t="s">
        <v>208</v>
      </c>
      <c r="AG267" s="117" t="s">
        <v>909</v>
      </c>
      <c r="AH267" s="109" t="s">
        <v>1908</v>
      </c>
      <c r="AI267" s="117" t="s">
        <v>910</v>
      </c>
      <c r="AJ267" s="109" t="s">
        <v>508</v>
      </c>
      <c r="AK267" s="166" t="s">
        <v>911</v>
      </c>
      <c r="AL267" s="165" t="s">
        <v>714</v>
      </c>
      <c r="AM267" s="109" t="s">
        <v>207</v>
      </c>
      <c r="AN267" s="117" t="s">
        <v>912</v>
      </c>
      <c r="AO267" s="117" t="s">
        <v>1908</v>
      </c>
      <c r="AP267" s="109" t="s">
        <v>919</v>
      </c>
      <c r="AQ267" s="109" t="s">
        <v>48</v>
      </c>
      <c r="AR267" s="109" t="s">
        <v>917</v>
      </c>
      <c r="AS267" s="166" t="s">
        <v>718</v>
      </c>
      <c r="AT267" s="165" t="s">
        <v>438</v>
      </c>
      <c r="AU267" s="109" t="s">
        <v>716</v>
      </c>
      <c r="AV267" s="109" t="s">
        <v>719</v>
      </c>
      <c r="AW267" s="109" t="s">
        <v>48</v>
      </c>
      <c r="AX267" s="109" t="s">
        <v>48</v>
      </c>
      <c r="AY267" s="109" t="s">
        <v>48</v>
      </c>
      <c r="AZ267" s="166" t="s">
        <v>48</v>
      </c>
      <c r="BA267" s="162" t="s">
        <v>1797</v>
      </c>
      <c r="BB267" s="117" t="s">
        <v>49</v>
      </c>
      <c r="BC267" s="80" t="s">
        <v>717</v>
      </c>
    </row>
    <row r="268" spans="1:55" ht="75" hidden="1" customHeight="1">
      <c r="A268" s="109" t="s">
        <v>2344</v>
      </c>
      <c r="B268" s="117" t="s">
        <v>2021</v>
      </c>
      <c r="C268" s="117" t="s">
        <v>201</v>
      </c>
      <c r="D268" s="109" t="s">
        <v>714</v>
      </c>
      <c r="E268" s="161">
        <v>30000</v>
      </c>
      <c r="F268" s="165" t="s">
        <v>1686</v>
      </c>
      <c r="G268" s="109" t="s">
        <v>1686</v>
      </c>
      <c r="H268" s="117" t="s">
        <v>1984</v>
      </c>
      <c r="I268" s="117" t="s">
        <v>1908</v>
      </c>
      <c r="J268" s="109" t="s">
        <v>1708</v>
      </c>
      <c r="K268" s="109" t="s">
        <v>1708</v>
      </c>
      <c r="L268" s="109" t="s">
        <v>1982</v>
      </c>
      <c r="M268" s="166" t="s">
        <v>1687</v>
      </c>
      <c r="N268" s="108" t="s">
        <v>48</v>
      </c>
      <c r="O268" s="109" t="s">
        <v>48</v>
      </c>
      <c r="P268" s="162" t="s">
        <v>48</v>
      </c>
      <c r="Q268" s="109" t="s">
        <v>48</v>
      </c>
      <c r="R268" s="109" t="s">
        <v>48</v>
      </c>
      <c r="S268" s="109" t="s">
        <v>48</v>
      </c>
      <c r="T268" s="109" t="s">
        <v>48</v>
      </c>
      <c r="U268" s="109" t="s">
        <v>48</v>
      </c>
      <c r="V268" s="166" t="s">
        <v>48</v>
      </c>
      <c r="W268" s="165" t="s">
        <v>714</v>
      </c>
      <c r="X268" s="109" t="s">
        <v>714</v>
      </c>
      <c r="Y268" s="109" t="s">
        <v>48</v>
      </c>
      <c r="Z268" s="109" t="s">
        <v>48</v>
      </c>
      <c r="AA268" s="109" t="s">
        <v>48</v>
      </c>
      <c r="AB268" s="109" t="s">
        <v>48</v>
      </c>
      <c r="AC268" s="109" t="s">
        <v>48</v>
      </c>
      <c r="AD268" s="166" t="s">
        <v>48</v>
      </c>
      <c r="AE268" s="188" t="s">
        <v>48</v>
      </c>
      <c r="AF268" s="130" t="s">
        <v>48</v>
      </c>
      <c r="AG268" s="130" t="s">
        <v>48</v>
      </c>
      <c r="AH268" s="109" t="s">
        <v>48</v>
      </c>
      <c r="AI268" s="130" t="s">
        <v>48</v>
      </c>
      <c r="AJ268" s="130" t="s">
        <v>48</v>
      </c>
      <c r="AK268" s="189" t="s">
        <v>48</v>
      </c>
      <c r="AL268" s="165" t="s">
        <v>714</v>
      </c>
      <c r="AM268" s="109" t="s">
        <v>714</v>
      </c>
      <c r="AN268" s="109" t="s">
        <v>48</v>
      </c>
      <c r="AO268" s="109" t="s">
        <v>48</v>
      </c>
      <c r="AP268" s="109" t="s">
        <v>48</v>
      </c>
      <c r="AQ268" s="109" t="s">
        <v>48</v>
      </c>
      <c r="AR268" s="109" t="s">
        <v>48</v>
      </c>
      <c r="AS268" s="166" t="s">
        <v>48</v>
      </c>
      <c r="AT268" s="165" t="s">
        <v>893</v>
      </c>
      <c r="AU268" s="109" t="s">
        <v>894</v>
      </c>
      <c r="AV268" s="109" t="s">
        <v>499</v>
      </c>
      <c r="AW268" s="109" t="s">
        <v>48</v>
      </c>
      <c r="AX268" s="109" t="s">
        <v>48</v>
      </c>
      <c r="AY268" s="109" t="s">
        <v>48</v>
      </c>
      <c r="AZ268" s="166" t="s">
        <v>48</v>
      </c>
      <c r="BA268" s="162" t="s">
        <v>1797</v>
      </c>
      <c r="BB268" s="117" t="s">
        <v>49</v>
      </c>
      <c r="BC268" s="121" t="s">
        <v>1689</v>
      </c>
    </row>
    <row r="269" spans="1:55" ht="75" hidden="1" customHeight="1">
      <c r="A269" s="109" t="s">
        <v>41</v>
      </c>
      <c r="B269" s="117" t="s">
        <v>2018</v>
      </c>
      <c r="C269" s="109" t="s">
        <v>2408</v>
      </c>
      <c r="D269" s="109" t="s">
        <v>2409</v>
      </c>
      <c r="E269" s="161">
        <v>15000</v>
      </c>
      <c r="F269" s="165" t="s">
        <v>2409</v>
      </c>
      <c r="G269" s="109" t="s">
        <v>2409</v>
      </c>
      <c r="H269" s="109" t="s">
        <v>48</v>
      </c>
      <c r="I269" s="109" t="s">
        <v>48</v>
      </c>
      <c r="J269" s="109" t="s">
        <v>48</v>
      </c>
      <c r="K269" s="109" t="s">
        <v>48</v>
      </c>
      <c r="L269" s="109" t="s">
        <v>48</v>
      </c>
      <c r="M269" s="166" t="s">
        <v>2410</v>
      </c>
      <c r="N269" s="108" t="s">
        <v>48</v>
      </c>
      <c r="O269" s="109" t="s">
        <v>48</v>
      </c>
      <c r="P269" s="162" t="s">
        <v>48</v>
      </c>
      <c r="Q269" s="109" t="s">
        <v>48</v>
      </c>
      <c r="R269" s="109" t="s">
        <v>48</v>
      </c>
      <c r="S269" s="109" t="s">
        <v>48</v>
      </c>
      <c r="T269" s="109" t="s">
        <v>48</v>
      </c>
      <c r="U269" s="109" t="s">
        <v>48</v>
      </c>
      <c r="V269" s="166" t="s">
        <v>48</v>
      </c>
      <c r="W269" s="165" t="s">
        <v>2409</v>
      </c>
      <c r="X269" s="109" t="s">
        <v>2409</v>
      </c>
      <c r="Y269" s="109" t="s">
        <v>48</v>
      </c>
      <c r="Z269" s="109" t="s">
        <v>48</v>
      </c>
      <c r="AA269" s="109" t="s">
        <v>48</v>
      </c>
      <c r="AB269" s="109" t="s">
        <v>48</v>
      </c>
      <c r="AC269" s="109" t="s">
        <v>48</v>
      </c>
      <c r="AD269" s="166" t="s">
        <v>48</v>
      </c>
      <c r="AE269" s="165" t="s">
        <v>48</v>
      </c>
      <c r="AF269" s="109" t="s">
        <v>48</v>
      </c>
      <c r="AG269" s="109" t="s">
        <v>48</v>
      </c>
      <c r="AH269" s="109" t="s">
        <v>48</v>
      </c>
      <c r="AI269" s="109" t="s">
        <v>48</v>
      </c>
      <c r="AJ269" s="109" t="s">
        <v>48</v>
      </c>
      <c r="AK269" s="166" t="s">
        <v>48</v>
      </c>
      <c r="AL269" s="165" t="s">
        <v>2409</v>
      </c>
      <c r="AM269" s="109" t="s">
        <v>2409</v>
      </c>
      <c r="AN269" s="109" t="s">
        <v>2411</v>
      </c>
      <c r="AO269" s="109" t="s">
        <v>2412</v>
      </c>
      <c r="AP269" s="109" t="s">
        <v>2413</v>
      </c>
      <c r="AQ269" s="109" t="s">
        <v>2413</v>
      </c>
      <c r="AR269" s="195">
        <v>5914766</v>
      </c>
      <c r="AS269" s="166" t="s">
        <v>2414</v>
      </c>
      <c r="AT269" s="165" t="s">
        <v>676</v>
      </c>
      <c r="AU269" s="109" t="s">
        <v>676</v>
      </c>
      <c r="AV269" s="109" t="s">
        <v>676</v>
      </c>
      <c r="AW269" s="109" t="s">
        <v>676</v>
      </c>
      <c r="AX269" s="109" t="s">
        <v>676</v>
      </c>
      <c r="AY269" s="109" t="s">
        <v>676</v>
      </c>
      <c r="AZ269" s="166" t="s">
        <v>676</v>
      </c>
      <c r="BA269" s="162" t="s">
        <v>2850</v>
      </c>
      <c r="BB269" s="109" t="s">
        <v>82</v>
      </c>
      <c r="BC269" s="109" t="s">
        <v>2415</v>
      </c>
    </row>
    <row r="270" spans="1:55" ht="27.6" hidden="1">
      <c r="A270" s="109" t="s">
        <v>675</v>
      </c>
      <c r="B270" s="117" t="s">
        <v>2416</v>
      </c>
      <c r="C270" s="109" t="s">
        <v>2408</v>
      </c>
      <c r="D270" s="109" t="s">
        <v>2417</v>
      </c>
      <c r="E270" s="161">
        <v>15000</v>
      </c>
      <c r="F270" s="165" t="s">
        <v>2417</v>
      </c>
      <c r="G270" s="109" t="s">
        <v>2417</v>
      </c>
      <c r="H270" s="109" t="s">
        <v>48</v>
      </c>
      <c r="I270" s="109" t="s">
        <v>48</v>
      </c>
      <c r="J270" s="109" t="s">
        <v>48</v>
      </c>
      <c r="K270" s="109" t="s">
        <v>48</v>
      </c>
      <c r="L270" s="109" t="s">
        <v>48</v>
      </c>
      <c r="M270" s="166" t="s">
        <v>2410</v>
      </c>
      <c r="N270" s="108" t="s">
        <v>48</v>
      </c>
      <c r="O270" s="109" t="s">
        <v>48</v>
      </c>
      <c r="P270" s="162" t="s">
        <v>48</v>
      </c>
      <c r="Q270" s="109" t="s">
        <v>48</v>
      </c>
      <c r="R270" s="109" t="s">
        <v>48</v>
      </c>
      <c r="S270" s="109" t="s">
        <v>48</v>
      </c>
      <c r="T270" s="109" t="s">
        <v>48</v>
      </c>
      <c r="U270" s="109" t="s">
        <v>48</v>
      </c>
      <c r="V270" s="166" t="s">
        <v>48</v>
      </c>
      <c r="W270" s="165" t="s">
        <v>2417</v>
      </c>
      <c r="X270" s="109" t="s">
        <v>2417</v>
      </c>
      <c r="Y270" s="109" t="s">
        <v>48</v>
      </c>
      <c r="Z270" s="109" t="s">
        <v>48</v>
      </c>
      <c r="AA270" s="109" t="s">
        <v>48</v>
      </c>
      <c r="AB270" s="109" t="s">
        <v>48</v>
      </c>
      <c r="AC270" s="109" t="s">
        <v>48</v>
      </c>
      <c r="AD270" s="166" t="s">
        <v>48</v>
      </c>
      <c r="AE270" s="165" t="s">
        <v>48</v>
      </c>
      <c r="AF270" s="109" t="s">
        <v>48</v>
      </c>
      <c r="AG270" s="109" t="s">
        <v>48</v>
      </c>
      <c r="AH270" s="109" t="s">
        <v>48</v>
      </c>
      <c r="AI270" s="109" t="s">
        <v>48</v>
      </c>
      <c r="AJ270" s="109" t="s">
        <v>48</v>
      </c>
      <c r="AK270" s="166" t="s">
        <v>48</v>
      </c>
      <c r="AL270" s="165" t="s">
        <v>2417</v>
      </c>
      <c r="AM270" s="109" t="s">
        <v>2417</v>
      </c>
      <c r="AN270" s="109" t="s">
        <v>2418</v>
      </c>
      <c r="AO270" s="109" t="s">
        <v>2419</v>
      </c>
      <c r="AP270" s="109" t="s">
        <v>2413</v>
      </c>
      <c r="AQ270" s="109" t="s">
        <v>2413</v>
      </c>
      <c r="AR270" s="109" t="s">
        <v>2420</v>
      </c>
      <c r="AS270" s="166" t="s">
        <v>2414</v>
      </c>
      <c r="AT270" s="165" t="s">
        <v>676</v>
      </c>
      <c r="AU270" s="109" t="s">
        <v>676</v>
      </c>
      <c r="AV270" s="109" t="s">
        <v>676</v>
      </c>
      <c r="AW270" s="109" t="s">
        <v>676</v>
      </c>
      <c r="AX270" s="109" t="s">
        <v>676</v>
      </c>
      <c r="AY270" s="109" t="s">
        <v>676</v>
      </c>
      <c r="AZ270" s="166" t="s">
        <v>676</v>
      </c>
      <c r="BA270" s="162" t="s">
        <v>2850</v>
      </c>
      <c r="BB270" s="109" t="s">
        <v>82</v>
      </c>
      <c r="BC270" s="109" t="s">
        <v>2421</v>
      </c>
    </row>
    <row r="271" spans="1:55" ht="75" customHeight="1">
      <c r="A271" s="109" t="s">
        <v>2427</v>
      </c>
      <c r="B271" s="109" t="s">
        <v>2428</v>
      </c>
      <c r="C271" s="109" t="s">
        <v>2408</v>
      </c>
      <c r="D271" s="109" t="s">
        <v>2429</v>
      </c>
      <c r="E271" s="161">
        <v>15000</v>
      </c>
      <c r="F271" s="165" t="s">
        <v>2429</v>
      </c>
      <c r="G271" s="109" t="s">
        <v>2429</v>
      </c>
      <c r="H271" s="109" t="s">
        <v>48</v>
      </c>
      <c r="I271" s="109" t="s">
        <v>48</v>
      </c>
      <c r="J271" s="109" t="s">
        <v>48</v>
      </c>
      <c r="K271" s="109" t="s">
        <v>48</v>
      </c>
      <c r="L271" s="109" t="s">
        <v>48</v>
      </c>
      <c r="M271" s="166" t="s">
        <v>2410</v>
      </c>
      <c r="N271" s="108" t="s">
        <v>48</v>
      </c>
      <c r="O271" s="109" t="s">
        <v>48</v>
      </c>
      <c r="P271" s="162" t="s">
        <v>48</v>
      </c>
      <c r="Q271" s="109" t="s">
        <v>48</v>
      </c>
      <c r="R271" s="109" t="s">
        <v>48</v>
      </c>
      <c r="S271" s="109" t="s">
        <v>48</v>
      </c>
      <c r="T271" s="109" t="s">
        <v>48</v>
      </c>
      <c r="U271" s="109" t="s">
        <v>48</v>
      </c>
      <c r="V271" s="166" t="s">
        <v>48</v>
      </c>
      <c r="W271" s="165" t="s">
        <v>2429</v>
      </c>
      <c r="X271" s="109" t="s">
        <v>2429</v>
      </c>
      <c r="Y271" s="109" t="s">
        <v>48</v>
      </c>
      <c r="Z271" s="109" t="s">
        <v>48</v>
      </c>
      <c r="AA271" s="109" t="s">
        <v>48</v>
      </c>
      <c r="AB271" s="109" t="s">
        <v>48</v>
      </c>
      <c r="AC271" s="109" t="s">
        <v>48</v>
      </c>
      <c r="AD271" s="166" t="s">
        <v>48</v>
      </c>
      <c r="AE271" s="165" t="s">
        <v>48</v>
      </c>
      <c r="AF271" s="109" t="s">
        <v>48</v>
      </c>
      <c r="AG271" s="109" t="s">
        <v>48</v>
      </c>
      <c r="AH271" s="109" t="s">
        <v>48</v>
      </c>
      <c r="AI271" s="109" t="s">
        <v>48</v>
      </c>
      <c r="AJ271" s="109" t="s">
        <v>48</v>
      </c>
      <c r="AK271" s="166" t="s">
        <v>48</v>
      </c>
      <c r="AL271" s="165" t="s">
        <v>2429</v>
      </c>
      <c r="AM271" s="109" t="s">
        <v>2429</v>
      </c>
      <c r="AN271" s="109" t="s">
        <v>2430</v>
      </c>
      <c r="AO271" s="109" t="s">
        <v>2419</v>
      </c>
      <c r="AP271" s="109" t="s">
        <v>2413</v>
      </c>
      <c r="AQ271" s="109" t="s">
        <v>2413</v>
      </c>
      <c r="AR271" s="109" t="s">
        <v>2445</v>
      </c>
      <c r="AS271" s="166" t="s">
        <v>2414</v>
      </c>
      <c r="AT271" s="165" t="s">
        <v>676</v>
      </c>
      <c r="AU271" s="109" t="s">
        <v>676</v>
      </c>
      <c r="AV271" s="109" t="s">
        <v>676</v>
      </c>
      <c r="AW271" s="109" t="s">
        <v>676</v>
      </c>
      <c r="AX271" s="109" t="s">
        <v>676</v>
      </c>
      <c r="AY271" s="109" t="s">
        <v>676</v>
      </c>
      <c r="AZ271" s="166" t="s">
        <v>676</v>
      </c>
      <c r="BA271" s="162" t="s">
        <v>2850</v>
      </c>
      <c r="BB271" s="109" t="s">
        <v>82</v>
      </c>
      <c r="BC271" s="109" t="s">
        <v>2431</v>
      </c>
    </row>
    <row r="272" spans="1:55" ht="75" customHeight="1">
      <c r="A272" s="109" t="s">
        <v>2422</v>
      </c>
      <c r="B272" s="109" t="s">
        <v>2017</v>
      </c>
      <c r="C272" s="109" t="s">
        <v>2408</v>
      </c>
      <c r="D272" s="109" t="s">
        <v>2423</v>
      </c>
      <c r="E272" s="161">
        <v>15000</v>
      </c>
      <c r="F272" s="165" t="s">
        <v>2423</v>
      </c>
      <c r="G272" s="109" t="s">
        <v>2423</v>
      </c>
      <c r="H272" s="109" t="s">
        <v>48</v>
      </c>
      <c r="I272" s="109" t="s">
        <v>48</v>
      </c>
      <c r="J272" s="109" t="s">
        <v>48</v>
      </c>
      <c r="K272" s="109" t="s">
        <v>48</v>
      </c>
      <c r="L272" s="109" t="s">
        <v>48</v>
      </c>
      <c r="M272" s="166" t="s">
        <v>2410</v>
      </c>
      <c r="N272" s="108" t="s">
        <v>48</v>
      </c>
      <c r="O272" s="109" t="s">
        <v>48</v>
      </c>
      <c r="P272" s="162" t="s">
        <v>48</v>
      </c>
      <c r="Q272" s="109" t="s">
        <v>48</v>
      </c>
      <c r="R272" s="109" t="s">
        <v>48</v>
      </c>
      <c r="S272" s="109" t="s">
        <v>48</v>
      </c>
      <c r="T272" s="109" t="s">
        <v>48</v>
      </c>
      <c r="U272" s="109" t="s">
        <v>48</v>
      </c>
      <c r="V272" s="166" t="s">
        <v>48</v>
      </c>
      <c r="W272" s="165" t="s">
        <v>2423</v>
      </c>
      <c r="X272" s="109" t="s">
        <v>2423</v>
      </c>
      <c r="Y272" s="109" t="s">
        <v>48</v>
      </c>
      <c r="Z272" s="109" t="s">
        <v>48</v>
      </c>
      <c r="AA272" s="109" t="s">
        <v>48</v>
      </c>
      <c r="AB272" s="109" t="s">
        <v>48</v>
      </c>
      <c r="AC272" s="109" t="s">
        <v>48</v>
      </c>
      <c r="AD272" s="166" t="s">
        <v>48</v>
      </c>
      <c r="AE272" s="165" t="s">
        <v>48</v>
      </c>
      <c r="AF272" s="109" t="s">
        <v>48</v>
      </c>
      <c r="AG272" s="109" t="s">
        <v>48</v>
      </c>
      <c r="AH272" s="109" t="s">
        <v>48</v>
      </c>
      <c r="AI272" s="109" t="s">
        <v>48</v>
      </c>
      <c r="AJ272" s="109" t="s">
        <v>48</v>
      </c>
      <c r="AK272" s="166" t="s">
        <v>48</v>
      </c>
      <c r="AL272" s="165" t="s">
        <v>2423</v>
      </c>
      <c r="AM272" s="109" t="s">
        <v>2423</v>
      </c>
      <c r="AN272" s="109" t="s">
        <v>2454</v>
      </c>
      <c r="AO272" s="109" t="s">
        <v>2419</v>
      </c>
      <c r="AP272" s="109" t="s">
        <v>2413</v>
      </c>
      <c r="AQ272" s="109" t="s">
        <v>2413</v>
      </c>
      <c r="AR272" s="109" t="s">
        <v>2424</v>
      </c>
      <c r="AS272" s="166" t="s">
        <v>2425</v>
      </c>
      <c r="AT272" s="165" t="s">
        <v>676</v>
      </c>
      <c r="AU272" s="109" t="s">
        <v>676</v>
      </c>
      <c r="AV272" s="109" t="s">
        <v>676</v>
      </c>
      <c r="AW272" s="109" t="s">
        <v>676</v>
      </c>
      <c r="AX272" s="109" t="s">
        <v>676</v>
      </c>
      <c r="AY272" s="109" t="s">
        <v>676</v>
      </c>
      <c r="AZ272" s="166" t="s">
        <v>676</v>
      </c>
      <c r="BA272" s="162" t="s">
        <v>2850</v>
      </c>
      <c r="BB272" s="109" t="s">
        <v>82</v>
      </c>
      <c r="BC272" s="109" t="s">
        <v>2426</v>
      </c>
    </row>
    <row r="273" spans="1:55" ht="75" hidden="1" customHeight="1">
      <c r="A273" s="109" t="s">
        <v>2432</v>
      </c>
      <c r="B273" s="109" t="s">
        <v>2015</v>
      </c>
      <c r="C273" s="109" t="s">
        <v>2408</v>
      </c>
      <c r="D273" s="109" t="s">
        <v>2433</v>
      </c>
      <c r="E273" s="161">
        <v>15000</v>
      </c>
      <c r="F273" s="165" t="s">
        <v>2433</v>
      </c>
      <c r="G273" s="109" t="s">
        <v>2433</v>
      </c>
      <c r="H273" s="109" t="s">
        <v>48</v>
      </c>
      <c r="I273" s="109" t="s">
        <v>48</v>
      </c>
      <c r="J273" s="109" t="s">
        <v>48</v>
      </c>
      <c r="K273" s="109" t="s">
        <v>48</v>
      </c>
      <c r="L273" s="109" t="s">
        <v>48</v>
      </c>
      <c r="M273" s="166" t="s">
        <v>2410</v>
      </c>
      <c r="N273" s="108" t="s">
        <v>48</v>
      </c>
      <c r="O273" s="109" t="s">
        <v>48</v>
      </c>
      <c r="P273" s="162" t="s">
        <v>48</v>
      </c>
      <c r="Q273" s="109" t="s">
        <v>48</v>
      </c>
      <c r="R273" s="109" t="s">
        <v>48</v>
      </c>
      <c r="S273" s="109" t="s">
        <v>48</v>
      </c>
      <c r="T273" s="109" t="s">
        <v>48</v>
      </c>
      <c r="U273" s="109" t="s">
        <v>48</v>
      </c>
      <c r="V273" s="166" t="s">
        <v>48</v>
      </c>
      <c r="W273" s="165" t="s">
        <v>2433</v>
      </c>
      <c r="X273" s="109" t="s">
        <v>2433</v>
      </c>
      <c r="Y273" s="109" t="s">
        <v>48</v>
      </c>
      <c r="Z273" s="109" t="s">
        <v>48</v>
      </c>
      <c r="AA273" s="109" t="s">
        <v>48</v>
      </c>
      <c r="AB273" s="109" t="s">
        <v>48</v>
      </c>
      <c r="AC273" s="109" t="s">
        <v>48</v>
      </c>
      <c r="AD273" s="166" t="s">
        <v>48</v>
      </c>
      <c r="AE273" s="165" t="s">
        <v>48</v>
      </c>
      <c r="AF273" s="109" t="s">
        <v>48</v>
      </c>
      <c r="AG273" s="109" t="s">
        <v>48</v>
      </c>
      <c r="AH273" s="109" t="s">
        <v>48</v>
      </c>
      <c r="AI273" s="109" t="s">
        <v>48</v>
      </c>
      <c r="AJ273" s="109" t="s">
        <v>48</v>
      </c>
      <c r="AK273" s="166" t="s">
        <v>48</v>
      </c>
      <c r="AL273" s="109" t="s">
        <v>2586</v>
      </c>
      <c r="AM273" s="109" t="s">
        <v>2586</v>
      </c>
      <c r="AN273" s="109" t="s">
        <v>2587</v>
      </c>
      <c r="AO273" s="109" t="s">
        <v>2419</v>
      </c>
      <c r="AP273" s="109" t="s">
        <v>2413</v>
      </c>
      <c r="AQ273" s="109" t="s">
        <v>2413</v>
      </c>
      <c r="AR273" s="109" t="s">
        <v>2588</v>
      </c>
      <c r="AS273" s="166" t="s">
        <v>2589</v>
      </c>
      <c r="AT273" s="165" t="s">
        <v>676</v>
      </c>
      <c r="AU273" s="109" t="s">
        <v>676</v>
      </c>
      <c r="AV273" s="109" t="s">
        <v>676</v>
      </c>
      <c r="AW273" s="109" t="s">
        <v>676</v>
      </c>
      <c r="AX273" s="109" t="s">
        <v>676</v>
      </c>
      <c r="AY273" s="109" t="s">
        <v>676</v>
      </c>
      <c r="AZ273" s="166" t="s">
        <v>676</v>
      </c>
      <c r="BA273" s="162" t="s">
        <v>2852</v>
      </c>
      <c r="BB273" s="109" t="s">
        <v>82</v>
      </c>
      <c r="BC273" s="109" t="s">
        <v>2436</v>
      </c>
    </row>
    <row r="274" spans="1:55" ht="75" hidden="1" customHeight="1">
      <c r="A274" s="109" t="s">
        <v>2444</v>
      </c>
      <c r="B274" s="109" t="s">
        <v>2016</v>
      </c>
      <c r="C274" s="109" t="s">
        <v>2408</v>
      </c>
      <c r="D274" s="109" t="s">
        <v>2433</v>
      </c>
      <c r="E274" s="161">
        <v>15000</v>
      </c>
      <c r="F274" s="165" t="s">
        <v>2433</v>
      </c>
      <c r="G274" s="109" t="s">
        <v>2433</v>
      </c>
      <c r="H274" s="109" t="s">
        <v>48</v>
      </c>
      <c r="I274" s="109" t="s">
        <v>48</v>
      </c>
      <c r="J274" s="109" t="s">
        <v>48</v>
      </c>
      <c r="K274" s="109" t="s">
        <v>48</v>
      </c>
      <c r="L274" s="109" t="s">
        <v>48</v>
      </c>
      <c r="M274" s="166" t="s">
        <v>2410</v>
      </c>
      <c r="N274" s="108" t="s">
        <v>48</v>
      </c>
      <c r="O274" s="109" t="s">
        <v>48</v>
      </c>
      <c r="P274" s="162" t="s">
        <v>48</v>
      </c>
      <c r="Q274" s="109" t="s">
        <v>48</v>
      </c>
      <c r="R274" s="109" t="s">
        <v>48</v>
      </c>
      <c r="S274" s="109" t="s">
        <v>48</v>
      </c>
      <c r="T274" s="109" t="s">
        <v>48</v>
      </c>
      <c r="U274" s="109" t="s">
        <v>48</v>
      </c>
      <c r="V274" s="166" t="s">
        <v>48</v>
      </c>
      <c r="W274" s="165" t="s">
        <v>2433</v>
      </c>
      <c r="X274" s="109" t="s">
        <v>2433</v>
      </c>
      <c r="Y274" s="109" t="s">
        <v>48</v>
      </c>
      <c r="Z274" s="109" t="s">
        <v>48</v>
      </c>
      <c r="AA274" s="109" t="s">
        <v>48</v>
      </c>
      <c r="AB274" s="109" t="s">
        <v>48</v>
      </c>
      <c r="AC274" s="109" t="s">
        <v>48</v>
      </c>
      <c r="AD274" s="166" t="s">
        <v>48</v>
      </c>
      <c r="AE274" s="165" t="s">
        <v>48</v>
      </c>
      <c r="AF274" s="109" t="s">
        <v>48</v>
      </c>
      <c r="AG274" s="109" t="s">
        <v>48</v>
      </c>
      <c r="AH274" s="109" t="s">
        <v>48</v>
      </c>
      <c r="AI274" s="109" t="s">
        <v>48</v>
      </c>
      <c r="AJ274" s="109" t="s">
        <v>48</v>
      </c>
      <c r="AK274" s="166" t="s">
        <v>48</v>
      </c>
      <c r="AL274" s="109" t="s">
        <v>2586</v>
      </c>
      <c r="AM274" s="109" t="s">
        <v>2586</v>
      </c>
      <c r="AN274" s="109" t="s">
        <v>2587</v>
      </c>
      <c r="AO274" s="109" t="s">
        <v>2419</v>
      </c>
      <c r="AP274" s="109" t="s">
        <v>2413</v>
      </c>
      <c r="AQ274" s="109" t="s">
        <v>2413</v>
      </c>
      <c r="AR274" s="109" t="s">
        <v>2588</v>
      </c>
      <c r="AS274" s="166" t="s">
        <v>2589</v>
      </c>
      <c r="AT274" s="165" t="s">
        <v>676</v>
      </c>
      <c r="AU274" s="109" t="s">
        <v>676</v>
      </c>
      <c r="AV274" s="109" t="s">
        <v>676</v>
      </c>
      <c r="AW274" s="109" t="s">
        <v>676</v>
      </c>
      <c r="AX274" s="109" t="s">
        <v>676</v>
      </c>
      <c r="AY274" s="109" t="s">
        <v>676</v>
      </c>
      <c r="AZ274" s="166" t="s">
        <v>676</v>
      </c>
      <c r="BA274" s="162" t="s">
        <v>2852</v>
      </c>
      <c r="BB274" s="109" t="s">
        <v>82</v>
      </c>
      <c r="BC274" s="109" t="s">
        <v>2436</v>
      </c>
    </row>
    <row r="275" spans="1:55" ht="75" hidden="1" customHeight="1">
      <c r="A275" s="109" t="s">
        <v>2443</v>
      </c>
      <c r="B275" s="109" t="s">
        <v>2016</v>
      </c>
      <c r="C275" s="109" t="s">
        <v>2408</v>
      </c>
      <c r="D275" s="109" t="s">
        <v>2433</v>
      </c>
      <c r="E275" s="161">
        <v>15000</v>
      </c>
      <c r="F275" s="165" t="s">
        <v>2433</v>
      </c>
      <c r="G275" s="109" t="s">
        <v>2433</v>
      </c>
      <c r="H275" s="109" t="s">
        <v>48</v>
      </c>
      <c r="I275" s="109" t="s">
        <v>48</v>
      </c>
      <c r="J275" s="109" t="s">
        <v>48</v>
      </c>
      <c r="K275" s="109" t="s">
        <v>48</v>
      </c>
      <c r="L275" s="109" t="s">
        <v>48</v>
      </c>
      <c r="M275" s="166" t="s">
        <v>2410</v>
      </c>
      <c r="N275" s="108" t="s">
        <v>48</v>
      </c>
      <c r="O275" s="109" t="s">
        <v>48</v>
      </c>
      <c r="P275" s="162" t="s">
        <v>48</v>
      </c>
      <c r="Q275" s="109" t="s">
        <v>48</v>
      </c>
      <c r="R275" s="109" t="s">
        <v>48</v>
      </c>
      <c r="S275" s="109" t="s">
        <v>48</v>
      </c>
      <c r="T275" s="109" t="s">
        <v>48</v>
      </c>
      <c r="U275" s="109" t="s">
        <v>48</v>
      </c>
      <c r="V275" s="166" t="s">
        <v>48</v>
      </c>
      <c r="W275" s="165" t="s">
        <v>2433</v>
      </c>
      <c r="X275" s="109" t="s">
        <v>2433</v>
      </c>
      <c r="Y275" s="109" t="s">
        <v>48</v>
      </c>
      <c r="Z275" s="109" t="s">
        <v>48</v>
      </c>
      <c r="AA275" s="109" t="s">
        <v>48</v>
      </c>
      <c r="AB275" s="109" t="s">
        <v>48</v>
      </c>
      <c r="AC275" s="109" t="s">
        <v>48</v>
      </c>
      <c r="AD275" s="166" t="s">
        <v>48</v>
      </c>
      <c r="AE275" s="165" t="s">
        <v>48</v>
      </c>
      <c r="AF275" s="109" t="s">
        <v>48</v>
      </c>
      <c r="AG275" s="109" t="s">
        <v>48</v>
      </c>
      <c r="AH275" s="109" t="s">
        <v>48</v>
      </c>
      <c r="AI275" s="109" t="s">
        <v>48</v>
      </c>
      <c r="AJ275" s="109" t="s">
        <v>48</v>
      </c>
      <c r="AK275" s="166" t="s">
        <v>48</v>
      </c>
      <c r="AL275" s="109" t="s">
        <v>2586</v>
      </c>
      <c r="AM275" s="109" t="s">
        <v>2586</v>
      </c>
      <c r="AN275" s="109" t="s">
        <v>2587</v>
      </c>
      <c r="AO275" s="109" t="s">
        <v>2419</v>
      </c>
      <c r="AP275" s="109" t="s">
        <v>2413</v>
      </c>
      <c r="AQ275" s="109" t="s">
        <v>2413</v>
      </c>
      <c r="AR275" s="109" t="s">
        <v>2588</v>
      </c>
      <c r="AS275" s="166" t="s">
        <v>2589</v>
      </c>
      <c r="AT275" s="165" t="s">
        <v>676</v>
      </c>
      <c r="AU275" s="109" t="s">
        <v>676</v>
      </c>
      <c r="AV275" s="109" t="s">
        <v>676</v>
      </c>
      <c r="AW275" s="109" t="s">
        <v>676</v>
      </c>
      <c r="AX275" s="109" t="s">
        <v>676</v>
      </c>
      <c r="AY275" s="109" t="s">
        <v>676</v>
      </c>
      <c r="AZ275" s="166" t="s">
        <v>676</v>
      </c>
      <c r="BA275" s="162" t="s">
        <v>2852</v>
      </c>
      <c r="BB275" s="109" t="s">
        <v>82</v>
      </c>
      <c r="BC275" s="109" t="s">
        <v>2436</v>
      </c>
    </row>
    <row r="276" spans="1:55" ht="75" hidden="1" customHeight="1">
      <c r="A276" s="109" t="s">
        <v>2438</v>
      </c>
      <c r="B276" s="109" t="s">
        <v>2483</v>
      </c>
      <c r="C276" s="109" t="s">
        <v>2408</v>
      </c>
      <c r="D276" s="109" t="s">
        <v>2433</v>
      </c>
      <c r="E276" s="161">
        <v>15000</v>
      </c>
      <c r="F276" s="165" t="s">
        <v>2433</v>
      </c>
      <c r="G276" s="109" t="s">
        <v>2433</v>
      </c>
      <c r="H276" s="109" t="s">
        <v>48</v>
      </c>
      <c r="I276" s="109" t="s">
        <v>48</v>
      </c>
      <c r="J276" s="109" t="s">
        <v>48</v>
      </c>
      <c r="K276" s="109" t="s">
        <v>48</v>
      </c>
      <c r="L276" s="109" t="s">
        <v>48</v>
      </c>
      <c r="M276" s="166" t="s">
        <v>2410</v>
      </c>
      <c r="N276" s="108" t="s">
        <v>48</v>
      </c>
      <c r="O276" s="109" t="s">
        <v>48</v>
      </c>
      <c r="P276" s="162" t="s">
        <v>48</v>
      </c>
      <c r="Q276" s="109" t="s">
        <v>48</v>
      </c>
      <c r="R276" s="109" t="s">
        <v>48</v>
      </c>
      <c r="S276" s="109" t="s">
        <v>48</v>
      </c>
      <c r="T276" s="109" t="s">
        <v>48</v>
      </c>
      <c r="U276" s="109" t="s">
        <v>48</v>
      </c>
      <c r="V276" s="166" t="s">
        <v>48</v>
      </c>
      <c r="W276" s="165" t="s">
        <v>2433</v>
      </c>
      <c r="X276" s="109" t="s">
        <v>2433</v>
      </c>
      <c r="Y276" s="109" t="s">
        <v>48</v>
      </c>
      <c r="Z276" s="109" t="s">
        <v>48</v>
      </c>
      <c r="AA276" s="109" t="s">
        <v>48</v>
      </c>
      <c r="AB276" s="109" t="s">
        <v>48</v>
      </c>
      <c r="AC276" s="109" t="s">
        <v>48</v>
      </c>
      <c r="AD276" s="166" t="s">
        <v>48</v>
      </c>
      <c r="AE276" s="165" t="s">
        <v>48</v>
      </c>
      <c r="AF276" s="109" t="s">
        <v>48</v>
      </c>
      <c r="AG276" s="109" t="s">
        <v>48</v>
      </c>
      <c r="AH276" s="109" t="s">
        <v>48</v>
      </c>
      <c r="AI276" s="109" t="s">
        <v>48</v>
      </c>
      <c r="AJ276" s="109" t="s">
        <v>48</v>
      </c>
      <c r="AK276" s="166" t="s">
        <v>48</v>
      </c>
      <c r="AL276" s="109" t="s">
        <v>2586</v>
      </c>
      <c r="AM276" s="109" t="s">
        <v>2586</v>
      </c>
      <c r="AN276" s="109" t="s">
        <v>2587</v>
      </c>
      <c r="AO276" s="109" t="s">
        <v>2419</v>
      </c>
      <c r="AP276" s="109" t="s">
        <v>2413</v>
      </c>
      <c r="AQ276" s="109" t="s">
        <v>2413</v>
      </c>
      <c r="AR276" s="109" t="s">
        <v>2588</v>
      </c>
      <c r="AS276" s="166" t="s">
        <v>2589</v>
      </c>
      <c r="AT276" s="165" t="s">
        <v>676</v>
      </c>
      <c r="AU276" s="109" t="s">
        <v>676</v>
      </c>
      <c r="AV276" s="109" t="s">
        <v>676</v>
      </c>
      <c r="AW276" s="109" t="s">
        <v>676</v>
      </c>
      <c r="AX276" s="109" t="s">
        <v>676</v>
      </c>
      <c r="AY276" s="109" t="s">
        <v>676</v>
      </c>
      <c r="AZ276" s="166" t="s">
        <v>676</v>
      </c>
      <c r="BA276" s="162" t="s">
        <v>2852</v>
      </c>
      <c r="BB276" s="109" t="s">
        <v>82</v>
      </c>
      <c r="BC276" s="109" t="s">
        <v>2436</v>
      </c>
    </row>
    <row r="277" spans="1:55" ht="75" customHeight="1">
      <c r="A277" s="109" t="s">
        <v>2437</v>
      </c>
      <c r="B277" s="109" t="s">
        <v>2030</v>
      </c>
      <c r="C277" s="109" t="s">
        <v>2408</v>
      </c>
      <c r="D277" s="109" t="s">
        <v>2433</v>
      </c>
      <c r="E277" s="161">
        <v>15000</v>
      </c>
      <c r="F277" s="165" t="s">
        <v>2433</v>
      </c>
      <c r="G277" s="109" t="s">
        <v>2433</v>
      </c>
      <c r="H277" s="109" t="s">
        <v>48</v>
      </c>
      <c r="I277" s="109" t="s">
        <v>48</v>
      </c>
      <c r="J277" s="109" t="s">
        <v>48</v>
      </c>
      <c r="K277" s="109" t="s">
        <v>48</v>
      </c>
      <c r="L277" s="109" t="s">
        <v>48</v>
      </c>
      <c r="M277" s="166" t="s">
        <v>2410</v>
      </c>
      <c r="N277" s="108" t="s">
        <v>48</v>
      </c>
      <c r="O277" s="109" t="s">
        <v>48</v>
      </c>
      <c r="P277" s="162" t="s">
        <v>48</v>
      </c>
      <c r="Q277" s="109" t="s">
        <v>48</v>
      </c>
      <c r="R277" s="109" t="s">
        <v>48</v>
      </c>
      <c r="S277" s="109" t="s">
        <v>48</v>
      </c>
      <c r="T277" s="109" t="s">
        <v>48</v>
      </c>
      <c r="U277" s="109" t="s">
        <v>48</v>
      </c>
      <c r="V277" s="166" t="s">
        <v>48</v>
      </c>
      <c r="W277" s="165" t="s">
        <v>2433</v>
      </c>
      <c r="X277" s="109" t="s">
        <v>2433</v>
      </c>
      <c r="Y277" s="109" t="s">
        <v>48</v>
      </c>
      <c r="Z277" s="109" t="s">
        <v>48</v>
      </c>
      <c r="AA277" s="109" t="s">
        <v>48</v>
      </c>
      <c r="AB277" s="109" t="s">
        <v>48</v>
      </c>
      <c r="AC277" s="109" t="s">
        <v>48</v>
      </c>
      <c r="AD277" s="166" t="s">
        <v>48</v>
      </c>
      <c r="AE277" s="165" t="s">
        <v>48</v>
      </c>
      <c r="AF277" s="109" t="s">
        <v>48</v>
      </c>
      <c r="AG277" s="109" t="s">
        <v>48</v>
      </c>
      <c r="AH277" s="109" t="s">
        <v>48</v>
      </c>
      <c r="AI277" s="109" t="s">
        <v>48</v>
      </c>
      <c r="AJ277" s="109" t="s">
        <v>48</v>
      </c>
      <c r="AK277" s="166" t="s">
        <v>48</v>
      </c>
      <c r="AL277" s="109" t="s">
        <v>2433</v>
      </c>
      <c r="AM277" s="109" t="s">
        <v>2433</v>
      </c>
      <c r="AN277" s="109" t="s">
        <v>48</v>
      </c>
      <c r="AO277" s="109" t="s">
        <v>48</v>
      </c>
      <c r="AP277" s="109" t="s">
        <v>48</v>
      </c>
      <c r="AQ277" s="109" t="s">
        <v>48</v>
      </c>
      <c r="AR277" s="109" t="s">
        <v>48</v>
      </c>
      <c r="AS277" s="166" t="s">
        <v>2589</v>
      </c>
      <c r="AT277" s="165" t="s">
        <v>676</v>
      </c>
      <c r="AU277" s="109" t="s">
        <v>676</v>
      </c>
      <c r="AV277" s="109" t="s">
        <v>676</v>
      </c>
      <c r="AW277" s="109" t="s">
        <v>676</v>
      </c>
      <c r="AX277" s="109" t="s">
        <v>676</v>
      </c>
      <c r="AY277" s="109" t="s">
        <v>676</v>
      </c>
      <c r="AZ277" s="166" t="s">
        <v>676</v>
      </c>
      <c r="BA277" s="162" t="s">
        <v>2850</v>
      </c>
      <c r="BB277" s="109" t="s">
        <v>82</v>
      </c>
      <c r="BC277" s="109" t="s">
        <v>2436</v>
      </c>
    </row>
    <row r="278" spans="1:55" ht="75" hidden="1" customHeight="1">
      <c r="A278" s="109" t="s">
        <v>1115</v>
      </c>
      <c r="B278" s="109" t="s">
        <v>2030</v>
      </c>
      <c r="C278" s="109" t="s">
        <v>2408</v>
      </c>
      <c r="D278" s="109" t="s">
        <v>2433</v>
      </c>
      <c r="E278" s="161">
        <v>15000</v>
      </c>
      <c r="F278" s="165" t="s">
        <v>2433</v>
      </c>
      <c r="G278" s="109" t="s">
        <v>2433</v>
      </c>
      <c r="H278" s="109" t="s">
        <v>48</v>
      </c>
      <c r="I278" s="109" t="s">
        <v>48</v>
      </c>
      <c r="J278" s="109" t="s">
        <v>48</v>
      </c>
      <c r="K278" s="109" t="s">
        <v>48</v>
      </c>
      <c r="L278" s="109" t="s">
        <v>48</v>
      </c>
      <c r="M278" s="166" t="s">
        <v>2410</v>
      </c>
      <c r="N278" s="108" t="s">
        <v>48</v>
      </c>
      <c r="O278" s="109" t="s">
        <v>48</v>
      </c>
      <c r="P278" s="162" t="s">
        <v>48</v>
      </c>
      <c r="Q278" s="109" t="s">
        <v>48</v>
      </c>
      <c r="R278" s="109" t="s">
        <v>48</v>
      </c>
      <c r="S278" s="109" t="s">
        <v>48</v>
      </c>
      <c r="T278" s="109" t="s">
        <v>48</v>
      </c>
      <c r="U278" s="109" t="s">
        <v>48</v>
      </c>
      <c r="V278" s="166" t="s">
        <v>48</v>
      </c>
      <c r="W278" s="165" t="s">
        <v>2433</v>
      </c>
      <c r="X278" s="109" t="s">
        <v>2433</v>
      </c>
      <c r="Y278" s="109" t="s">
        <v>48</v>
      </c>
      <c r="Z278" s="109" t="s">
        <v>48</v>
      </c>
      <c r="AA278" s="109" t="s">
        <v>48</v>
      </c>
      <c r="AB278" s="109" t="s">
        <v>48</v>
      </c>
      <c r="AC278" s="109" t="s">
        <v>48</v>
      </c>
      <c r="AD278" s="166" t="s">
        <v>48</v>
      </c>
      <c r="AE278" s="165" t="s">
        <v>48</v>
      </c>
      <c r="AF278" s="109" t="s">
        <v>48</v>
      </c>
      <c r="AG278" s="109" t="s">
        <v>48</v>
      </c>
      <c r="AH278" s="109" t="s">
        <v>48</v>
      </c>
      <c r="AI278" s="109" t="s">
        <v>48</v>
      </c>
      <c r="AJ278" s="109" t="s">
        <v>48</v>
      </c>
      <c r="AK278" s="166" t="s">
        <v>48</v>
      </c>
      <c r="AL278" s="109" t="s">
        <v>2433</v>
      </c>
      <c r="AM278" s="109" t="s">
        <v>2433</v>
      </c>
      <c r="AN278" s="109" t="s">
        <v>48</v>
      </c>
      <c r="AO278" s="109" t="s">
        <v>48</v>
      </c>
      <c r="AP278" s="109" t="s">
        <v>48</v>
      </c>
      <c r="AQ278" s="109" t="s">
        <v>48</v>
      </c>
      <c r="AR278" s="109" t="s">
        <v>48</v>
      </c>
      <c r="AS278" s="166" t="s">
        <v>2414</v>
      </c>
      <c r="AT278" s="165" t="s">
        <v>676</v>
      </c>
      <c r="AU278" s="109" t="s">
        <v>676</v>
      </c>
      <c r="AV278" s="109" t="s">
        <v>676</v>
      </c>
      <c r="AW278" s="109" t="s">
        <v>676</v>
      </c>
      <c r="AX278" s="109" t="s">
        <v>676</v>
      </c>
      <c r="AY278" s="109" t="s">
        <v>676</v>
      </c>
      <c r="AZ278" s="166" t="s">
        <v>676</v>
      </c>
      <c r="BA278" s="162" t="s">
        <v>2850</v>
      </c>
      <c r="BB278" s="109" t="s">
        <v>82</v>
      </c>
      <c r="BC278" s="109" t="s">
        <v>2436</v>
      </c>
    </row>
    <row r="279" spans="1:55" ht="75" hidden="1" customHeight="1">
      <c r="A279" s="109" t="s">
        <v>675</v>
      </c>
      <c r="B279" s="117" t="s">
        <v>2416</v>
      </c>
      <c r="C279" s="109" t="s">
        <v>2408</v>
      </c>
      <c r="D279" s="109" t="s">
        <v>2439</v>
      </c>
      <c r="E279" s="161">
        <v>15000</v>
      </c>
      <c r="F279" s="165" t="s">
        <v>2439</v>
      </c>
      <c r="G279" s="109" t="s">
        <v>2439</v>
      </c>
      <c r="H279" s="109" t="s">
        <v>48</v>
      </c>
      <c r="I279" s="109" t="s">
        <v>48</v>
      </c>
      <c r="J279" s="109" t="s">
        <v>48</v>
      </c>
      <c r="K279" s="109" t="s">
        <v>48</v>
      </c>
      <c r="L279" s="109" t="s">
        <v>48</v>
      </c>
      <c r="M279" s="166" t="s">
        <v>2410</v>
      </c>
      <c r="N279" s="108" t="s">
        <v>48</v>
      </c>
      <c r="O279" s="109" t="s">
        <v>48</v>
      </c>
      <c r="P279" s="162" t="s">
        <v>48</v>
      </c>
      <c r="Q279" s="109" t="s">
        <v>48</v>
      </c>
      <c r="R279" s="109" t="s">
        <v>48</v>
      </c>
      <c r="S279" s="109" t="s">
        <v>48</v>
      </c>
      <c r="T279" s="109" t="s">
        <v>48</v>
      </c>
      <c r="U279" s="109" t="s">
        <v>48</v>
      </c>
      <c r="V279" s="166" t="s">
        <v>48</v>
      </c>
      <c r="W279" s="165" t="s">
        <v>2439</v>
      </c>
      <c r="X279" s="109" t="s">
        <v>2439</v>
      </c>
      <c r="Y279" s="109" t="s">
        <v>48</v>
      </c>
      <c r="Z279" s="109" t="s">
        <v>48</v>
      </c>
      <c r="AA279" s="109" t="s">
        <v>48</v>
      </c>
      <c r="AB279" s="109" t="s">
        <v>48</v>
      </c>
      <c r="AC279" s="109" t="s">
        <v>48</v>
      </c>
      <c r="AD279" s="166" t="s">
        <v>48</v>
      </c>
      <c r="AE279" s="165" t="s">
        <v>48</v>
      </c>
      <c r="AF279" s="109" t="s">
        <v>48</v>
      </c>
      <c r="AG279" s="109" t="s">
        <v>48</v>
      </c>
      <c r="AH279" s="109" t="s">
        <v>48</v>
      </c>
      <c r="AI279" s="109" t="s">
        <v>48</v>
      </c>
      <c r="AJ279" s="109" t="s">
        <v>48</v>
      </c>
      <c r="AK279" s="166" t="s">
        <v>48</v>
      </c>
      <c r="AL279" s="165" t="s">
        <v>2439</v>
      </c>
      <c r="AM279" s="109" t="s">
        <v>2439</v>
      </c>
      <c r="AN279" s="109" t="s">
        <v>2440</v>
      </c>
      <c r="AO279" s="109" t="s">
        <v>2412</v>
      </c>
      <c r="AP279" s="109" t="s">
        <v>2413</v>
      </c>
      <c r="AQ279" s="109" t="s">
        <v>2413</v>
      </c>
      <c r="AR279" s="109" t="s">
        <v>2441</v>
      </c>
      <c r="AS279" s="166" t="s">
        <v>2414</v>
      </c>
      <c r="AT279" s="165" t="s">
        <v>676</v>
      </c>
      <c r="AU279" s="109" t="s">
        <v>676</v>
      </c>
      <c r="AV279" s="109" t="s">
        <v>676</v>
      </c>
      <c r="AW279" s="109" t="s">
        <v>676</v>
      </c>
      <c r="AX279" s="109" t="s">
        <v>676</v>
      </c>
      <c r="AY279" s="109" t="s">
        <v>676</v>
      </c>
      <c r="AZ279" s="166" t="s">
        <v>676</v>
      </c>
      <c r="BA279" s="162" t="s">
        <v>2850</v>
      </c>
      <c r="BB279" s="109" t="s">
        <v>82</v>
      </c>
      <c r="BC279" s="109" t="s">
        <v>2442</v>
      </c>
    </row>
    <row r="280" spans="1:55" ht="75" hidden="1" customHeight="1">
      <c r="A280" s="1" t="s">
        <v>2513</v>
      </c>
      <c r="B280" s="109" t="s">
        <v>2532</v>
      </c>
      <c r="C280" s="109" t="s">
        <v>2408</v>
      </c>
      <c r="D280" s="109" t="s">
        <v>2528</v>
      </c>
      <c r="E280" s="161">
        <v>15000</v>
      </c>
      <c r="F280" s="165" t="s">
        <v>2528</v>
      </c>
      <c r="G280" s="109" t="s">
        <v>2528</v>
      </c>
      <c r="H280" s="109" t="s">
        <v>2533</v>
      </c>
      <c r="I280" s="109" t="s">
        <v>2533</v>
      </c>
      <c r="J280" s="109" t="s">
        <v>2533</v>
      </c>
      <c r="K280" s="109" t="s">
        <v>2533</v>
      </c>
      <c r="L280" s="109" t="s">
        <v>2533</v>
      </c>
      <c r="M280" s="166" t="s">
        <v>2533</v>
      </c>
      <c r="N280" s="108" t="s">
        <v>48</v>
      </c>
      <c r="O280" s="109" t="s">
        <v>48</v>
      </c>
      <c r="P280" s="162" t="s">
        <v>2533</v>
      </c>
      <c r="Q280" s="109" t="s">
        <v>2533</v>
      </c>
      <c r="R280" s="109" t="s">
        <v>2533</v>
      </c>
      <c r="S280" s="109" t="s">
        <v>2533</v>
      </c>
      <c r="T280" s="109" t="s">
        <v>2533</v>
      </c>
      <c r="U280" s="109" t="s">
        <v>2533</v>
      </c>
      <c r="V280" s="166" t="s">
        <v>2533</v>
      </c>
      <c r="W280" s="165" t="s">
        <v>2528</v>
      </c>
      <c r="X280" s="109" t="s">
        <v>2528</v>
      </c>
      <c r="Y280" s="109" t="s">
        <v>48</v>
      </c>
      <c r="Z280" s="109" t="s">
        <v>48</v>
      </c>
      <c r="AA280" s="109" t="s">
        <v>48</v>
      </c>
      <c r="AB280" s="109" t="s">
        <v>48</v>
      </c>
      <c r="AC280" s="109" t="s">
        <v>48</v>
      </c>
      <c r="AD280" s="166" t="s">
        <v>48</v>
      </c>
      <c r="AE280" s="165" t="s">
        <v>48</v>
      </c>
      <c r="AF280" s="109" t="s">
        <v>48</v>
      </c>
      <c r="AG280" s="109" t="s">
        <v>48</v>
      </c>
      <c r="AH280" s="109" t="s">
        <v>48</v>
      </c>
      <c r="AI280" s="109" t="s">
        <v>48</v>
      </c>
      <c r="AJ280" s="109" t="s">
        <v>48</v>
      </c>
      <c r="AK280" s="166" t="s">
        <v>48</v>
      </c>
      <c r="AL280" s="165" t="s">
        <v>2528</v>
      </c>
      <c r="AM280" s="109" t="s">
        <v>2528</v>
      </c>
      <c r="AN280" s="109" t="s">
        <v>676</v>
      </c>
      <c r="AO280" s="109" t="s">
        <v>676</v>
      </c>
      <c r="AP280" s="109" t="s">
        <v>676</v>
      </c>
      <c r="AQ280" s="109" t="s">
        <v>676</v>
      </c>
      <c r="AR280" s="109" t="s">
        <v>676</v>
      </c>
      <c r="AS280" s="166" t="s">
        <v>676</v>
      </c>
      <c r="AT280" s="165" t="s">
        <v>676</v>
      </c>
      <c r="AU280" s="109" t="s">
        <v>676</v>
      </c>
      <c r="AV280" s="109" t="s">
        <v>676</v>
      </c>
      <c r="AW280" s="109" t="s">
        <v>676</v>
      </c>
      <c r="AX280" s="109" t="s">
        <v>676</v>
      </c>
      <c r="AY280" s="109" t="s">
        <v>676</v>
      </c>
      <c r="AZ280" s="166" t="s">
        <v>676</v>
      </c>
      <c r="BA280" s="162" t="s">
        <v>2523</v>
      </c>
      <c r="BB280" s="109" t="s">
        <v>82</v>
      </c>
      <c r="BC280" s="109" t="s">
        <v>2543</v>
      </c>
    </row>
    <row r="281" spans="1:55" ht="75" hidden="1" customHeight="1">
      <c r="A281" s="1" t="s">
        <v>2513</v>
      </c>
      <c r="B281" s="109" t="s">
        <v>2532</v>
      </c>
      <c r="C281" s="109" t="s">
        <v>2408</v>
      </c>
      <c r="D281" s="109" t="s">
        <v>2531</v>
      </c>
      <c r="E281" s="161">
        <v>15000</v>
      </c>
      <c r="F281" s="165" t="s">
        <v>2531</v>
      </c>
      <c r="G281" s="109" t="s">
        <v>2531</v>
      </c>
      <c r="H281" s="109" t="s">
        <v>2533</v>
      </c>
      <c r="I281" s="109" t="s">
        <v>2533</v>
      </c>
      <c r="J281" s="109" t="s">
        <v>2533</v>
      </c>
      <c r="K281" s="109" t="s">
        <v>2533</v>
      </c>
      <c r="L281" s="109" t="s">
        <v>2533</v>
      </c>
      <c r="M281" s="166" t="s">
        <v>2533</v>
      </c>
      <c r="N281" s="108" t="s">
        <v>48</v>
      </c>
      <c r="O281" s="109" t="s">
        <v>48</v>
      </c>
      <c r="P281" s="162" t="s">
        <v>2533</v>
      </c>
      <c r="Q281" s="109" t="s">
        <v>2533</v>
      </c>
      <c r="R281" s="109" t="s">
        <v>2533</v>
      </c>
      <c r="S281" s="109" t="s">
        <v>2533</v>
      </c>
      <c r="T281" s="109" t="s">
        <v>2533</v>
      </c>
      <c r="U281" s="109" t="s">
        <v>2533</v>
      </c>
      <c r="V281" s="166" t="s">
        <v>2533</v>
      </c>
      <c r="W281" s="165" t="s">
        <v>2531</v>
      </c>
      <c r="X281" s="109" t="s">
        <v>2531</v>
      </c>
      <c r="Y281" s="109" t="s">
        <v>48</v>
      </c>
      <c r="Z281" s="109" t="s">
        <v>48</v>
      </c>
      <c r="AA281" s="109" t="s">
        <v>48</v>
      </c>
      <c r="AB281" s="109" t="s">
        <v>48</v>
      </c>
      <c r="AC281" s="109" t="s">
        <v>48</v>
      </c>
      <c r="AD281" s="166" t="s">
        <v>48</v>
      </c>
      <c r="AE281" s="165" t="s">
        <v>48</v>
      </c>
      <c r="AF281" s="109" t="s">
        <v>48</v>
      </c>
      <c r="AG281" s="109" t="s">
        <v>48</v>
      </c>
      <c r="AH281" s="109" t="s">
        <v>48</v>
      </c>
      <c r="AI281" s="109" t="s">
        <v>48</v>
      </c>
      <c r="AJ281" s="109" t="s">
        <v>48</v>
      </c>
      <c r="AK281" s="166" t="s">
        <v>48</v>
      </c>
      <c r="AL281" s="165" t="s">
        <v>2531</v>
      </c>
      <c r="AM281" s="109" t="s">
        <v>2531</v>
      </c>
      <c r="AN281" s="109" t="s">
        <v>2537</v>
      </c>
      <c r="AO281" s="109" t="s">
        <v>2419</v>
      </c>
      <c r="AP281" s="109" t="s">
        <v>48</v>
      </c>
      <c r="AQ281" s="109" t="s">
        <v>48</v>
      </c>
      <c r="AR281" s="109" t="s">
        <v>2538</v>
      </c>
      <c r="AS281" s="166" t="s">
        <v>2539</v>
      </c>
      <c r="AT281" s="165" t="s">
        <v>676</v>
      </c>
      <c r="AU281" s="109" t="s">
        <v>676</v>
      </c>
      <c r="AV281" s="109" t="s">
        <v>676</v>
      </c>
      <c r="AW281" s="109" t="s">
        <v>676</v>
      </c>
      <c r="AX281" s="109" t="s">
        <v>676</v>
      </c>
      <c r="AY281" s="109" t="s">
        <v>676</v>
      </c>
      <c r="AZ281" s="166" t="s">
        <v>676</v>
      </c>
      <c r="BA281" s="162" t="s">
        <v>2523</v>
      </c>
      <c r="BB281" s="109" t="s">
        <v>82</v>
      </c>
      <c r="BC281" s="109" t="s">
        <v>2543</v>
      </c>
    </row>
    <row r="282" spans="1:55" ht="75" hidden="1" customHeight="1">
      <c r="A282" s="1" t="s">
        <v>2524</v>
      </c>
      <c r="B282" s="109" t="s">
        <v>2535</v>
      </c>
      <c r="C282" s="109" t="s">
        <v>2408</v>
      </c>
      <c r="D282" s="109" t="s">
        <v>2531</v>
      </c>
      <c r="E282" s="161">
        <v>15000</v>
      </c>
      <c r="F282" s="165" t="s">
        <v>2531</v>
      </c>
      <c r="G282" s="109" t="s">
        <v>2531</v>
      </c>
      <c r="H282" s="109" t="s">
        <v>2533</v>
      </c>
      <c r="I282" s="109" t="s">
        <v>2533</v>
      </c>
      <c r="J282" s="109" t="s">
        <v>2533</v>
      </c>
      <c r="K282" s="109" t="s">
        <v>2533</v>
      </c>
      <c r="L282" s="109" t="s">
        <v>2533</v>
      </c>
      <c r="M282" s="166" t="s">
        <v>2533</v>
      </c>
      <c r="N282" s="108" t="s">
        <v>48</v>
      </c>
      <c r="O282" s="109" t="s">
        <v>48</v>
      </c>
      <c r="P282" s="162" t="s">
        <v>2533</v>
      </c>
      <c r="Q282" s="109" t="s">
        <v>2533</v>
      </c>
      <c r="R282" s="109" t="s">
        <v>2533</v>
      </c>
      <c r="S282" s="109" t="s">
        <v>2533</v>
      </c>
      <c r="T282" s="109" t="s">
        <v>2533</v>
      </c>
      <c r="U282" s="109" t="s">
        <v>2533</v>
      </c>
      <c r="V282" s="166" t="s">
        <v>2533</v>
      </c>
      <c r="W282" s="165" t="s">
        <v>2531</v>
      </c>
      <c r="X282" s="109" t="s">
        <v>2531</v>
      </c>
      <c r="Y282" s="109" t="s">
        <v>48</v>
      </c>
      <c r="Z282" s="109" t="s">
        <v>48</v>
      </c>
      <c r="AA282" s="109" t="s">
        <v>48</v>
      </c>
      <c r="AB282" s="109" t="s">
        <v>48</v>
      </c>
      <c r="AC282" s="109" t="s">
        <v>48</v>
      </c>
      <c r="AD282" s="166" t="s">
        <v>48</v>
      </c>
      <c r="AE282" s="165" t="s">
        <v>48</v>
      </c>
      <c r="AF282" s="109" t="s">
        <v>48</v>
      </c>
      <c r="AG282" s="109" t="s">
        <v>48</v>
      </c>
      <c r="AH282" s="109" t="s">
        <v>48</v>
      </c>
      <c r="AI282" s="109" t="s">
        <v>48</v>
      </c>
      <c r="AJ282" s="109" t="s">
        <v>48</v>
      </c>
      <c r="AK282" s="166" t="s">
        <v>48</v>
      </c>
      <c r="AL282" s="165" t="s">
        <v>2531</v>
      </c>
      <c r="AM282" s="109" t="s">
        <v>2531</v>
      </c>
      <c r="AN282" s="109" t="s">
        <v>2537</v>
      </c>
      <c r="AO282" s="109" t="s">
        <v>2419</v>
      </c>
      <c r="AP282" s="109" t="s">
        <v>48</v>
      </c>
      <c r="AQ282" s="109" t="s">
        <v>48</v>
      </c>
      <c r="AR282" s="109" t="s">
        <v>2538</v>
      </c>
      <c r="AS282" s="166" t="s">
        <v>2539</v>
      </c>
      <c r="AT282" s="165" t="s">
        <v>676</v>
      </c>
      <c r="AU282" s="109" t="s">
        <v>676</v>
      </c>
      <c r="AV282" s="109" t="s">
        <v>676</v>
      </c>
      <c r="AW282" s="109" t="s">
        <v>676</v>
      </c>
      <c r="AX282" s="109" t="s">
        <v>676</v>
      </c>
      <c r="AY282" s="109" t="s">
        <v>676</v>
      </c>
      <c r="AZ282" s="166" t="s">
        <v>676</v>
      </c>
      <c r="BA282" s="162" t="s">
        <v>2523</v>
      </c>
      <c r="BB282" s="109" t="s">
        <v>82</v>
      </c>
      <c r="BC282" s="109" t="s">
        <v>2543</v>
      </c>
    </row>
    <row r="283" spans="1:55" s="86" customFormat="1" ht="75" hidden="1" customHeight="1">
      <c r="A283" s="1" t="s">
        <v>2495</v>
      </c>
      <c r="B283" s="109" t="s">
        <v>2536</v>
      </c>
      <c r="C283" s="109" t="s">
        <v>2408</v>
      </c>
      <c r="D283" s="109" t="s">
        <v>2531</v>
      </c>
      <c r="E283" s="161">
        <v>15000</v>
      </c>
      <c r="F283" s="165" t="s">
        <v>2531</v>
      </c>
      <c r="G283" s="109" t="s">
        <v>2531</v>
      </c>
      <c r="H283" s="109" t="s">
        <v>2533</v>
      </c>
      <c r="I283" s="109" t="s">
        <v>2533</v>
      </c>
      <c r="J283" s="109" t="s">
        <v>2533</v>
      </c>
      <c r="K283" s="109" t="s">
        <v>2533</v>
      </c>
      <c r="L283" s="109" t="s">
        <v>2533</v>
      </c>
      <c r="M283" s="166" t="s">
        <v>2533</v>
      </c>
      <c r="N283" s="108" t="s">
        <v>48</v>
      </c>
      <c r="O283" s="109" t="s">
        <v>48</v>
      </c>
      <c r="P283" s="162" t="s">
        <v>2533</v>
      </c>
      <c r="Q283" s="109" t="s">
        <v>2533</v>
      </c>
      <c r="R283" s="109" t="s">
        <v>2533</v>
      </c>
      <c r="S283" s="109" t="s">
        <v>2533</v>
      </c>
      <c r="T283" s="109" t="s">
        <v>2533</v>
      </c>
      <c r="U283" s="109" t="s">
        <v>2533</v>
      </c>
      <c r="V283" s="166" t="s">
        <v>2533</v>
      </c>
      <c r="W283" s="165" t="s">
        <v>2531</v>
      </c>
      <c r="X283" s="109" t="s">
        <v>2531</v>
      </c>
      <c r="Y283" s="109" t="s">
        <v>48</v>
      </c>
      <c r="Z283" s="109" t="s">
        <v>48</v>
      </c>
      <c r="AA283" s="109" t="s">
        <v>48</v>
      </c>
      <c r="AB283" s="109" t="s">
        <v>48</v>
      </c>
      <c r="AC283" s="109" t="s">
        <v>48</v>
      </c>
      <c r="AD283" s="166" t="s">
        <v>48</v>
      </c>
      <c r="AE283" s="165" t="s">
        <v>48</v>
      </c>
      <c r="AF283" s="109" t="s">
        <v>48</v>
      </c>
      <c r="AG283" s="109" t="s">
        <v>48</v>
      </c>
      <c r="AH283" s="109" t="s">
        <v>48</v>
      </c>
      <c r="AI283" s="109" t="s">
        <v>48</v>
      </c>
      <c r="AJ283" s="109" t="s">
        <v>48</v>
      </c>
      <c r="AK283" s="166" t="s">
        <v>48</v>
      </c>
      <c r="AL283" s="165" t="s">
        <v>2531</v>
      </c>
      <c r="AM283" s="109" t="s">
        <v>2531</v>
      </c>
      <c r="AN283" s="109" t="s">
        <v>2537</v>
      </c>
      <c r="AO283" s="109" t="s">
        <v>2419</v>
      </c>
      <c r="AP283" s="109" t="s">
        <v>48</v>
      </c>
      <c r="AQ283" s="109" t="s">
        <v>48</v>
      </c>
      <c r="AR283" s="109" t="s">
        <v>2538</v>
      </c>
      <c r="AS283" s="166" t="s">
        <v>2539</v>
      </c>
      <c r="AT283" s="165" t="s">
        <v>676</v>
      </c>
      <c r="AU283" s="109" t="s">
        <v>676</v>
      </c>
      <c r="AV283" s="109" t="s">
        <v>676</v>
      </c>
      <c r="AW283" s="109" t="s">
        <v>676</v>
      </c>
      <c r="AX283" s="109" t="s">
        <v>676</v>
      </c>
      <c r="AY283" s="109" t="s">
        <v>676</v>
      </c>
      <c r="AZ283" s="166" t="s">
        <v>676</v>
      </c>
      <c r="BA283" s="162" t="s">
        <v>2523</v>
      </c>
      <c r="BB283" s="109" t="s">
        <v>82</v>
      </c>
      <c r="BC283" s="109" t="s">
        <v>2543</v>
      </c>
    </row>
    <row r="284" spans="1:55" ht="75" hidden="1" customHeight="1">
      <c r="A284" s="109" t="s">
        <v>660</v>
      </c>
      <c r="B284" s="117" t="s">
        <v>2013</v>
      </c>
      <c r="C284" s="109" t="s">
        <v>933</v>
      </c>
      <c r="D284" s="109" t="s">
        <v>929</v>
      </c>
      <c r="E284" s="161">
        <v>15000</v>
      </c>
      <c r="F284" s="165" t="s">
        <v>1727</v>
      </c>
      <c r="G284" s="109" t="s">
        <v>1727</v>
      </c>
      <c r="H284" s="109" t="s">
        <v>1932</v>
      </c>
      <c r="I284" s="109" t="s">
        <v>2090</v>
      </c>
      <c r="J284" s="109" t="s">
        <v>1708</v>
      </c>
      <c r="K284" s="109" t="s">
        <v>1708</v>
      </c>
      <c r="L284" s="109" t="s">
        <v>1986</v>
      </c>
      <c r="M284" s="166" t="s">
        <v>1687</v>
      </c>
      <c r="N284" s="108" t="s">
        <v>48</v>
      </c>
      <c r="O284" s="109" t="s">
        <v>48</v>
      </c>
      <c r="P284" s="162" t="s">
        <v>48</v>
      </c>
      <c r="Q284" s="109" t="s">
        <v>48</v>
      </c>
      <c r="R284" s="109" t="s">
        <v>48</v>
      </c>
      <c r="S284" s="109" t="s">
        <v>48</v>
      </c>
      <c r="T284" s="109" t="s">
        <v>48</v>
      </c>
      <c r="U284" s="109" t="s">
        <v>48</v>
      </c>
      <c r="V284" s="166" t="s">
        <v>48</v>
      </c>
      <c r="W284" s="165" t="s">
        <v>929</v>
      </c>
      <c r="X284" s="109" t="s">
        <v>929</v>
      </c>
      <c r="Y284" s="109" t="s">
        <v>48</v>
      </c>
      <c r="Z284" s="109" t="s">
        <v>48</v>
      </c>
      <c r="AA284" s="109" t="s">
        <v>48</v>
      </c>
      <c r="AB284" s="109" t="s">
        <v>48</v>
      </c>
      <c r="AC284" s="109" t="s">
        <v>48</v>
      </c>
      <c r="AD284" s="166" t="s">
        <v>48</v>
      </c>
      <c r="AE284" s="174" t="s">
        <v>48</v>
      </c>
      <c r="AF284" s="117" t="s">
        <v>48</v>
      </c>
      <c r="AG284" s="117" t="s">
        <v>48</v>
      </c>
      <c r="AH284" s="109" t="s">
        <v>48</v>
      </c>
      <c r="AI284" s="117" t="s">
        <v>48</v>
      </c>
      <c r="AJ284" s="117" t="s">
        <v>48</v>
      </c>
      <c r="AK284" s="182" t="s">
        <v>48</v>
      </c>
      <c r="AL284" s="165" t="s">
        <v>929</v>
      </c>
      <c r="AM284" s="109" t="s">
        <v>929</v>
      </c>
      <c r="AN284" s="109" t="s">
        <v>48</v>
      </c>
      <c r="AO284" s="109" t="s">
        <v>48</v>
      </c>
      <c r="AP284" s="109" t="s">
        <v>48</v>
      </c>
      <c r="AQ284" s="109" t="s">
        <v>48</v>
      </c>
      <c r="AR284" s="109" t="s">
        <v>48</v>
      </c>
      <c r="AS284" s="166" t="s">
        <v>48</v>
      </c>
      <c r="AT284" s="165" t="s">
        <v>48</v>
      </c>
      <c r="AU284" s="109" t="s">
        <v>48</v>
      </c>
      <c r="AV284" s="109" t="s">
        <v>48</v>
      </c>
      <c r="AW284" s="109" t="s">
        <v>48</v>
      </c>
      <c r="AX284" s="109" t="s">
        <v>48</v>
      </c>
      <c r="AY284" s="109" t="s">
        <v>48</v>
      </c>
      <c r="AZ284" s="166" t="s">
        <v>48</v>
      </c>
      <c r="BA284" s="162" t="s">
        <v>1860</v>
      </c>
      <c r="BB284" s="109" t="s">
        <v>82</v>
      </c>
      <c r="BC284" s="109" t="s">
        <v>1857</v>
      </c>
    </row>
    <row r="285" spans="1:55" ht="75" hidden="1" customHeight="1">
      <c r="A285" s="109" t="s">
        <v>660</v>
      </c>
      <c r="B285" s="117" t="s">
        <v>2013</v>
      </c>
      <c r="C285" s="109" t="s">
        <v>933</v>
      </c>
      <c r="D285" s="109" t="s">
        <v>929</v>
      </c>
      <c r="E285" s="161">
        <v>15000</v>
      </c>
      <c r="F285" s="165" t="s">
        <v>1727</v>
      </c>
      <c r="G285" s="109" t="s">
        <v>1727</v>
      </c>
      <c r="H285" s="109" t="s">
        <v>1933</v>
      </c>
      <c r="I285" s="109" t="s">
        <v>2039</v>
      </c>
      <c r="J285" s="109" t="s">
        <v>1708</v>
      </c>
      <c r="K285" s="109" t="s">
        <v>1708</v>
      </c>
      <c r="L285" s="109" t="s">
        <v>1987</v>
      </c>
      <c r="M285" s="166" t="s">
        <v>1687</v>
      </c>
      <c r="N285" s="108" t="s">
        <v>48</v>
      </c>
      <c r="O285" s="109" t="s">
        <v>48</v>
      </c>
      <c r="P285" s="162" t="s">
        <v>48</v>
      </c>
      <c r="Q285" s="109" t="s">
        <v>48</v>
      </c>
      <c r="R285" s="109" t="s">
        <v>48</v>
      </c>
      <c r="S285" s="109" t="s">
        <v>48</v>
      </c>
      <c r="T285" s="109" t="s">
        <v>48</v>
      </c>
      <c r="U285" s="109" t="s">
        <v>48</v>
      </c>
      <c r="V285" s="166" t="s">
        <v>48</v>
      </c>
      <c r="W285" s="165" t="s">
        <v>929</v>
      </c>
      <c r="X285" s="109" t="s">
        <v>929</v>
      </c>
      <c r="Y285" s="109" t="s">
        <v>48</v>
      </c>
      <c r="Z285" s="109" t="s">
        <v>48</v>
      </c>
      <c r="AA285" s="109" t="s">
        <v>48</v>
      </c>
      <c r="AB285" s="109" t="s">
        <v>48</v>
      </c>
      <c r="AC285" s="109" t="s">
        <v>48</v>
      </c>
      <c r="AD285" s="166" t="s">
        <v>48</v>
      </c>
      <c r="AE285" s="174" t="s">
        <v>48</v>
      </c>
      <c r="AF285" s="117" t="s">
        <v>48</v>
      </c>
      <c r="AG285" s="117" t="s">
        <v>48</v>
      </c>
      <c r="AH285" s="109" t="s">
        <v>48</v>
      </c>
      <c r="AI285" s="117" t="s">
        <v>48</v>
      </c>
      <c r="AJ285" s="117" t="s">
        <v>48</v>
      </c>
      <c r="AK285" s="182" t="s">
        <v>48</v>
      </c>
      <c r="AL285" s="165" t="s">
        <v>929</v>
      </c>
      <c r="AM285" s="109" t="s">
        <v>929</v>
      </c>
      <c r="AN285" s="109" t="s">
        <v>48</v>
      </c>
      <c r="AO285" s="109" t="s">
        <v>48</v>
      </c>
      <c r="AP285" s="109" t="s">
        <v>48</v>
      </c>
      <c r="AQ285" s="109" t="s">
        <v>48</v>
      </c>
      <c r="AR285" s="109" t="s">
        <v>48</v>
      </c>
      <c r="AS285" s="166" t="s">
        <v>48</v>
      </c>
      <c r="AT285" s="165" t="s">
        <v>48</v>
      </c>
      <c r="AU285" s="109" t="s">
        <v>48</v>
      </c>
      <c r="AV285" s="109" t="s">
        <v>48</v>
      </c>
      <c r="AW285" s="109" t="s">
        <v>48</v>
      </c>
      <c r="AX285" s="109" t="s">
        <v>48</v>
      </c>
      <c r="AY285" s="109" t="s">
        <v>48</v>
      </c>
      <c r="AZ285" s="166" t="s">
        <v>48</v>
      </c>
      <c r="BA285" s="162" t="s">
        <v>1860</v>
      </c>
      <c r="BB285" s="109" t="s">
        <v>82</v>
      </c>
      <c r="BC285" s="109" t="s">
        <v>1857</v>
      </c>
    </row>
    <row r="286" spans="1:55" ht="75" hidden="1" customHeight="1">
      <c r="A286" s="109" t="s">
        <v>660</v>
      </c>
      <c r="B286" s="117" t="s">
        <v>2013</v>
      </c>
      <c r="C286" s="109" t="s">
        <v>933</v>
      </c>
      <c r="D286" s="109" t="s">
        <v>929</v>
      </c>
      <c r="E286" s="161">
        <v>15000</v>
      </c>
      <c r="F286" s="165" t="s">
        <v>1726</v>
      </c>
      <c r="G286" s="109" t="s">
        <v>1726</v>
      </c>
      <c r="H286" s="109" t="s">
        <v>1934</v>
      </c>
      <c r="I286" s="109" t="s">
        <v>1908</v>
      </c>
      <c r="J286" s="109" t="s">
        <v>1708</v>
      </c>
      <c r="K286" s="109" t="s">
        <v>1708</v>
      </c>
      <c r="L286" s="109" t="s">
        <v>1859</v>
      </c>
      <c r="M286" s="166" t="s">
        <v>1687</v>
      </c>
      <c r="N286" s="108" t="s">
        <v>48</v>
      </c>
      <c r="O286" s="109" t="s">
        <v>48</v>
      </c>
      <c r="P286" s="162" t="s">
        <v>48</v>
      </c>
      <c r="Q286" s="109" t="s">
        <v>48</v>
      </c>
      <c r="R286" s="109" t="s">
        <v>48</v>
      </c>
      <c r="S286" s="109" t="s">
        <v>48</v>
      </c>
      <c r="T286" s="109" t="s">
        <v>48</v>
      </c>
      <c r="U286" s="109" t="s">
        <v>48</v>
      </c>
      <c r="V286" s="166" t="s">
        <v>48</v>
      </c>
      <c r="W286" s="165" t="s">
        <v>929</v>
      </c>
      <c r="X286" s="109" t="s">
        <v>929</v>
      </c>
      <c r="Y286" s="109" t="s">
        <v>48</v>
      </c>
      <c r="Z286" s="109" t="s">
        <v>48</v>
      </c>
      <c r="AA286" s="109" t="s">
        <v>48</v>
      </c>
      <c r="AB286" s="109" t="s">
        <v>48</v>
      </c>
      <c r="AC286" s="109" t="s">
        <v>48</v>
      </c>
      <c r="AD286" s="166" t="s">
        <v>48</v>
      </c>
      <c r="AE286" s="174" t="s">
        <v>48</v>
      </c>
      <c r="AF286" s="117" t="s">
        <v>48</v>
      </c>
      <c r="AG286" s="117" t="s">
        <v>48</v>
      </c>
      <c r="AH286" s="109" t="s">
        <v>48</v>
      </c>
      <c r="AI286" s="117" t="s">
        <v>48</v>
      </c>
      <c r="AJ286" s="117" t="s">
        <v>48</v>
      </c>
      <c r="AK286" s="182" t="s">
        <v>48</v>
      </c>
      <c r="AL286" s="165" t="s">
        <v>929</v>
      </c>
      <c r="AM286" s="109" t="s">
        <v>929</v>
      </c>
      <c r="AN286" s="109" t="s">
        <v>48</v>
      </c>
      <c r="AO286" s="109" t="s">
        <v>48</v>
      </c>
      <c r="AP286" s="109" t="s">
        <v>48</v>
      </c>
      <c r="AQ286" s="109" t="s">
        <v>48</v>
      </c>
      <c r="AR286" s="109" t="s">
        <v>48</v>
      </c>
      <c r="AS286" s="166" t="s">
        <v>48</v>
      </c>
      <c r="AT286" s="165" t="s">
        <v>48</v>
      </c>
      <c r="AU286" s="109" t="s">
        <v>48</v>
      </c>
      <c r="AV286" s="109" t="s">
        <v>48</v>
      </c>
      <c r="AW286" s="109" t="s">
        <v>48</v>
      </c>
      <c r="AX286" s="109" t="s">
        <v>48</v>
      </c>
      <c r="AY286" s="109" t="s">
        <v>48</v>
      </c>
      <c r="AZ286" s="166" t="s">
        <v>48</v>
      </c>
      <c r="BA286" s="162" t="s">
        <v>1860</v>
      </c>
      <c r="BB286" s="109" t="s">
        <v>82</v>
      </c>
      <c r="BC286" s="109" t="s">
        <v>1857</v>
      </c>
    </row>
    <row r="287" spans="1:55" ht="75" customHeight="1">
      <c r="A287" s="109" t="s">
        <v>34</v>
      </c>
      <c r="B287" s="109" t="s">
        <v>2025</v>
      </c>
      <c r="C287" s="117" t="s">
        <v>933</v>
      </c>
      <c r="D287" s="109" t="s">
        <v>729</v>
      </c>
      <c r="E287" s="161">
        <v>15000</v>
      </c>
      <c r="F287" s="165" t="s">
        <v>729</v>
      </c>
      <c r="G287" s="109" t="s">
        <v>729</v>
      </c>
      <c r="H287" s="109" t="s">
        <v>48</v>
      </c>
      <c r="I287" s="109" t="s">
        <v>48</v>
      </c>
      <c r="J287" s="109" t="s">
        <v>48</v>
      </c>
      <c r="K287" s="109" t="s">
        <v>48</v>
      </c>
      <c r="L287" s="109" t="s">
        <v>48</v>
      </c>
      <c r="M287" s="166" t="s">
        <v>48</v>
      </c>
      <c r="N287" s="108" t="s">
        <v>48</v>
      </c>
      <c r="O287" s="109" t="s">
        <v>48</v>
      </c>
      <c r="P287" s="162" t="s">
        <v>48</v>
      </c>
      <c r="Q287" s="109" t="s">
        <v>48</v>
      </c>
      <c r="R287" s="109" t="s">
        <v>48</v>
      </c>
      <c r="S287" s="109" t="s">
        <v>48</v>
      </c>
      <c r="T287" s="109" t="s">
        <v>48</v>
      </c>
      <c r="U287" s="109" t="s">
        <v>48</v>
      </c>
      <c r="V287" s="166" t="s">
        <v>48</v>
      </c>
      <c r="W287" s="165" t="s">
        <v>729</v>
      </c>
      <c r="X287" s="109" t="s">
        <v>729</v>
      </c>
      <c r="Y287" s="109" t="s">
        <v>48</v>
      </c>
      <c r="Z287" s="109" t="s">
        <v>48</v>
      </c>
      <c r="AA287" s="109" t="s">
        <v>48</v>
      </c>
      <c r="AB287" s="109" t="s">
        <v>48</v>
      </c>
      <c r="AC287" s="109" t="s">
        <v>48</v>
      </c>
      <c r="AD287" s="166" t="s">
        <v>48</v>
      </c>
      <c r="AE287" s="174" t="s">
        <v>48</v>
      </c>
      <c r="AF287" s="117" t="s">
        <v>48</v>
      </c>
      <c r="AG287" s="117" t="s">
        <v>48</v>
      </c>
      <c r="AH287" s="109" t="s">
        <v>48</v>
      </c>
      <c r="AI287" s="117" t="s">
        <v>48</v>
      </c>
      <c r="AJ287" s="117" t="s">
        <v>48</v>
      </c>
      <c r="AK287" s="182" t="s">
        <v>48</v>
      </c>
      <c r="AL287" s="165" t="s">
        <v>1324</v>
      </c>
      <c r="AM287" s="109" t="s">
        <v>729</v>
      </c>
      <c r="AN287" s="109" t="s">
        <v>1958</v>
      </c>
      <c r="AO287" s="109" t="s">
        <v>2039</v>
      </c>
      <c r="AP287" s="109" t="s">
        <v>1921</v>
      </c>
      <c r="AQ287" s="109" t="s">
        <v>1921</v>
      </c>
      <c r="AR287" s="109" t="s">
        <v>1959</v>
      </c>
      <c r="AS287" s="166" t="s">
        <v>1119</v>
      </c>
      <c r="AT287" s="165" t="s">
        <v>48</v>
      </c>
      <c r="AU287" s="109" t="s">
        <v>48</v>
      </c>
      <c r="AV287" s="109" t="s">
        <v>48</v>
      </c>
      <c r="AW287" s="109" t="s">
        <v>48</v>
      </c>
      <c r="AX287" s="109" t="s">
        <v>48</v>
      </c>
      <c r="AY287" s="109" t="s">
        <v>48</v>
      </c>
      <c r="AZ287" s="166" t="s">
        <v>48</v>
      </c>
      <c r="BA287" s="162" t="s">
        <v>1242</v>
      </c>
      <c r="BB287" s="109" t="s">
        <v>82</v>
      </c>
      <c r="BC287" s="109"/>
    </row>
    <row r="288" spans="1:55" ht="14.4">
      <c r="A288" s="109" t="s">
        <v>35</v>
      </c>
      <c r="B288" s="109" t="s">
        <v>2017</v>
      </c>
      <c r="C288" s="117" t="s">
        <v>933</v>
      </c>
      <c r="D288" s="109" t="s">
        <v>1116</v>
      </c>
      <c r="E288" s="161">
        <v>15000</v>
      </c>
      <c r="F288" s="165" t="s">
        <v>1116</v>
      </c>
      <c r="G288" s="109" t="s">
        <v>1116</v>
      </c>
      <c r="H288" s="109" t="s">
        <v>48</v>
      </c>
      <c r="I288" s="109" t="s">
        <v>48</v>
      </c>
      <c r="J288" s="109" t="s">
        <v>48</v>
      </c>
      <c r="K288" s="109" t="s">
        <v>48</v>
      </c>
      <c r="L288" s="109" t="s">
        <v>48</v>
      </c>
      <c r="M288" s="166" t="s">
        <v>48</v>
      </c>
      <c r="N288" s="108" t="s">
        <v>48</v>
      </c>
      <c r="O288" s="109" t="s">
        <v>48</v>
      </c>
      <c r="P288" s="162" t="s">
        <v>48</v>
      </c>
      <c r="Q288" s="109" t="s">
        <v>48</v>
      </c>
      <c r="R288" s="109" t="s">
        <v>48</v>
      </c>
      <c r="S288" s="109" t="s">
        <v>48</v>
      </c>
      <c r="T288" s="109" t="s">
        <v>48</v>
      </c>
      <c r="U288" s="109" t="s">
        <v>48</v>
      </c>
      <c r="V288" s="166" t="s">
        <v>48</v>
      </c>
      <c r="W288" s="165" t="s">
        <v>907</v>
      </c>
      <c r="X288" s="109" t="s">
        <v>1116</v>
      </c>
      <c r="Y288" s="109" t="s">
        <v>1956</v>
      </c>
      <c r="Z288" s="109" t="s">
        <v>1908</v>
      </c>
      <c r="AA288" s="109" t="s">
        <v>1921</v>
      </c>
      <c r="AB288" s="109" t="s">
        <v>1921</v>
      </c>
      <c r="AC288" s="109" t="s">
        <v>1323</v>
      </c>
      <c r="AD288" s="166" t="s">
        <v>1119</v>
      </c>
      <c r="AE288" s="174" t="s">
        <v>48</v>
      </c>
      <c r="AF288" s="117" t="s">
        <v>48</v>
      </c>
      <c r="AG288" s="117" t="s">
        <v>48</v>
      </c>
      <c r="AH288" s="109" t="s">
        <v>48</v>
      </c>
      <c r="AI288" s="117" t="s">
        <v>48</v>
      </c>
      <c r="AJ288" s="117" t="s">
        <v>48</v>
      </c>
      <c r="AK288" s="182" t="s">
        <v>48</v>
      </c>
      <c r="AL288" s="165" t="s">
        <v>907</v>
      </c>
      <c r="AM288" s="109" t="s">
        <v>1116</v>
      </c>
      <c r="AN288" s="109" t="s">
        <v>1951</v>
      </c>
      <c r="AO288" s="109" t="s">
        <v>1908</v>
      </c>
      <c r="AP288" s="109" t="s">
        <v>1921</v>
      </c>
      <c r="AQ288" s="109" t="s">
        <v>1921</v>
      </c>
      <c r="AR288" s="109" t="s">
        <v>1323</v>
      </c>
      <c r="AS288" s="166" t="s">
        <v>1119</v>
      </c>
      <c r="AT288" s="165" t="s">
        <v>48</v>
      </c>
      <c r="AU288" s="109" t="s">
        <v>48</v>
      </c>
      <c r="AV288" s="109" t="s">
        <v>48</v>
      </c>
      <c r="AW288" s="109" t="s">
        <v>48</v>
      </c>
      <c r="AX288" s="109" t="s">
        <v>48</v>
      </c>
      <c r="AY288" s="109" t="s">
        <v>48</v>
      </c>
      <c r="AZ288" s="166" t="s">
        <v>48</v>
      </c>
      <c r="BA288" s="162" t="s">
        <v>1372</v>
      </c>
      <c r="BB288" s="109" t="s">
        <v>82</v>
      </c>
      <c r="BC288" s="109"/>
    </row>
    <row r="289" spans="1:55" ht="75" customHeight="1">
      <c r="A289" s="109" t="s">
        <v>35</v>
      </c>
      <c r="B289" s="109" t="s">
        <v>2017</v>
      </c>
      <c r="C289" s="117" t="s">
        <v>933</v>
      </c>
      <c r="D289" s="109" t="s">
        <v>1116</v>
      </c>
      <c r="E289" s="161">
        <v>15000</v>
      </c>
      <c r="F289" s="165" t="s">
        <v>1116</v>
      </c>
      <c r="G289" s="109" t="s">
        <v>1116</v>
      </c>
      <c r="H289" s="109" t="s">
        <v>48</v>
      </c>
      <c r="I289" s="109" t="s">
        <v>48</v>
      </c>
      <c r="J289" s="109" t="s">
        <v>48</v>
      </c>
      <c r="K289" s="109" t="s">
        <v>48</v>
      </c>
      <c r="L289" s="109" t="s">
        <v>48</v>
      </c>
      <c r="M289" s="166" t="s">
        <v>48</v>
      </c>
      <c r="N289" s="108" t="s">
        <v>48</v>
      </c>
      <c r="O289" s="109" t="s">
        <v>48</v>
      </c>
      <c r="P289" s="162" t="s">
        <v>48</v>
      </c>
      <c r="Q289" s="109" t="s">
        <v>48</v>
      </c>
      <c r="R289" s="109" t="s">
        <v>48</v>
      </c>
      <c r="S289" s="109" t="s">
        <v>48</v>
      </c>
      <c r="T289" s="109" t="s">
        <v>48</v>
      </c>
      <c r="U289" s="109" t="s">
        <v>48</v>
      </c>
      <c r="V289" s="166" t="s">
        <v>48</v>
      </c>
      <c r="W289" s="165" t="s">
        <v>1318</v>
      </c>
      <c r="X289" s="109" t="s">
        <v>1116</v>
      </c>
      <c r="Y289" s="109" t="s">
        <v>1955</v>
      </c>
      <c r="Z289" s="117" t="s">
        <v>2039</v>
      </c>
      <c r="AA289" s="109" t="s">
        <v>1921</v>
      </c>
      <c r="AB289" s="109" t="s">
        <v>1921</v>
      </c>
      <c r="AC289" s="109" t="s">
        <v>1924</v>
      </c>
      <c r="AD289" s="166" t="s">
        <v>1119</v>
      </c>
      <c r="AE289" s="174" t="s">
        <v>48</v>
      </c>
      <c r="AF289" s="117" t="s">
        <v>48</v>
      </c>
      <c r="AG289" s="117" t="s">
        <v>48</v>
      </c>
      <c r="AH289" s="109" t="s">
        <v>48</v>
      </c>
      <c r="AI289" s="117" t="s">
        <v>48</v>
      </c>
      <c r="AJ289" s="117" t="s">
        <v>48</v>
      </c>
      <c r="AK289" s="182" t="s">
        <v>48</v>
      </c>
      <c r="AL289" s="165" t="s">
        <v>1957</v>
      </c>
      <c r="AM289" s="109" t="s">
        <v>1116</v>
      </c>
      <c r="AN289" s="109" t="s">
        <v>1958</v>
      </c>
      <c r="AO289" s="109" t="s">
        <v>2039</v>
      </c>
      <c r="AP289" s="109" t="s">
        <v>1921</v>
      </c>
      <c r="AQ289" s="109" t="s">
        <v>1921</v>
      </c>
      <c r="AR289" s="109" t="s">
        <v>1959</v>
      </c>
      <c r="AS289" s="166" t="s">
        <v>1119</v>
      </c>
      <c r="AT289" s="165" t="s">
        <v>48</v>
      </c>
      <c r="AU289" s="109" t="s">
        <v>48</v>
      </c>
      <c r="AV289" s="109" t="s">
        <v>48</v>
      </c>
      <c r="AW289" s="109" t="s">
        <v>48</v>
      </c>
      <c r="AX289" s="109" t="s">
        <v>48</v>
      </c>
      <c r="AY289" s="109" t="s">
        <v>48</v>
      </c>
      <c r="AZ289" s="166" t="s">
        <v>48</v>
      </c>
      <c r="BA289" s="162" t="s">
        <v>1372</v>
      </c>
      <c r="BB289" s="109" t="s">
        <v>82</v>
      </c>
      <c r="BC289" s="109"/>
    </row>
    <row r="290" spans="1:55" ht="75" customHeight="1">
      <c r="A290" s="109" t="s">
        <v>34</v>
      </c>
      <c r="B290" s="109" t="s">
        <v>2025</v>
      </c>
      <c r="C290" s="117" t="s">
        <v>933</v>
      </c>
      <c r="D290" s="109" t="s">
        <v>1116</v>
      </c>
      <c r="E290" s="161">
        <v>15000</v>
      </c>
      <c r="F290" s="165" t="s">
        <v>1116</v>
      </c>
      <c r="G290" s="109" t="s">
        <v>1116</v>
      </c>
      <c r="H290" s="109" t="s">
        <v>48</v>
      </c>
      <c r="I290" s="109" t="s">
        <v>48</v>
      </c>
      <c r="J290" s="109" t="s">
        <v>48</v>
      </c>
      <c r="K290" s="109" t="s">
        <v>48</v>
      </c>
      <c r="L290" s="109" t="s">
        <v>48</v>
      </c>
      <c r="M290" s="166" t="s">
        <v>48</v>
      </c>
      <c r="N290" s="108" t="s">
        <v>48</v>
      </c>
      <c r="O290" s="109" t="s">
        <v>48</v>
      </c>
      <c r="P290" s="162" t="s">
        <v>48</v>
      </c>
      <c r="Q290" s="109" t="s">
        <v>48</v>
      </c>
      <c r="R290" s="109" t="s">
        <v>48</v>
      </c>
      <c r="S290" s="109" t="s">
        <v>48</v>
      </c>
      <c r="T290" s="109" t="s">
        <v>48</v>
      </c>
      <c r="U290" s="109" t="s">
        <v>48</v>
      </c>
      <c r="V290" s="166" t="s">
        <v>48</v>
      </c>
      <c r="W290" s="165" t="s">
        <v>1116</v>
      </c>
      <c r="X290" s="109" t="s">
        <v>1116</v>
      </c>
      <c r="Y290" s="109" t="s">
        <v>48</v>
      </c>
      <c r="Z290" s="109" t="s">
        <v>48</v>
      </c>
      <c r="AA290" s="109" t="s">
        <v>48</v>
      </c>
      <c r="AB290" s="109" t="s">
        <v>48</v>
      </c>
      <c r="AC290" s="109" t="s">
        <v>48</v>
      </c>
      <c r="AD290" s="166" t="s">
        <v>48</v>
      </c>
      <c r="AE290" s="174" t="s">
        <v>48</v>
      </c>
      <c r="AF290" s="117" t="s">
        <v>48</v>
      </c>
      <c r="AG290" s="117" t="s">
        <v>48</v>
      </c>
      <c r="AH290" s="109" t="s">
        <v>48</v>
      </c>
      <c r="AI290" s="117" t="s">
        <v>48</v>
      </c>
      <c r="AJ290" s="117" t="s">
        <v>48</v>
      </c>
      <c r="AK290" s="182" t="s">
        <v>48</v>
      </c>
      <c r="AL290" s="165" t="s">
        <v>907</v>
      </c>
      <c r="AM290" s="109" t="s">
        <v>1116</v>
      </c>
      <c r="AN290" s="109" t="s">
        <v>1951</v>
      </c>
      <c r="AO290" s="109" t="s">
        <v>1908</v>
      </c>
      <c r="AP290" s="109" t="s">
        <v>1921</v>
      </c>
      <c r="AQ290" s="109" t="s">
        <v>1921</v>
      </c>
      <c r="AR290" s="109" t="s">
        <v>1323</v>
      </c>
      <c r="AS290" s="166" t="s">
        <v>1119</v>
      </c>
      <c r="AT290" s="165" t="s">
        <v>48</v>
      </c>
      <c r="AU290" s="109" t="s">
        <v>48</v>
      </c>
      <c r="AV290" s="109" t="s">
        <v>48</v>
      </c>
      <c r="AW290" s="109" t="s">
        <v>48</v>
      </c>
      <c r="AX290" s="109" t="s">
        <v>48</v>
      </c>
      <c r="AY290" s="109" t="s">
        <v>48</v>
      </c>
      <c r="AZ290" s="166" t="s">
        <v>48</v>
      </c>
      <c r="BA290" s="162" t="s">
        <v>1242</v>
      </c>
      <c r="BB290" s="109" t="s">
        <v>82</v>
      </c>
      <c r="BC290" s="109"/>
    </row>
    <row r="291" spans="1:55" ht="75" hidden="1" customHeight="1">
      <c r="A291" s="109" t="s">
        <v>1115</v>
      </c>
      <c r="B291" s="109" t="s">
        <v>2483</v>
      </c>
      <c r="C291" s="117" t="s">
        <v>933</v>
      </c>
      <c r="D291" s="109" t="s">
        <v>1117</v>
      </c>
      <c r="E291" s="161">
        <v>15000</v>
      </c>
      <c r="F291" s="165" t="s">
        <v>1834</v>
      </c>
      <c r="G291" s="109" t="s">
        <v>1834</v>
      </c>
      <c r="H291" s="109" t="s">
        <v>1950</v>
      </c>
      <c r="I291" s="109" t="s">
        <v>1908</v>
      </c>
      <c r="J291" s="109" t="s">
        <v>1708</v>
      </c>
      <c r="K291" s="109" t="s">
        <v>1708</v>
      </c>
      <c r="L291" s="109" t="s">
        <v>1994</v>
      </c>
      <c r="M291" s="166" t="s">
        <v>1687</v>
      </c>
      <c r="N291" s="108" t="s">
        <v>48</v>
      </c>
      <c r="O291" s="109" t="s">
        <v>48</v>
      </c>
      <c r="P291" s="162" t="s">
        <v>48</v>
      </c>
      <c r="Q291" s="109" t="s">
        <v>48</v>
      </c>
      <c r="R291" s="109" t="s">
        <v>48</v>
      </c>
      <c r="S291" s="109" t="s">
        <v>48</v>
      </c>
      <c r="T291" s="109" t="s">
        <v>48</v>
      </c>
      <c r="U291" s="109" t="s">
        <v>48</v>
      </c>
      <c r="V291" s="166" t="s">
        <v>48</v>
      </c>
      <c r="W291" s="165" t="s">
        <v>1117</v>
      </c>
      <c r="X291" s="109" t="s">
        <v>1117</v>
      </c>
      <c r="Y291" s="109" t="s">
        <v>48</v>
      </c>
      <c r="Z291" s="109" t="s">
        <v>48</v>
      </c>
      <c r="AA291" s="109" t="s">
        <v>48</v>
      </c>
      <c r="AB291" s="109" t="s">
        <v>48</v>
      </c>
      <c r="AC291" s="109" t="s">
        <v>48</v>
      </c>
      <c r="AD291" s="166" t="s">
        <v>48</v>
      </c>
      <c r="AE291" s="174" t="s">
        <v>48</v>
      </c>
      <c r="AF291" s="117" t="s">
        <v>48</v>
      </c>
      <c r="AG291" s="117" t="s">
        <v>48</v>
      </c>
      <c r="AH291" s="109" t="s">
        <v>48</v>
      </c>
      <c r="AI291" s="117" t="s">
        <v>48</v>
      </c>
      <c r="AJ291" s="117" t="s">
        <v>48</v>
      </c>
      <c r="AK291" s="182" t="s">
        <v>48</v>
      </c>
      <c r="AL291" s="165" t="s">
        <v>1117</v>
      </c>
      <c r="AM291" s="109" t="s">
        <v>1117</v>
      </c>
      <c r="AN291" s="109" t="s">
        <v>48</v>
      </c>
      <c r="AO291" s="109" t="s">
        <v>48</v>
      </c>
      <c r="AP291" s="109" t="s">
        <v>48</v>
      </c>
      <c r="AQ291" s="109" t="s">
        <v>48</v>
      </c>
      <c r="AR291" s="109" t="s">
        <v>48</v>
      </c>
      <c r="AS291" s="166" t="s">
        <v>48</v>
      </c>
      <c r="AT291" s="165" t="s">
        <v>48</v>
      </c>
      <c r="AU291" s="109" t="s">
        <v>48</v>
      </c>
      <c r="AV291" s="109" t="s">
        <v>48</v>
      </c>
      <c r="AW291" s="109" t="s">
        <v>48</v>
      </c>
      <c r="AX291" s="109" t="s">
        <v>48</v>
      </c>
      <c r="AY291" s="109" t="s">
        <v>48</v>
      </c>
      <c r="AZ291" s="166" t="s">
        <v>48</v>
      </c>
      <c r="BA291" s="162" t="s">
        <v>1841</v>
      </c>
      <c r="BB291" s="109" t="s">
        <v>82</v>
      </c>
      <c r="BC291" s="109" t="s">
        <v>1836</v>
      </c>
    </row>
    <row r="292" spans="1:55" ht="75" customHeight="1">
      <c r="A292" s="109" t="s">
        <v>1118</v>
      </c>
      <c r="B292" s="109" t="s">
        <v>2030</v>
      </c>
      <c r="C292" s="117" t="s">
        <v>933</v>
      </c>
      <c r="D292" s="109" t="s">
        <v>1117</v>
      </c>
      <c r="E292" s="161">
        <v>15000</v>
      </c>
      <c r="F292" s="165" t="s">
        <v>1834</v>
      </c>
      <c r="G292" s="109" t="s">
        <v>1834</v>
      </c>
      <c r="H292" s="109" t="s">
        <v>1950</v>
      </c>
      <c r="I292" s="109" t="s">
        <v>1908</v>
      </c>
      <c r="J292" s="109" t="s">
        <v>1708</v>
      </c>
      <c r="K292" s="109" t="s">
        <v>1708</v>
      </c>
      <c r="L292" s="109" t="s">
        <v>1994</v>
      </c>
      <c r="M292" s="166" t="s">
        <v>1687</v>
      </c>
      <c r="N292" s="108" t="s">
        <v>48</v>
      </c>
      <c r="O292" s="109" t="s">
        <v>48</v>
      </c>
      <c r="P292" s="162" t="s">
        <v>48</v>
      </c>
      <c r="Q292" s="109" t="s">
        <v>48</v>
      </c>
      <c r="R292" s="109" t="s">
        <v>48</v>
      </c>
      <c r="S292" s="109" t="s">
        <v>48</v>
      </c>
      <c r="T292" s="109" t="s">
        <v>48</v>
      </c>
      <c r="U292" s="109" t="s">
        <v>48</v>
      </c>
      <c r="V292" s="166" t="s">
        <v>48</v>
      </c>
      <c r="W292" s="165" t="s">
        <v>1117</v>
      </c>
      <c r="X292" s="109" t="s">
        <v>1117</v>
      </c>
      <c r="Y292" s="109" t="s">
        <v>48</v>
      </c>
      <c r="Z292" s="109" t="s">
        <v>48</v>
      </c>
      <c r="AA292" s="109" t="s">
        <v>48</v>
      </c>
      <c r="AB292" s="109" t="s">
        <v>48</v>
      </c>
      <c r="AC292" s="109" t="s">
        <v>48</v>
      </c>
      <c r="AD292" s="166" t="s">
        <v>48</v>
      </c>
      <c r="AE292" s="174" t="s">
        <v>48</v>
      </c>
      <c r="AF292" s="117" t="s">
        <v>48</v>
      </c>
      <c r="AG292" s="117" t="s">
        <v>48</v>
      </c>
      <c r="AH292" s="109" t="s">
        <v>48</v>
      </c>
      <c r="AI292" s="117" t="s">
        <v>48</v>
      </c>
      <c r="AJ292" s="117" t="s">
        <v>48</v>
      </c>
      <c r="AK292" s="182" t="s">
        <v>48</v>
      </c>
      <c r="AL292" s="165" t="s">
        <v>1117</v>
      </c>
      <c r="AM292" s="109" t="s">
        <v>1117</v>
      </c>
      <c r="AN292" s="109" t="s">
        <v>48</v>
      </c>
      <c r="AO292" s="109" t="s">
        <v>48</v>
      </c>
      <c r="AP292" s="109" t="s">
        <v>48</v>
      </c>
      <c r="AQ292" s="109" t="s">
        <v>48</v>
      </c>
      <c r="AR292" s="109" t="s">
        <v>48</v>
      </c>
      <c r="AS292" s="166" t="s">
        <v>48</v>
      </c>
      <c r="AT292" s="165" t="s">
        <v>48</v>
      </c>
      <c r="AU292" s="109" t="s">
        <v>48</v>
      </c>
      <c r="AV292" s="109" t="s">
        <v>48</v>
      </c>
      <c r="AW292" s="109" t="s">
        <v>48</v>
      </c>
      <c r="AX292" s="109" t="s">
        <v>48</v>
      </c>
      <c r="AY292" s="109" t="s">
        <v>48</v>
      </c>
      <c r="AZ292" s="166" t="s">
        <v>48</v>
      </c>
      <c r="BA292" s="162" t="s">
        <v>1841</v>
      </c>
      <c r="BB292" s="109" t="s">
        <v>82</v>
      </c>
      <c r="BC292" s="109" t="s">
        <v>1836</v>
      </c>
    </row>
    <row r="293" spans="1:55" ht="75" hidden="1" customHeight="1">
      <c r="A293" s="109" t="s">
        <v>2336</v>
      </c>
      <c r="B293" s="109" t="s">
        <v>2010</v>
      </c>
      <c r="C293" s="109" t="s">
        <v>874</v>
      </c>
      <c r="D293" s="109" t="s">
        <v>1705</v>
      </c>
      <c r="E293" s="161">
        <v>15000</v>
      </c>
      <c r="F293" s="165" t="s">
        <v>1825</v>
      </c>
      <c r="G293" s="109" t="s">
        <v>1825</v>
      </c>
      <c r="H293" s="109" t="s">
        <v>1971</v>
      </c>
      <c r="I293" s="109" t="s">
        <v>2039</v>
      </c>
      <c r="J293" s="109" t="s">
        <v>1708</v>
      </c>
      <c r="K293" s="109" t="s">
        <v>1708</v>
      </c>
      <c r="L293" s="109" t="s">
        <v>2007</v>
      </c>
      <c r="M293" s="166" t="s">
        <v>1687</v>
      </c>
      <c r="N293" s="108" t="s">
        <v>48</v>
      </c>
      <c r="O293" s="109" t="s">
        <v>48</v>
      </c>
      <c r="P293" s="162" t="s">
        <v>48</v>
      </c>
      <c r="Q293" s="109" t="s">
        <v>48</v>
      </c>
      <c r="R293" s="109" t="s">
        <v>48</v>
      </c>
      <c r="S293" s="109" t="s">
        <v>48</v>
      </c>
      <c r="T293" s="109" t="s">
        <v>48</v>
      </c>
      <c r="U293" s="109" t="s">
        <v>48</v>
      </c>
      <c r="V293" s="166" t="s">
        <v>48</v>
      </c>
      <c r="W293" s="165" t="s">
        <v>1705</v>
      </c>
      <c r="X293" s="109" t="s">
        <v>1705</v>
      </c>
      <c r="Y293" s="109" t="s">
        <v>48</v>
      </c>
      <c r="Z293" s="109" t="s">
        <v>48</v>
      </c>
      <c r="AA293" s="109" t="s">
        <v>48</v>
      </c>
      <c r="AB293" s="109" t="s">
        <v>48</v>
      </c>
      <c r="AC293" s="109" t="s">
        <v>48</v>
      </c>
      <c r="AD293" s="166" t="s">
        <v>48</v>
      </c>
      <c r="AE293" s="174" t="s">
        <v>48</v>
      </c>
      <c r="AF293" s="117" t="s">
        <v>48</v>
      </c>
      <c r="AG293" s="117" t="s">
        <v>48</v>
      </c>
      <c r="AH293" s="109" t="s">
        <v>48</v>
      </c>
      <c r="AI293" s="117" t="s">
        <v>48</v>
      </c>
      <c r="AJ293" s="117" t="s">
        <v>48</v>
      </c>
      <c r="AK293" s="182" t="s">
        <v>48</v>
      </c>
      <c r="AL293" s="165" t="s">
        <v>1705</v>
      </c>
      <c r="AM293" s="109" t="s">
        <v>1705</v>
      </c>
      <c r="AN293" s="109" t="s">
        <v>2537</v>
      </c>
      <c r="AO293" s="109" t="s">
        <v>2419</v>
      </c>
      <c r="AP293" s="109" t="s">
        <v>48</v>
      </c>
      <c r="AQ293" s="109" t="s">
        <v>48</v>
      </c>
      <c r="AR293" s="109" t="s">
        <v>2538</v>
      </c>
      <c r="AS293" s="166" t="s">
        <v>2539</v>
      </c>
      <c r="AT293" s="165" t="s">
        <v>48</v>
      </c>
      <c r="AU293" s="109" t="s">
        <v>48</v>
      </c>
      <c r="AV293" s="109" t="s">
        <v>48</v>
      </c>
      <c r="AW293" s="109" t="s">
        <v>48</v>
      </c>
      <c r="AX293" s="109" t="s">
        <v>48</v>
      </c>
      <c r="AY293" s="109" t="s">
        <v>48</v>
      </c>
      <c r="AZ293" s="166" t="s">
        <v>48</v>
      </c>
      <c r="BA293" s="162" t="s">
        <v>1833</v>
      </c>
      <c r="BB293" s="109" t="s">
        <v>82</v>
      </c>
      <c r="BC293" s="109" t="s">
        <v>1827</v>
      </c>
    </row>
    <row r="294" spans="1:55" ht="75" hidden="1" customHeight="1">
      <c r="A294" s="109" t="s">
        <v>2337</v>
      </c>
      <c r="B294" s="109" t="s">
        <v>2011</v>
      </c>
      <c r="C294" s="109" t="s">
        <v>874</v>
      </c>
      <c r="D294" s="109" t="s">
        <v>1705</v>
      </c>
      <c r="E294" s="161">
        <v>15000</v>
      </c>
      <c r="F294" s="165" t="s">
        <v>1825</v>
      </c>
      <c r="G294" s="109" t="s">
        <v>1825</v>
      </c>
      <c r="H294" s="109" t="s">
        <v>1971</v>
      </c>
      <c r="I294" s="109" t="s">
        <v>2039</v>
      </c>
      <c r="J294" s="109" t="s">
        <v>1708</v>
      </c>
      <c r="K294" s="109" t="s">
        <v>1708</v>
      </c>
      <c r="L294" s="109" t="s">
        <v>2007</v>
      </c>
      <c r="M294" s="166" t="s">
        <v>1687</v>
      </c>
      <c r="N294" s="108" t="s">
        <v>48</v>
      </c>
      <c r="O294" s="109" t="s">
        <v>48</v>
      </c>
      <c r="P294" s="162" t="s">
        <v>48</v>
      </c>
      <c r="Q294" s="109" t="s">
        <v>48</v>
      </c>
      <c r="R294" s="109" t="s">
        <v>48</v>
      </c>
      <c r="S294" s="109" t="s">
        <v>48</v>
      </c>
      <c r="T294" s="109" t="s">
        <v>48</v>
      </c>
      <c r="U294" s="109" t="s">
        <v>48</v>
      </c>
      <c r="V294" s="166" t="s">
        <v>48</v>
      </c>
      <c r="W294" s="165" t="s">
        <v>1705</v>
      </c>
      <c r="X294" s="109" t="s">
        <v>1705</v>
      </c>
      <c r="Y294" s="109" t="s">
        <v>48</v>
      </c>
      <c r="Z294" s="109" t="s">
        <v>48</v>
      </c>
      <c r="AA294" s="109" t="s">
        <v>48</v>
      </c>
      <c r="AB294" s="109" t="s">
        <v>48</v>
      </c>
      <c r="AC294" s="109" t="s">
        <v>48</v>
      </c>
      <c r="AD294" s="166" t="s">
        <v>48</v>
      </c>
      <c r="AE294" s="174" t="s">
        <v>48</v>
      </c>
      <c r="AF294" s="117" t="s">
        <v>48</v>
      </c>
      <c r="AG294" s="117" t="s">
        <v>48</v>
      </c>
      <c r="AH294" s="109" t="s">
        <v>48</v>
      </c>
      <c r="AI294" s="117" t="s">
        <v>48</v>
      </c>
      <c r="AJ294" s="117" t="s">
        <v>48</v>
      </c>
      <c r="AK294" s="182" t="s">
        <v>48</v>
      </c>
      <c r="AL294" s="165" t="s">
        <v>1705</v>
      </c>
      <c r="AM294" s="109" t="s">
        <v>1705</v>
      </c>
      <c r="AN294" s="109" t="s">
        <v>2537</v>
      </c>
      <c r="AO294" s="109" t="s">
        <v>2419</v>
      </c>
      <c r="AP294" s="109" t="s">
        <v>48</v>
      </c>
      <c r="AQ294" s="109" t="s">
        <v>48</v>
      </c>
      <c r="AR294" s="109" t="s">
        <v>2538</v>
      </c>
      <c r="AS294" s="166" t="s">
        <v>2539</v>
      </c>
      <c r="AT294" s="165" t="s">
        <v>48</v>
      </c>
      <c r="AU294" s="109" t="s">
        <v>48</v>
      </c>
      <c r="AV294" s="109" t="s">
        <v>48</v>
      </c>
      <c r="AW294" s="109" t="s">
        <v>48</v>
      </c>
      <c r="AX294" s="109" t="s">
        <v>48</v>
      </c>
      <c r="AY294" s="109" t="s">
        <v>48</v>
      </c>
      <c r="AZ294" s="166" t="s">
        <v>48</v>
      </c>
      <c r="BA294" s="162" t="s">
        <v>1833</v>
      </c>
      <c r="BB294" s="109" t="s">
        <v>82</v>
      </c>
      <c r="BC294" s="109" t="s">
        <v>1827</v>
      </c>
    </row>
    <row r="295" spans="1:55" ht="75" hidden="1" customHeight="1">
      <c r="A295" s="109" t="s">
        <v>2338</v>
      </c>
      <c r="B295" s="109" t="s">
        <v>2012</v>
      </c>
      <c r="C295" s="109" t="s">
        <v>874</v>
      </c>
      <c r="D295" s="109" t="s">
        <v>1705</v>
      </c>
      <c r="E295" s="161">
        <v>15000</v>
      </c>
      <c r="F295" s="165" t="s">
        <v>1825</v>
      </c>
      <c r="G295" s="109" t="s">
        <v>1825</v>
      </c>
      <c r="H295" s="109" t="s">
        <v>1971</v>
      </c>
      <c r="I295" s="109" t="s">
        <v>2039</v>
      </c>
      <c r="J295" s="109" t="s">
        <v>1708</v>
      </c>
      <c r="K295" s="109" t="s">
        <v>1708</v>
      </c>
      <c r="L295" s="109" t="s">
        <v>2007</v>
      </c>
      <c r="M295" s="166" t="s">
        <v>1687</v>
      </c>
      <c r="N295" s="108" t="s">
        <v>48</v>
      </c>
      <c r="O295" s="109" t="s">
        <v>48</v>
      </c>
      <c r="P295" s="162" t="s">
        <v>48</v>
      </c>
      <c r="Q295" s="109" t="s">
        <v>48</v>
      </c>
      <c r="R295" s="109" t="s">
        <v>48</v>
      </c>
      <c r="S295" s="109" t="s">
        <v>48</v>
      </c>
      <c r="T295" s="109" t="s">
        <v>48</v>
      </c>
      <c r="U295" s="109" t="s">
        <v>48</v>
      </c>
      <c r="V295" s="166" t="s">
        <v>48</v>
      </c>
      <c r="W295" s="165" t="s">
        <v>1705</v>
      </c>
      <c r="X295" s="109" t="s">
        <v>1705</v>
      </c>
      <c r="Y295" s="109" t="s">
        <v>48</v>
      </c>
      <c r="Z295" s="109" t="s">
        <v>48</v>
      </c>
      <c r="AA295" s="109" t="s">
        <v>48</v>
      </c>
      <c r="AB295" s="109" t="s">
        <v>48</v>
      </c>
      <c r="AC295" s="109" t="s">
        <v>48</v>
      </c>
      <c r="AD295" s="166" t="s">
        <v>48</v>
      </c>
      <c r="AE295" s="174" t="s">
        <v>48</v>
      </c>
      <c r="AF295" s="117" t="s">
        <v>48</v>
      </c>
      <c r="AG295" s="117" t="s">
        <v>48</v>
      </c>
      <c r="AH295" s="109" t="s">
        <v>48</v>
      </c>
      <c r="AI295" s="117" t="s">
        <v>48</v>
      </c>
      <c r="AJ295" s="117" t="s">
        <v>48</v>
      </c>
      <c r="AK295" s="182" t="s">
        <v>48</v>
      </c>
      <c r="AL295" s="165" t="s">
        <v>1705</v>
      </c>
      <c r="AM295" s="109" t="s">
        <v>1705</v>
      </c>
      <c r="AN295" s="109" t="s">
        <v>2537</v>
      </c>
      <c r="AO295" s="109" t="s">
        <v>2419</v>
      </c>
      <c r="AP295" s="109" t="s">
        <v>48</v>
      </c>
      <c r="AQ295" s="109" t="s">
        <v>48</v>
      </c>
      <c r="AR295" s="109" t="s">
        <v>2538</v>
      </c>
      <c r="AS295" s="166" t="s">
        <v>2539</v>
      </c>
      <c r="AT295" s="165" t="s">
        <v>48</v>
      </c>
      <c r="AU295" s="109" t="s">
        <v>48</v>
      </c>
      <c r="AV295" s="109" t="s">
        <v>48</v>
      </c>
      <c r="AW295" s="109" t="s">
        <v>48</v>
      </c>
      <c r="AX295" s="109" t="s">
        <v>48</v>
      </c>
      <c r="AY295" s="109" t="s">
        <v>48</v>
      </c>
      <c r="AZ295" s="166" t="s">
        <v>48</v>
      </c>
      <c r="BA295" s="162" t="s">
        <v>1833</v>
      </c>
      <c r="BB295" s="109" t="s">
        <v>82</v>
      </c>
      <c r="BC295" s="109" t="s">
        <v>1827</v>
      </c>
    </row>
    <row r="296" spans="1:55" ht="14.4" hidden="1">
      <c r="A296" s="109" t="s">
        <v>2336</v>
      </c>
      <c r="B296" s="109" t="s">
        <v>2010</v>
      </c>
      <c r="C296" s="109" t="s">
        <v>874</v>
      </c>
      <c r="D296" s="109" t="s">
        <v>872</v>
      </c>
      <c r="E296" s="161">
        <v>15000</v>
      </c>
      <c r="F296" s="165" t="s">
        <v>1824</v>
      </c>
      <c r="G296" s="109" t="s">
        <v>1824</v>
      </c>
      <c r="H296" s="109" t="s">
        <v>1941</v>
      </c>
      <c r="I296" s="109" t="s">
        <v>1908</v>
      </c>
      <c r="J296" s="109" t="s">
        <v>1708</v>
      </c>
      <c r="K296" s="109" t="s">
        <v>1708</v>
      </c>
      <c r="L296" s="109" t="s">
        <v>1992</v>
      </c>
      <c r="M296" s="166" t="s">
        <v>1687</v>
      </c>
      <c r="N296" s="108" t="s">
        <v>48</v>
      </c>
      <c r="O296" s="109" t="s">
        <v>48</v>
      </c>
      <c r="P296" s="162" t="s">
        <v>48</v>
      </c>
      <c r="Q296" s="109" t="s">
        <v>48</v>
      </c>
      <c r="R296" s="109" t="s">
        <v>48</v>
      </c>
      <c r="S296" s="109" t="s">
        <v>48</v>
      </c>
      <c r="T296" s="109" t="s">
        <v>48</v>
      </c>
      <c r="U296" s="109" t="s">
        <v>48</v>
      </c>
      <c r="V296" s="166" t="s">
        <v>48</v>
      </c>
      <c r="W296" s="165" t="s">
        <v>872</v>
      </c>
      <c r="X296" s="109" t="s">
        <v>872</v>
      </c>
      <c r="Y296" s="109" t="s">
        <v>48</v>
      </c>
      <c r="Z296" s="109" t="s">
        <v>48</v>
      </c>
      <c r="AA296" s="109" t="s">
        <v>48</v>
      </c>
      <c r="AB296" s="109" t="s">
        <v>48</v>
      </c>
      <c r="AC296" s="109" t="s">
        <v>48</v>
      </c>
      <c r="AD296" s="166" t="s">
        <v>48</v>
      </c>
      <c r="AE296" s="174" t="s">
        <v>65</v>
      </c>
      <c r="AF296" s="109" t="s">
        <v>48</v>
      </c>
      <c r="AG296" s="130" t="s">
        <v>48</v>
      </c>
      <c r="AH296" s="109" t="s">
        <v>48</v>
      </c>
      <c r="AI296" s="109" t="s">
        <v>48</v>
      </c>
      <c r="AJ296" s="109" t="s">
        <v>48</v>
      </c>
      <c r="AK296" s="166" t="s">
        <v>48</v>
      </c>
      <c r="AL296" s="165" t="s">
        <v>872</v>
      </c>
      <c r="AM296" s="109" t="s">
        <v>872</v>
      </c>
      <c r="AN296" s="109" t="s">
        <v>48</v>
      </c>
      <c r="AO296" s="109" t="s">
        <v>48</v>
      </c>
      <c r="AP296" s="109" t="s">
        <v>48</v>
      </c>
      <c r="AQ296" s="109" t="s">
        <v>48</v>
      </c>
      <c r="AR296" s="109" t="s">
        <v>48</v>
      </c>
      <c r="AS296" s="166" t="s">
        <v>48</v>
      </c>
      <c r="AT296" s="165" t="s">
        <v>48</v>
      </c>
      <c r="AU296" s="109" t="s">
        <v>48</v>
      </c>
      <c r="AV296" s="109" t="s">
        <v>48</v>
      </c>
      <c r="AW296" s="109" t="s">
        <v>48</v>
      </c>
      <c r="AX296" s="109" t="s">
        <v>48</v>
      </c>
      <c r="AY296" s="109" t="s">
        <v>48</v>
      </c>
      <c r="AZ296" s="166" t="s">
        <v>48</v>
      </c>
      <c r="BA296" s="162" t="s">
        <v>1833</v>
      </c>
      <c r="BB296" s="109" t="s">
        <v>82</v>
      </c>
      <c r="BC296" s="109" t="s">
        <v>1827</v>
      </c>
    </row>
    <row r="297" spans="1:55" ht="75" hidden="1" customHeight="1">
      <c r="A297" s="109" t="s">
        <v>2337</v>
      </c>
      <c r="B297" s="109" t="s">
        <v>2011</v>
      </c>
      <c r="C297" s="109" t="s">
        <v>874</v>
      </c>
      <c r="D297" s="109" t="s">
        <v>872</v>
      </c>
      <c r="E297" s="161">
        <v>15000</v>
      </c>
      <c r="F297" s="165" t="s">
        <v>1824</v>
      </c>
      <c r="G297" s="109" t="s">
        <v>1824</v>
      </c>
      <c r="H297" s="109" t="s">
        <v>1941</v>
      </c>
      <c r="I297" s="109" t="s">
        <v>1908</v>
      </c>
      <c r="J297" s="109" t="s">
        <v>1708</v>
      </c>
      <c r="K297" s="109" t="s">
        <v>1708</v>
      </c>
      <c r="L297" s="109" t="s">
        <v>1992</v>
      </c>
      <c r="M297" s="166" t="s">
        <v>1687</v>
      </c>
      <c r="N297" s="108" t="s">
        <v>48</v>
      </c>
      <c r="O297" s="109" t="s">
        <v>48</v>
      </c>
      <c r="P297" s="162" t="s">
        <v>48</v>
      </c>
      <c r="Q297" s="109" t="s">
        <v>48</v>
      </c>
      <c r="R297" s="109" t="s">
        <v>48</v>
      </c>
      <c r="S297" s="109" t="s">
        <v>48</v>
      </c>
      <c r="T297" s="109" t="s">
        <v>48</v>
      </c>
      <c r="U297" s="109" t="s">
        <v>48</v>
      </c>
      <c r="V297" s="166" t="s">
        <v>48</v>
      </c>
      <c r="W297" s="165" t="s">
        <v>872</v>
      </c>
      <c r="X297" s="109" t="s">
        <v>872</v>
      </c>
      <c r="Y297" s="109" t="s">
        <v>48</v>
      </c>
      <c r="Z297" s="109" t="s">
        <v>48</v>
      </c>
      <c r="AA297" s="109" t="s">
        <v>48</v>
      </c>
      <c r="AB297" s="109" t="s">
        <v>48</v>
      </c>
      <c r="AC297" s="109" t="s">
        <v>48</v>
      </c>
      <c r="AD297" s="166" t="s">
        <v>48</v>
      </c>
      <c r="AE297" s="174" t="s">
        <v>65</v>
      </c>
      <c r="AF297" s="109" t="s">
        <v>48</v>
      </c>
      <c r="AG297" s="130" t="s">
        <v>48</v>
      </c>
      <c r="AH297" s="109" t="s">
        <v>48</v>
      </c>
      <c r="AI297" s="109" t="s">
        <v>48</v>
      </c>
      <c r="AJ297" s="109" t="s">
        <v>48</v>
      </c>
      <c r="AK297" s="166" t="s">
        <v>48</v>
      </c>
      <c r="AL297" s="165" t="s">
        <v>872</v>
      </c>
      <c r="AM297" s="109" t="s">
        <v>872</v>
      </c>
      <c r="AN297" s="109" t="s">
        <v>48</v>
      </c>
      <c r="AO297" s="109" t="s">
        <v>48</v>
      </c>
      <c r="AP297" s="109" t="s">
        <v>48</v>
      </c>
      <c r="AQ297" s="109" t="s">
        <v>48</v>
      </c>
      <c r="AR297" s="109" t="s">
        <v>48</v>
      </c>
      <c r="AS297" s="166" t="s">
        <v>48</v>
      </c>
      <c r="AT297" s="165" t="s">
        <v>48</v>
      </c>
      <c r="AU297" s="109" t="s">
        <v>48</v>
      </c>
      <c r="AV297" s="109" t="s">
        <v>48</v>
      </c>
      <c r="AW297" s="109" t="s">
        <v>48</v>
      </c>
      <c r="AX297" s="109" t="s">
        <v>48</v>
      </c>
      <c r="AY297" s="109" t="s">
        <v>48</v>
      </c>
      <c r="AZ297" s="166" t="s">
        <v>48</v>
      </c>
      <c r="BA297" s="162" t="s">
        <v>1833</v>
      </c>
      <c r="BB297" s="109" t="s">
        <v>82</v>
      </c>
      <c r="BC297" s="109" t="s">
        <v>1827</v>
      </c>
    </row>
    <row r="298" spans="1:55" ht="75" hidden="1" customHeight="1">
      <c r="A298" s="109" t="s">
        <v>2338</v>
      </c>
      <c r="B298" s="109" t="s">
        <v>2012</v>
      </c>
      <c r="C298" s="109" t="s">
        <v>874</v>
      </c>
      <c r="D298" s="109" t="s">
        <v>872</v>
      </c>
      <c r="E298" s="161">
        <v>15000</v>
      </c>
      <c r="F298" s="165" t="s">
        <v>1824</v>
      </c>
      <c r="G298" s="109" t="s">
        <v>1824</v>
      </c>
      <c r="H298" s="109" t="s">
        <v>1941</v>
      </c>
      <c r="I298" s="109" t="s">
        <v>1908</v>
      </c>
      <c r="J298" s="109" t="s">
        <v>1708</v>
      </c>
      <c r="K298" s="109" t="s">
        <v>1708</v>
      </c>
      <c r="L298" s="109" t="s">
        <v>1992</v>
      </c>
      <c r="M298" s="166" t="s">
        <v>1687</v>
      </c>
      <c r="N298" s="108" t="s">
        <v>48</v>
      </c>
      <c r="O298" s="109" t="s">
        <v>48</v>
      </c>
      <c r="P298" s="162" t="s">
        <v>48</v>
      </c>
      <c r="Q298" s="109" t="s">
        <v>48</v>
      </c>
      <c r="R298" s="109" t="s">
        <v>48</v>
      </c>
      <c r="S298" s="109" t="s">
        <v>48</v>
      </c>
      <c r="T298" s="109" t="s">
        <v>48</v>
      </c>
      <c r="U298" s="109" t="s">
        <v>48</v>
      </c>
      <c r="V298" s="166" t="s">
        <v>48</v>
      </c>
      <c r="W298" s="165" t="s">
        <v>872</v>
      </c>
      <c r="X298" s="109" t="s">
        <v>872</v>
      </c>
      <c r="Y298" s="109" t="s">
        <v>48</v>
      </c>
      <c r="Z298" s="109" t="s">
        <v>48</v>
      </c>
      <c r="AA298" s="109" t="s">
        <v>48</v>
      </c>
      <c r="AB298" s="109" t="s">
        <v>48</v>
      </c>
      <c r="AC298" s="109" t="s">
        <v>48</v>
      </c>
      <c r="AD298" s="166" t="s">
        <v>48</v>
      </c>
      <c r="AE298" s="174" t="s">
        <v>65</v>
      </c>
      <c r="AF298" s="109" t="s">
        <v>48</v>
      </c>
      <c r="AG298" s="130" t="s">
        <v>48</v>
      </c>
      <c r="AH298" s="109" t="s">
        <v>48</v>
      </c>
      <c r="AI298" s="109" t="s">
        <v>48</v>
      </c>
      <c r="AJ298" s="109" t="s">
        <v>48</v>
      </c>
      <c r="AK298" s="166" t="s">
        <v>48</v>
      </c>
      <c r="AL298" s="165" t="s">
        <v>872</v>
      </c>
      <c r="AM298" s="109" t="s">
        <v>872</v>
      </c>
      <c r="AN298" s="109" t="s">
        <v>48</v>
      </c>
      <c r="AO298" s="109" t="s">
        <v>48</v>
      </c>
      <c r="AP298" s="109" t="s">
        <v>48</v>
      </c>
      <c r="AQ298" s="109" t="s">
        <v>48</v>
      </c>
      <c r="AR298" s="109" t="s">
        <v>48</v>
      </c>
      <c r="AS298" s="166" t="s">
        <v>48</v>
      </c>
      <c r="AT298" s="165" t="s">
        <v>48</v>
      </c>
      <c r="AU298" s="109" t="s">
        <v>48</v>
      </c>
      <c r="AV298" s="109" t="s">
        <v>48</v>
      </c>
      <c r="AW298" s="109" t="s">
        <v>48</v>
      </c>
      <c r="AX298" s="109" t="s">
        <v>48</v>
      </c>
      <c r="AY298" s="109" t="s">
        <v>48</v>
      </c>
      <c r="AZ298" s="166" t="s">
        <v>48</v>
      </c>
      <c r="BA298" s="162" t="s">
        <v>1833</v>
      </c>
      <c r="BB298" s="109" t="s">
        <v>82</v>
      </c>
      <c r="BC298" s="109" t="s">
        <v>1827</v>
      </c>
    </row>
    <row r="299" spans="1:55" ht="14.4" hidden="1">
      <c r="A299" s="109" t="s">
        <v>2336</v>
      </c>
      <c r="B299" s="109" t="s">
        <v>2010</v>
      </c>
      <c r="C299" s="109" t="s">
        <v>874</v>
      </c>
      <c r="D299" s="109" t="s">
        <v>926</v>
      </c>
      <c r="E299" s="161">
        <v>15000</v>
      </c>
      <c r="F299" s="165" t="s">
        <v>1824</v>
      </c>
      <c r="G299" s="109" t="s">
        <v>1824</v>
      </c>
      <c r="H299" s="109" t="s">
        <v>1941</v>
      </c>
      <c r="I299" s="109" t="s">
        <v>1908</v>
      </c>
      <c r="J299" s="109" t="s">
        <v>1708</v>
      </c>
      <c r="K299" s="109" t="s">
        <v>1708</v>
      </c>
      <c r="L299" s="109" t="s">
        <v>1992</v>
      </c>
      <c r="M299" s="166" t="s">
        <v>1687</v>
      </c>
      <c r="N299" s="108" t="s">
        <v>48</v>
      </c>
      <c r="O299" s="109" t="s">
        <v>48</v>
      </c>
      <c r="P299" s="162" t="s">
        <v>48</v>
      </c>
      <c r="Q299" s="109" t="s">
        <v>48</v>
      </c>
      <c r="R299" s="109" t="s">
        <v>48</v>
      </c>
      <c r="S299" s="109" t="s">
        <v>48</v>
      </c>
      <c r="T299" s="109" t="s">
        <v>48</v>
      </c>
      <c r="U299" s="109" t="s">
        <v>48</v>
      </c>
      <c r="V299" s="166" t="s">
        <v>48</v>
      </c>
      <c r="W299" s="165" t="s">
        <v>926</v>
      </c>
      <c r="X299" s="109" t="s">
        <v>926</v>
      </c>
      <c r="Y299" s="109" t="s">
        <v>48</v>
      </c>
      <c r="Z299" s="109" t="s">
        <v>48</v>
      </c>
      <c r="AA299" s="109" t="s">
        <v>48</v>
      </c>
      <c r="AB299" s="109" t="s">
        <v>48</v>
      </c>
      <c r="AC299" s="109" t="s">
        <v>48</v>
      </c>
      <c r="AD299" s="166" t="s">
        <v>48</v>
      </c>
      <c r="AE299" s="174" t="s">
        <v>48</v>
      </c>
      <c r="AF299" s="117" t="s">
        <v>48</v>
      </c>
      <c r="AG299" s="117" t="s">
        <v>48</v>
      </c>
      <c r="AH299" s="109" t="s">
        <v>48</v>
      </c>
      <c r="AI299" s="117" t="s">
        <v>48</v>
      </c>
      <c r="AJ299" s="117" t="s">
        <v>48</v>
      </c>
      <c r="AK299" s="182" t="s">
        <v>48</v>
      </c>
      <c r="AL299" s="165" t="s">
        <v>926</v>
      </c>
      <c r="AM299" s="109" t="s">
        <v>926</v>
      </c>
      <c r="AN299" s="109" t="s">
        <v>48</v>
      </c>
      <c r="AO299" s="109" t="s">
        <v>48</v>
      </c>
      <c r="AP299" s="109" t="s">
        <v>48</v>
      </c>
      <c r="AQ299" s="109" t="s">
        <v>48</v>
      </c>
      <c r="AR299" s="109" t="s">
        <v>48</v>
      </c>
      <c r="AS299" s="166" t="s">
        <v>48</v>
      </c>
      <c r="AT299" s="165" t="s">
        <v>48</v>
      </c>
      <c r="AU299" s="109" t="s">
        <v>48</v>
      </c>
      <c r="AV299" s="109" t="s">
        <v>48</v>
      </c>
      <c r="AW299" s="109" t="s">
        <v>48</v>
      </c>
      <c r="AX299" s="109" t="s">
        <v>48</v>
      </c>
      <c r="AY299" s="109" t="s">
        <v>48</v>
      </c>
      <c r="AZ299" s="166" t="s">
        <v>48</v>
      </c>
      <c r="BA299" s="162" t="s">
        <v>1833</v>
      </c>
      <c r="BB299" s="109" t="s">
        <v>82</v>
      </c>
      <c r="BC299" s="109" t="s">
        <v>1827</v>
      </c>
    </row>
    <row r="300" spans="1:55" ht="75" hidden="1" customHeight="1">
      <c r="A300" s="109" t="s">
        <v>2337</v>
      </c>
      <c r="B300" s="109" t="s">
        <v>2011</v>
      </c>
      <c r="C300" s="109" t="s">
        <v>874</v>
      </c>
      <c r="D300" s="109" t="s">
        <v>926</v>
      </c>
      <c r="E300" s="161">
        <v>15000</v>
      </c>
      <c r="F300" s="165" t="s">
        <v>1824</v>
      </c>
      <c r="G300" s="109" t="s">
        <v>1824</v>
      </c>
      <c r="H300" s="109" t="s">
        <v>1941</v>
      </c>
      <c r="I300" s="109" t="s">
        <v>1908</v>
      </c>
      <c r="J300" s="109" t="s">
        <v>1708</v>
      </c>
      <c r="K300" s="109" t="s">
        <v>1708</v>
      </c>
      <c r="L300" s="109" t="s">
        <v>1992</v>
      </c>
      <c r="M300" s="166" t="s">
        <v>1687</v>
      </c>
      <c r="N300" s="108" t="s">
        <v>48</v>
      </c>
      <c r="O300" s="109" t="s">
        <v>48</v>
      </c>
      <c r="P300" s="162" t="s">
        <v>48</v>
      </c>
      <c r="Q300" s="109" t="s">
        <v>48</v>
      </c>
      <c r="R300" s="109" t="s">
        <v>48</v>
      </c>
      <c r="S300" s="109" t="s">
        <v>48</v>
      </c>
      <c r="T300" s="109" t="s">
        <v>48</v>
      </c>
      <c r="U300" s="109" t="s">
        <v>48</v>
      </c>
      <c r="V300" s="166" t="s">
        <v>48</v>
      </c>
      <c r="W300" s="165" t="s">
        <v>926</v>
      </c>
      <c r="X300" s="109" t="s">
        <v>926</v>
      </c>
      <c r="Y300" s="109" t="s">
        <v>48</v>
      </c>
      <c r="Z300" s="109" t="s">
        <v>48</v>
      </c>
      <c r="AA300" s="109" t="s">
        <v>48</v>
      </c>
      <c r="AB300" s="109" t="s">
        <v>48</v>
      </c>
      <c r="AC300" s="109" t="s">
        <v>48</v>
      </c>
      <c r="AD300" s="166" t="s">
        <v>48</v>
      </c>
      <c r="AE300" s="174" t="s">
        <v>48</v>
      </c>
      <c r="AF300" s="117" t="s">
        <v>48</v>
      </c>
      <c r="AG300" s="117" t="s">
        <v>48</v>
      </c>
      <c r="AH300" s="109" t="s">
        <v>48</v>
      </c>
      <c r="AI300" s="117" t="s">
        <v>48</v>
      </c>
      <c r="AJ300" s="117" t="s">
        <v>48</v>
      </c>
      <c r="AK300" s="182" t="s">
        <v>48</v>
      </c>
      <c r="AL300" s="165" t="s">
        <v>926</v>
      </c>
      <c r="AM300" s="109" t="s">
        <v>926</v>
      </c>
      <c r="AN300" s="109" t="s">
        <v>48</v>
      </c>
      <c r="AO300" s="109" t="s">
        <v>48</v>
      </c>
      <c r="AP300" s="109" t="s">
        <v>48</v>
      </c>
      <c r="AQ300" s="109" t="s">
        <v>48</v>
      </c>
      <c r="AR300" s="109" t="s">
        <v>48</v>
      </c>
      <c r="AS300" s="166" t="s">
        <v>48</v>
      </c>
      <c r="AT300" s="165" t="s">
        <v>48</v>
      </c>
      <c r="AU300" s="109" t="s">
        <v>48</v>
      </c>
      <c r="AV300" s="109" t="s">
        <v>48</v>
      </c>
      <c r="AW300" s="109" t="s">
        <v>48</v>
      </c>
      <c r="AX300" s="109" t="s">
        <v>48</v>
      </c>
      <c r="AY300" s="109" t="s">
        <v>48</v>
      </c>
      <c r="AZ300" s="166" t="s">
        <v>48</v>
      </c>
      <c r="BA300" s="162" t="s">
        <v>1833</v>
      </c>
      <c r="BB300" s="109" t="s">
        <v>82</v>
      </c>
      <c r="BC300" s="109" t="s">
        <v>1827</v>
      </c>
    </row>
    <row r="301" spans="1:55" ht="75" hidden="1" customHeight="1">
      <c r="A301" s="109" t="s">
        <v>2338</v>
      </c>
      <c r="B301" s="109" t="s">
        <v>2012</v>
      </c>
      <c r="C301" s="109" t="s">
        <v>874</v>
      </c>
      <c r="D301" s="109" t="s">
        <v>926</v>
      </c>
      <c r="E301" s="161">
        <v>15000</v>
      </c>
      <c r="F301" s="165" t="s">
        <v>1824</v>
      </c>
      <c r="G301" s="109" t="s">
        <v>1824</v>
      </c>
      <c r="H301" s="109" t="s">
        <v>1941</v>
      </c>
      <c r="I301" s="109" t="s">
        <v>1908</v>
      </c>
      <c r="J301" s="109" t="s">
        <v>1708</v>
      </c>
      <c r="K301" s="109" t="s">
        <v>1708</v>
      </c>
      <c r="L301" s="109" t="s">
        <v>1992</v>
      </c>
      <c r="M301" s="166" t="s">
        <v>1687</v>
      </c>
      <c r="N301" s="108" t="s">
        <v>48</v>
      </c>
      <c r="O301" s="109" t="s">
        <v>48</v>
      </c>
      <c r="P301" s="162" t="s">
        <v>48</v>
      </c>
      <c r="Q301" s="109" t="s">
        <v>48</v>
      </c>
      <c r="R301" s="109" t="s">
        <v>48</v>
      </c>
      <c r="S301" s="109" t="s">
        <v>48</v>
      </c>
      <c r="T301" s="109" t="s">
        <v>48</v>
      </c>
      <c r="U301" s="109" t="s">
        <v>48</v>
      </c>
      <c r="V301" s="166" t="s">
        <v>48</v>
      </c>
      <c r="W301" s="165" t="s">
        <v>926</v>
      </c>
      <c r="X301" s="109" t="s">
        <v>926</v>
      </c>
      <c r="Y301" s="109" t="s">
        <v>48</v>
      </c>
      <c r="Z301" s="109" t="s">
        <v>48</v>
      </c>
      <c r="AA301" s="109" t="s">
        <v>48</v>
      </c>
      <c r="AB301" s="109" t="s">
        <v>48</v>
      </c>
      <c r="AC301" s="109" t="s">
        <v>48</v>
      </c>
      <c r="AD301" s="166" t="s">
        <v>48</v>
      </c>
      <c r="AE301" s="174" t="s">
        <v>48</v>
      </c>
      <c r="AF301" s="117" t="s">
        <v>48</v>
      </c>
      <c r="AG301" s="117" t="s">
        <v>48</v>
      </c>
      <c r="AH301" s="109" t="s">
        <v>48</v>
      </c>
      <c r="AI301" s="117" t="s">
        <v>48</v>
      </c>
      <c r="AJ301" s="117" t="s">
        <v>48</v>
      </c>
      <c r="AK301" s="182" t="s">
        <v>48</v>
      </c>
      <c r="AL301" s="165" t="s">
        <v>926</v>
      </c>
      <c r="AM301" s="109" t="s">
        <v>926</v>
      </c>
      <c r="AN301" s="109" t="s">
        <v>48</v>
      </c>
      <c r="AO301" s="109" t="s">
        <v>48</v>
      </c>
      <c r="AP301" s="109" t="s">
        <v>48</v>
      </c>
      <c r="AQ301" s="109" t="s">
        <v>48</v>
      </c>
      <c r="AR301" s="109" t="s">
        <v>48</v>
      </c>
      <c r="AS301" s="166" t="s">
        <v>48</v>
      </c>
      <c r="AT301" s="165" t="s">
        <v>48</v>
      </c>
      <c r="AU301" s="109" t="s">
        <v>48</v>
      </c>
      <c r="AV301" s="109" t="s">
        <v>48</v>
      </c>
      <c r="AW301" s="109" t="s">
        <v>48</v>
      </c>
      <c r="AX301" s="109" t="s">
        <v>48</v>
      </c>
      <c r="AY301" s="109" t="s">
        <v>48</v>
      </c>
      <c r="AZ301" s="166" t="s">
        <v>48</v>
      </c>
      <c r="BA301" s="162" t="s">
        <v>1833</v>
      </c>
      <c r="BB301" s="109" t="s">
        <v>82</v>
      </c>
      <c r="BC301" s="109" t="s">
        <v>1827</v>
      </c>
    </row>
    <row r="302" spans="1:55" ht="75" hidden="1" customHeight="1">
      <c r="A302" s="109" t="s">
        <v>2336</v>
      </c>
      <c r="B302" s="109" t="s">
        <v>2010</v>
      </c>
      <c r="C302" s="117" t="s">
        <v>874</v>
      </c>
      <c r="D302" s="109" t="s">
        <v>1397</v>
      </c>
      <c r="E302" s="161">
        <v>15000</v>
      </c>
      <c r="F302" s="165" t="s">
        <v>1824</v>
      </c>
      <c r="G302" s="109" t="s">
        <v>1824</v>
      </c>
      <c r="H302" s="109" t="s">
        <v>1941</v>
      </c>
      <c r="I302" s="109" t="s">
        <v>1908</v>
      </c>
      <c r="J302" s="109" t="s">
        <v>1708</v>
      </c>
      <c r="K302" s="109" t="s">
        <v>1708</v>
      </c>
      <c r="L302" s="109" t="s">
        <v>1992</v>
      </c>
      <c r="M302" s="166" t="s">
        <v>1687</v>
      </c>
      <c r="N302" s="108" t="s">
        <v>48</v>
      </c>
      <c r="O302" s="109" t="s">
        <v>48</v>
      </c>
      <c r="P302" s="162" t="s">
        <v>48</v>
      </c>
      <c r="Q302" s="109" t="s">
        <v>48</v>
      </c>
      <c r="R302" s="109" t="s">
        <v>48</v>
      </c>
      <c r="S302" s="109" t="s">
        <v>48</v>
      </c>
      <c r="T302" s="109" t="s">
        <v>48</v>
      </c>
      <c r="U302" s="109" t="s">
        <v>48</v>
      </c>
      <c r="V302" s="166" t="s">
        <v>48</v>
      </c>
      <c r="W302" s="165" t="s">
        <v>1397</v>
      </c>
      <c r="X302" s="109" t="s">
        <v>1397</v>
      </c>
      <c r="Y302" s="109" t="s">
        <v>48</v>
      </c>
      <c r="Z302" s="109" t="s">
        <v>48</v>
      </c>
      <c r="AA302" s="109" t="s">
        <v>48</v>
      </c>
      <c r="AB302" s="109" t="s">
        <v>48</v>
      </c>
      <c r="AC302" s="109" t="s">
        <v>48</v>
      </c>
      <c r="AD302" s="166" t="s">
        <v>48</v>
      </c>
      <c r="AE302" s="165" t="s">
        <v>48</v>
      </c>
      <c r="AF302" s="109" t="s">
        <v>48</v>
      </c>
      <c r="AG302" s="109" t="s">
        <v>48</v>
      </c>
      <c r="AH302" s="109" t="s">
        <v>48</v>
      </c>
      <c r="AI302" s="109" t="s">
        <v>48</v>
      </c>
      <c r="AJ302" s="109" t="s">
        <v>48</v>
      </c>
      <c r="AK302" s="166" t="s">
        <v>48</v>
      </c>
      <c r="AL302" s="165" t="s">
        <v>1397</v>
      </c>
      <c r="AM302" s="109" t="s">
        <v>1397</v>
      </c>
      <c r="AN302" s="109" t="s">
        <v>48</v>
      </c>
      <c r="AO302" s="109" t="s">
        <v>48</v>
      </c>
      <c r="AP302" s="109" t="s">
        <v>48</v>
      </c>
      <c r="AQ302" s="109" t="s">
        <v>48</v>
      </c>
      <c r="AR302" s="109" t="s">
        <v>48</v>
      </c>
      <c r="AS302" s="166" t="s">
        <v>48</v>
      </c>
      <c r="AT302" s="165" t="s">
        <v>48</v>
      </c>
      <c r="AU302" s="109" t="s">
        <v>48</v>
      </c>
      <c r="AV302" s="109" t="s">
        <v>48</v>
      </c>
      <c r="AW302" s="109" t="s">
        <v>48</v>
      </c>
      <c r="AX302" s="109" t="s">
        <v>48</v>
      </c>
      <c r="AY302" s="109" t="s">
        <v>48</v>
      </c>
      <c r="AZ302" s="166" t="s">
        <v>48</v>
      </c>
      <c r="BA302" s="162" t="s">
        <v>1833</v>
      </c>
      <c r="BB302" s="109" t="s">
        <v>82</v>
      </c>
      <c r="BC302" s="109" t="s">
        <v>1827</v>
      </c>
    </row>
    <row r="303" spans="1:55" ht="75" hidden="1" customHeight="1">
      <c r="A303" s="109" t="s">
        <v>2337</v>
      </c>
      <c r="B303" s="109" t="s">
        <v>2011</v>
      </c>
      <c r="C303" s="117" t="s">
        <v>874</v>
      </c>
      <c r="D303" s="109" t="s">
        <v>1397</v>
      </c>
      <c r="E303" s="161">
        <v>15000</v>
      </c>
      <c r="F303" s="165" t="s">
        <v>1824</v>
      </c>
      <c r="G303" s="109" t="s">
        <v>1824</v>
      </c>
      <c r="H303" s="109" t="s">
        <v>1941</v>
      </c>
      <c r="I303" s="109" t="s">
        <v>1908</v>
      </c>
      <c r="J303" s="109" t="s">
        <v>1708</v>
      </c>
      <c r="K303" s="109" t="s">
        <v>1708</v>
      </c>
      <c r="L303" s="109" t="s">
        <v>1992</v>
      </c>
      <c r="M303" s="166" t="s">
        <v>1687</v>
      </c>
      <c r="N303" s="108" t="s">
        <v>48</v>
      </c>
      <c r="O303" s="109" t="s">
        <v>48</v>
      </c>
      <c r="P303" s="162" t="s">
        <v>48</v>
      </c>
      <c r="Q303" s="109" t="s">
        <v>48</v>
      </c>
      <c r="R303" s="109" t="s">
        <v>48</v>
      </c>
      <c r="S303" s="109" t="s">
        <v>48</v>
      </c>
      <c r="T303" s="109" t="s">
        <v>48</v>
      </c>
      <c r="U303" s="109" t="s">
        <v>48</v>
      </c>
      <c r="V303" s="166" t="s">
        <v>48</v>
      </c>
      <c r="W303" s="165" t="s">
        <v>1397</v>
      </c>
      <c r="X303" s="109" t="s">
        <v>1397</v>
      </c>
      <c r="Y303" s="109" t="s">
        <v>48</v>
      </c>
      <c r="Z303" s="109" t="s">
        <v>48</v>
      </c>
      <c r="AA303" s="109" t="s">
        <v>48</v>
      </c>
      <c r="AB303" s="109" t="s">
        <v>48</v>
      </c>
      <c r="AC303" s="109" t="s">
        <v>48</v>
      </c>
      <c r="AD303" s="166" t="s">
        <v>48</v>
      </c>
      <c r="AE303" s="165" t="s">
        <v>48</v>
      </c>
      <c r="AF303" s="109" t="s">
        <v>48</v>
      </c>
      <c r="AG303" s="109" t="s">
        <v>48</v>
      </c>
      <c r="AH303" s="109" t="s">
        <v>48</v>
      </c>
      <c r="AI303" s="109" t="s">
        <v>48</v>
      </c>
      <c r="AJ303" s="109" t="s">
        <v>48</v>
      </c>
      <c r="AK303" s="166" t="s">
        <v>48</v>
      </c>
      <c r="AL303" s="165" t="s">
        <v>1397</v>
      </c>
      <c r="AM303" s="109" t="s">
        <v>1397</v>
      </c>
      <c r="AN303" s="109" t="s">
        <v>48</v>
      </c>
      <c r="AO303" s="109" t="s">
        <v>48</v>
      </c>
      <c r="AP303" s="109" t="s">
        <v>48</v>
      </c>
      <c r="AQ303" s="109" t="s">
        <v>48</v>
      </c>
      <c r="AR303" s="109" t="s">
        <v>48</v>
      </c>
      <c r="AS303" s="166" t="s">
        <v>48</v>
      </c>
      <c r="AT303" s="165" t="s">
        <v>48</v>
      </c>
      <c r="AU303" s="109" t="s">
        <v>48</v>
      </c>
      <c r="AV303" s="109" t="s">
        <v>48</v>
      </c>
      <c r="AW303" s="109" t="s">
        <v>48</v>
      </c>
      <c r="AX303" s="109" t="s">
        <v>48</v>
      </c>
      <c r="AY303" s="109" t="s">
        <v>48</v>
      </c>
      <c r="AZ303" s="166" t="s">
        <v>48</v>
      </c>
      <c r="BA303" s="162" t="s">
        <v>1833</v>
      </c>
      <c r="BB303" s="109" t="s">
        <v>82</v>
      </c>
      <c r="BC303" s="109" t="s">
        <v>1827</v>
      </c>
    </row>
    <row r="304" spans="1:55" ht="75" hidden="1" customHeight="1">
      <c r="A304" s="109" t="s">
        <v>2338</v>
      </c>
      <c r="B304" s="109" t="s">
        <v>2012</v>
      </c>
      <c r="C304" s="117" t="s">
        <v>874</v>
      </c>
      <c r="D304" s="109" t="s">
        <v>1397</v>
      </c>
      <c r="E304" s="161">
        <v>15000</v>
      </c>
      <c r="F304" s="165" t="s">
        <v>1824</v>
      </c>
      <c r="G304" s="109" t="s">
        <v>1824</v>
      </c>
      <c r="H304" s="109" t="s">
        <v>1941</v>
      </c>
      <c r="I304" s="109" t="s">
        <v>1908</v>
      </c>
      <c r="J304" s="109" t="s">
        <v>1708</v>
      </c>
      <c r="K304" s="109" t="s">
        <v>1708</v>
      </c>
      <c r="L304" s="109" t="s">
        <v>1992</v>
      </c>
      <c r="M304" s="166" t="s">
        <v>1687</v>
      </c>
      <c r="N304" s="108" t="s">
        <v>48</v>
      </c>
      <c r="O304" s="109" t="s">
        <v>48</v>
      </c>
      <c r="P304" s="162" t="s">
        <v>48</v>
      </c>
      <c r="Q304" s="109" t="s">
        <v>48</v>
      </c>
      <c r="R304" s="109" t="s">
        <v>48</v>
      </c>
      <c r="S304" s="109" t="s">
        <v>48</v>
      </c>
      <c r="T304" s="109" t="s">
        <v>48</v>
      </c>
      <c r="U304" s="109" t="s">
        <v>48</v>
      </c>
      <c r="V304" s="166" t="s">
        <v>48</v>
      </c>
      <c r="W304" s="165" t="s">
        <v>1397</v>
      </c>
      <c r="X304" s="109" t="s">
        <v>1397</v>
      </c>
      <c r="Y304" s="109" t="s">
        <v>48</v>
      </c>
      <c r="Z304" s="109" t="s">
        <v>48</v>
      </c>
      <c r="AA304" s="109" t="s">
        <v>48</v>
      </c>
      <c r="AB304" s="109" t="s">
        <v>48</v>
      </c>
      <c r="AC304" s="109" t="s">
        <v>48</v>
      </c>
      <c r="AD304" s="166" t="s">
        <v>48</v>
      </c>
      <c r="AE304" s="165" t="s">
        <v>48</v>
      </c>
      <c r="AF304" s="109" t="s">
        <v>48</v>
      </c>
      <c r="AG304" s="109" t="s">
        <v>48</v>
      </c>
      <c r="AH304" s="109" t="s">
        <v>48</v>
      </c>
      <c r="AI304" s="109" t="s">
        <v>48</v>
      </c>
      <c r="AJ304" s="109" t="s">
        <v>48</v>
      </c>
      <c r="AK304" s="166" t="s">
        <v>48</v>
      </c>
      <c r="AL304" s="165" t="s">
        <v>1397</v>
      </c>
      <c r="AM304" s="109" t="s">
        <v>1397</v>
      </c>
      <c r="AN304" s="109" t="s">
        <v>48</v>
      </c>
      <c r="AO304" s="109" t="s">
        <v>48</v>
      </c>
      <c r="AP304" s="109" t="s">
        <v>48</v>
      </c>
      <c r="AQ304" s="109" t="s">
        <v>48</v>
      </c>
      <c r="AR304" s="109" t="s">
        <v>48</v>
      </c>
      <c r="AS304" s="166" t="s">
        <v>48</v>
      </c>
      <c r="AT304" s="165" t="s">
        <v>48</v>
      </c>
      <c r="AU304" s="109" t="s">
        <v>48</v>
      </c>
      <c r="AV304" s="109" t="s">
        <v>48</v>
      </c>
      <c r="AW304" s="109" t="s">
        <v>48</v>
      </c>
      <c r="AX304" s="109" t="s">
        <v>48</v>
      </c>
      <c r="AY304" s="109" t="s">
        <v>48</v>
      </c>
      <c r="AZ304" s="166" t="s">
        <v>48</v>
      </c>
      <c r="BA304" s="162" t="s">
        <v>1833</v>
      </c>
      <c r="BB304" s="109" t="s">
        <v>82</v>
      </c>
      <c r="BC304" s="109" t="s">
        <v>1827</v>
      </c>
    </row>
    <row r="305" spans="1:55" ht="75" hidden="1" customHeight="1">
      <c r="A305" s="109" t="s">
        <v>460</v>
      </c>
      <c r="B305" s="109" t="s">
        <v>460</v>
      </c>
      <c r="C305" s="109" t="s">
        <v>17</v>
      </c>
      <c r="D305" s="109" t="s">
        <v>102</v>
      </c>
      <c r="E305" s="161">
        <v>700</v>
      </c>
      <c r="F305" s="165" t="s">
        <v>102</v>
      </c>
      <c r="G305" s="109" t="str">
        <f>F305</f>
        <v>OPENMR5.293a_M4_0838.a</v>
      </c>
      <c r="H305" s="109" t="s">
        <v>2350</v>
      </c>
      <c r="I305" s="109" t="s">
        <v>1908</v>
      </c>
      <c r="J305" s="109" t="s">
        <v>1910</v>
      </c>
      <c r="K305" s="109" t="s">
        <v>1910</v>
      </c>
      <c r="L305" s="109" t="s">
        <v>2349</v>
      </c>
      <c r="M305" s="166" t="s">
        <v>795</v>
      </c>
      <c r="N305" s="108" t="s">
        <v>48</v>
      </c>
      <c r="O305" s="109" t="s">
        <v>48</v>
      </c>
      <c r="P305" s="162" t="s">
        <v>48</v>
      </c>
      <c r="Q305" s="109" t="s">
        <v>48</v>
      </c>
      <c r="R305" s="109" t="s">
        <v>48</v>
      </c>
      <c r="S305" s="109" t="s">
        <v>48</v>
      </c>
      <c r="T305" s="109" t="s">
        <v>48</v>
      </c>
      <c r="U305" s="109" t="s">
        <v>48</v>
      </c>
      <c r="V305" s="166" t="s">
        <v>48</v>
      </c>
      <c r="W305" s="165" t="s">
        <v>102</v>
      </c>
      <c r="X305" s="109" t="str">
        <f>W305</f>
        <v>OPENMR5.293a_M4_0838.a</v>
      </c>
      <c r="Y305" s="109" t="s">
        <v>48</v>
      </c>
      <c r="Z305" s="109" t="s">
        <v>48</v>
      </c>
      <c r="AA305" s="109" t="s">
        <v>48</v>
      </c>
      <c r="AB305" s="109" t="s">
        <v>48</v>
      </c>
      <c r="AC305" s="109" t="s">
        <v>48</v>
      </c>
      <c r="AD305" s="166" t="s">
        <v>48</v>
      </c>
      <c r="AE305" s="165" t="s">
        <v>48</v>
      </c>
      <c r="AF305" s="109" t="s">
        <v>48</v>
      </c>
      <c r="AG305" s="109" t="s">
        <v>48</v>
      </c>
      <c r="AH305" s="109" t="s">
        <v>48</v>
      </c>
      <c r="AI305" s="109" t="s">
        <v>48</v>
      </c>
      <c r="AJ305" s="109" t="s">
        <v>48</v>
      </c>
      <c r="AK305" s="166" t="s">
        <v>48</v>
      </c>
      <c r="AL305" s="165" t="s">
        <v>102</v>
      </c>
      <c r="AM305" s="109" t="str">
        <f>AL305</f>
        <v>OPENMR5.293a_M4_0838.a</v>
      </c>
      <c r="AN305" s="109" t="s">
        <v>48</v>
      </c>
      <c r="AO305" s="109" t="s">
        <v>48</v>
      </c>
      <c r="AP305" s="109" t="s">
        <v>48</v>
      </c>
      <c r="AQ305" s="109" t="s">
        <v>48</v>
      </c>
      <c r="AR305" s="109" t="s">
        <v>48</v>
      </c>
      <c r="AS305" s="166" t="s">
        <v>48</v>
      </c>
      <c r="AT305" s="165" t="s">
        <v>48</v>
      </c>
      <c r="AU305" s="109" t="s">
        <v>48</v>
      </c>
      <c r="AV305" s="109" t="s">
        <v>48</v>
      </c>
      <c r="AW305" s="109" t="s">
        <v>48</v>
      </c>
      <c r="AX305" s="109" t="s">
        <v>48</v>
      </c>
      <c r="AY305" s="109" t="s">
        <v>48</v>
      </c>
      <c r="AZ305" s="166" t="s">
        <v>48</v>
      </c>
      <c r="BA305" s="162" t="s">
        <v>809</v>
      </c>
      <c r="BB305" s="109" t="s">
        <v>62</v>
      </c>
      <c r="BC305" s="79"/>
    </row>
    <row r="306" spans="1:55" ht="75" hidden="1" customHeight="1">
      <c r="A306" s="109" t="s">
        <v>19</v>
      </c>
      <c r="B306" s="109" t="s">
        <v>19</v>
      </c>
      <c r="C306" s="109" t="s">
        <v>106</v>
      </c>
      <c r="D306" s="109" t="s">
        <v>104</v>
      </c>
      <c r="E306" s="161">
        <v>700</v>
      </c>
      <c r="F306" s="165" t="s">
        <v>104</v>
      </c>
      <c r="G306" s="109" t="str">
        <f>F306</f>
        <v>OPENMR4.292a_M4_0844.a</v>
      </c>
      <c r="H306" s="109" t="s">
        <v>2352</v>
      </c>
      <c r="I306" s="109" t="s">
        <v>1908</v>
      </c>
      <c r="J306" s="109" t="s">
        <v>1910</v>
      </c>
      <c r="K306" s="109" t="s">
        <v>1910</v>
      </c>
      <c r="L306" s="109" t="s">
        <v>2353</v>
      </c>
      <c r="M306" s="166" t="s">
        <v>795</v>
      </c>
      <c r="N306" s="108" t="s">
        <v>48</v>
      </c>
      <c r="O306" s="109" t="s">
        <v>48</v>
      </c>
      <c r="P306" s="162" t="s">
        <v>48</v>
      </c>
      <c r="Q306" s="109" t="s">
        <v>48</v>
      </c>
      <c r="R306" s="109" t="s">
        <v>48</v>
      </c>
      <c r="S306" s="109" t="s">
        <v>48</v>
      </c>
      <c r="T306" s="109" t="s">
        <v>48</v>
      </c>
      <c r="U306" s="109" t="s">
        <v>48</v>
      </c>
      <c r="V306" s="166" t="s">
        <v>48</v>
      </c>
      <c r="W306" s="165" t="s">
        <v>104</v>
      </c>
      <c r="X306" s="109" t="str">
        <f>W306</f>
        <v>OPENMR4.292a_M4_0844.a</v>
      </c>
      <c r="Y306" s="109" t="s">
        <v>48</v>
      </c>
      <c r="Z306" s="109" t="s">
        <v>48</v>
      </c>
      <c r="AA306" s="109" t="s">
        <v>48</v>
      </c>
      <c r="AB306" s="109" t="s">
        <v>48</v>
      </c>
      <c r="AC306" s="109" t="s">
        <v>48</v>
      </c>
      <c r="AD306" s="166" t="s">
        <v>48</v>
      </c>
      <c r="AE306" s="165" t="s">
        <v>95</v>
      </c>
      <c r="AF306" s="109" t="s">
        <v>565</v>
      </c>
      <c r="AG306" s="109" t="s">
        <v>421</v>
      </c>
      <c r="AH306" s="109" t="s">
        <v>1908</v>
      </c>
      <c r="AI306" s="109" t="s">
        <v>623</v>
      </c>
      <c r="AJ306" s="109" t="s">
        <v>422</v>
      </c>
      <c r="AK306" s="166" t="s">
        <v>566</v>
      </c>
      <c r="AL306" s="165" t="s">
        <v>104</v>
      </c>
      <c r="AM306" s="109" t="str">
        <f>AL306</f>
        <v>OPENMR4.292a_M4_0844.a</v>
      </c>
      <c r="AN306" s="109" t="s">
        <v>48</v>
      </c>
      <c r="AO306" s="109" t="s">
        <v>48</v>
      </c>
      <c r="AP306" s="109" t="s">
        <v>48</v>
      </c>
      <c r="AQ306" s="109" t="s">
        <v>48</v>
      </c>
      <c r="AR306" s="109" t="s">
        <v>48</v>
      </c>
      <c r="AS306" s="166" t="s">
        <v>48</v>
      </c>
      <c r="AT306" s="165" t="s">
        <v>48</v>
      </c>
      <c r="AU306" s="109" t="s">
        <v>48</v>
      </c>
      <c r="AV306" s="109" t="s">
        <v>48</v>
      </c>
      <c r="AW306" s="109" t="s">
        <v>48</v>
      </c>
      <c r="AX306" s="109" t="s">
        <v>48</v>
      </c>
      <c r="AY306" s="109" t="s">
        <v>48</v>
      </c>
      <c r="AZ306" s="166" t="s">
        <v>48</v>
      </c>
      <c r="BA306" s="162" t="s">
        <v>806</v>
      </c>
      <c r="BB306" s="109" t="s">
        <v>62</v>
      </c>
      <c r="BC306" s="79"/>
    </row>
    <row r="307" spans="1:55" ht="75" hidden="1" customHeight="1">
      <c r="A307" s="109" t="s">
        <v>7</v>
      </c>
      <c r="B307" s="109" t="s">
        <v>7</v>
      </c>
      <c r="C307" s="109" t="s">
        <v>70</v>
      </c>
      <c r="D307" s="109" t="s">
        <v>71</v>
      </c>
      <c r="E307" s="161">
        <v>700</v>
      </c>
      <c r="F307" s="165" t="s">
        <v>71</v>
      </c>
      <c r="G307" s="109" t="str">
        <f>F307</f>
        <v>HFO3.29I_M4_0320.a</v>
      </c>
      <c r="H307" s="109" t="s">
        <v>2356</v>
      </c>
      <c r="I307" s="109" t="s">
        <v>1908</v>
      </c>
      <c r="J307" s="109" t="s">
        <v>1910</v>
      </c>
      <c r="K307" s="109" t="s">
        <v>1910</v>
      </c>
      <c r="L307" s="109" t="s">
        <v>2357</v>
      </c>
      <c r="M307" s="166" t="s">
        <v>795</v>
      </c>
      <c r="N307" s="108" t="s">
        <v>48</v>
      </c>
      <c r="O307" s="109" t="s">
        <v>48</v>
      </c>
      <c r="P307" s="162" t="s">
        <v>48</v>
      </c>
      <c r="Q307" s="109" t="s">
        <v>48</v>
      </c>
      <c r="R307" s="109" t="s">
        <v>48</v>
      </c>
      <c r="S307" s="109" t="s">
        <v>48</v>
      </c>
      <c r="T307" s="109" t="s">
        <v>48</v>
      </c>
      <c r="U307" s="109" t="s">
        <v>48</v>
      </c>
      <c r="V307" s="166" t="s">
        <v>48</v>
      </c>
      <c r="W307" s="165" t="s">
        <v>71</v>
      </c>
      <c r="X307" s="109" t="str">
        <f>W307</f>
        <v>HFO3.29I_M4_0320.a</v>
      </c>
      <c r="Y307" s="109" t="s">
        <v>48</v>
      </c>
      <c r="Z307" s="109" t="s">
        <v>48</v>
      </c>
      <c r="AA307" s="109" t="s">
        <v>48</v>
      </c>
      <c r="AB307" s="109" t="s">
        <v>48</v>
      </c>
      <c r="AC307" s="109" t="s">
        <v>48</v>
      </c>
      <c r="AD307" s="166" t="s">
        <v>48</v>
      </c>
      <c r="AE307" s="165" t="s">
        <v>48</v>
      </c>
      <c r="AF307" s="109" t="s">
        <v>48</v>
      </c>
      <c r="AG307" s="109" t="s">
        <v>48</v>
      </c>
      <c r="AH307" s="109" t="s">
        <v>48</v>
      </c>
      <c r="AI307" s="109" t="s">
        <v>48</v>
      </c>
      <c r="AJ307" s="109" t="s">
        <v>48</v>
      </c>
      <c r="AK307" s="166" t="s">
        <v>48</v>
      </c>
      <c r="AL307" s="165" t="s">
        <v>71</v>
      </c>
      <c r="AM307" s="109" t="str">
        <f>AL307</f>
        <v>HFO3.29I_M4_0320.a</v>
      </c>
      <c r="AN307" s="109" t="s">
        <v>48</v>
      </c>
      <c r="AO307" s="109" t="s">
        <v>48</v>
      </c>
      <c r="AP307" s="109" t="s">
        <v>48</v>
      </c>
      <c r="AQ307" s="109" t="s">
        <v>48</v>
      </c>
      <c r="AR307" s="109" t="s">
        <v>48</v>
      </c>
      <c r="AS307" s="166" t="s">
        <v>48</v>
      </c>
      <c r="AT307" s="165" t="s">
        <v>48</v>
      </c>
      <c r="AU307" s="109" t="s">
        <v>48</v>
      </c>
      <c r="AV307" s="109" t="s">
        <v>48</v>
      </c>
      <c r="AW307" s="109" t="s">
        <v>48</v>
      </c>
      <c r="AX307" s="109" t="s">
        <v>48</v>
      </c>
      <c r="AY307" s="109" t="s">
        <v>48</v>
      </c>
      <c r="AZ307" s="166" t="s">
        <v>48</v>
      </c>
      <c r="BA307" s="162" t="s">
        <v>810</v>
      </c>
      <c r="BB307" s="109" t="s">
        <v>49</v>
      </c>
      <c r="BC307" s="79"/>
    </row>
    <row r="308" spans="1:55" ht="75" hidden="1" customHeight="1">
      <c r="A308" s="109" t="s">
        <v>2336</v>
      </c>
      <c r="B308" s="109" t="s">
        <v>2010</v>
      </c>
      <c r="C308" s="109" t="s">
        <v>132</v>
      </c>
      <c r="D308" s="109" t="s">
        <v>133</v>
      </c>
      <c r="E308" s="161">
        <v>15000</v>
      </c>
      <c r="F308" s="165" t="s">
        <v>130</v>
      </c>
      <c r="G308" s="109" t="s">
        <v>130</v>
      </c>
      <c r="H308" s="109" t="s">
        <v>1929</v>
      </c>
      <c r="I308" s="109" t="s">
        <v>2061</v>
      </c>
      <c r="J308" s="109" t="s">
        <v>629</v>
      </c>
      <c r="K308" s="109" t="s">
        <v>627</v>
      </c>
      <c r="L308" s="109" t="s">
        <v>1979</v>
      </c>
      <c r="M308" s="166" t="s">
        <v>704</v>
      </c>
      <c r="N308" s="108" t="s">
        <v>48</v>
      </c>
      <c r="O308" s="109" t="s">
        <v>48</v>
      </c>
      <c r="P308" s="162" t="s">
        <v>80</v>
      </c>
      <c r="Q308" s="109" t="s">
        <v>134</v>
      </c>
      <c r="R308" s="109" t="s">
        <v>126</v>
      </c>
      <c r="S308" s="109" t="s">
        <v>48</v>
      </c>
      <c r="T308" s="109" t="s">
        <v>580</v>
      </c>
      <c r="U308" s="109">
        <v>5442528</v>
      </c>
      <c r="V308" s="166" t="s">
        <v>485</v>
      </c>
      <c r="W308" s="165" t="s">
        <v>133</v>
      </c>
      <c r="X308" s="109" t="s">
        <v>133</v>
      </c>
      <c r="Y308" s="109" t="s">
        <v>48</v>
      </c>
      <c r="Z308" s="109" t="s">
        <v>48</v>
      </c>
      <c r="AA308" s="109" t="s">
        <v>48</v>
      </c>
      <c r="AB308" s="109" t="s">
        <v>48</v>
      </c>
      <c r="AC308" s="109" t="s">
        <v>48</v>
      </c>
      <c r="AD308" s="166" t="s">
        <v>48</v>
      </c>
      <c r="AE308" s="165" t="s">
        <v>48</v>
      </c>
      <c r="AF308" s="109" t="s">
        <v>48</v>
      </c>
      <c r="AG308" s="109" t="s">
        <v>48</v>
      </c>
      <c r="AH308" s="109" t="s">
        <v>48</v>
      </c>
      <c r="AI308" s="109" t="s">
        <v>48</v>
      </c>
      <c r="AJ308" s="109" t="s">
        <v>48</v>
      </c>
      <c r="AK308" s="166" t="s">
        <v>48</v>
      </c>
      <c r="AL308" s="165" t="s">
        <v>133</v>
      </c>
      <c r="AM308" s="109" t="s">
        <v>133</v>
      </c>
      <c r="AN308" s="109" t="s">
        <v>48</v>
      </c>
      <c r="AO308" s="109" t="s">
        <v>48</v>
      </c>
      <c r="AP308" s="109" t="s">
        <v>48</v>
      </c>
      <c r="AQ308" s="109" t="s">
        <v>48</v>
      </c>
      <c r="AR308" s="109" t="s">
        <v>48</v>
      </c>
      <c r="AS308" s="166" t="s">
        <v>48</v>
      </c>
      <c r="AT308" s="165" t="s">
        <v>48</v>
      </c>
      <c r="AU308" s="109" t="s">
        <v>48</v>
      </c>
      <c r="AV308" s="109" t="s">
        <v>48</v>
      </c>
      <c r="AW308" s="109" t="s">
        <v>48</v>
      </c>
      <c r="AX308" s="109" t="s">
        <v>48</v>
      </c>
      <c r="AY308" s="109" t="s">
        <v>48</v>
      </c>
      <c r="AZ308" s="166" t="s">
        <v>48</v>
      </c>
      <c r="BA308" s="162" t="s">
        <v>290</v>
      </c>
      <c r="BB308" s="109" t="s">
        <v>49</v>
      </c>
      <c r="BC308" s="79"/>
    </row>
    <row r="309" spans="1:55" ht="75" hidden="1" customHeight="1">
      <c r="A309" s="109" t="s">
        <v>2336</v>
      </c>
      <c r="B309" s="109" t="s">
        <v>2010</v>
      </c>
      <c r="C309" s="109" t="s">
        <v>132</v>
      </c>
      <c r="D309" s="109" t="s">
        <v>133</v>
      </c>
      <c r="E309" s="161">
        <v>15000</v>
      </c>
      <c r="F309" s="165" t="s">
        <v>130</v>
      </c>
      <c r="G309" s="109" t="s">
        <v>130</v>
      </c>
      <c r="H309" s="109" t="s">
        <v>1930</v>
      </c>
      <c r="I309" s="109" t="s">
        <v>2042</v>
      </c>
      <c r="J309" s="109" t="s">
        <v>629</v>
      </c>
      <c r="K309" s="109" t="s">
        <v>627</v>
      </c>
      <c r="L309" s="109" t="s">
        <v>1980</v>
      </c>
      <c r="M309" s="166" t="s">
        <v>704</v>
      </c>
      <c r="N309" s="108" t="s">
        <v>48</v>
      </c>
      <c r="O309" s="109" t="s">
        <v>48</v>
      </c>
      <c r="P309" s="162" t="s">
        <v>80</v>
      </c>
      <c r="Q309" s="109" t="s">
        <v>134</v>
      </c>
      <c r="R309" s="109" t="s">
        <v>126</v>
      </c>
      <c r="S309" s="109" t="s">
        <v>48</v>
      </c>
      <c r="T309" s="109" t="s">
        <v>580</v>
      </c>
      <c r="U309" s="109">
        <v>5442528</v>
      </c>
      <c r="V309" s="166" t="s">
        <v>485</v>
      </c>
      <c r="W309" s="165" t="s">
        <v>133</v>
      </c>
      <c r="X309" s="109" t="s">
        <v>133</v>
      </c>
      <c r="Y309" s="109" t="s">
        <v>48</v>
      </c>
      <c r="Z309" s="109" t="s">
        <v>48</v>
      </c>
      <c r="AA309" s="109" t="s">
        <v>48</v>
      </c>
      <c r="AB309" s="109" t="s">
        <v>48</v>
      </c>
      <c r="AC309" s="109" t="s">
        <v>48</v>
      </c>
      <c r="AD309" s="166" t="s">
        <v>48</v>
      </c>
      <c r="AE309" s="165" t="s">
        <v>48</v>
      </c>
      <c r="AF309" s="109" t="s">
        <v>48</v>
      </c>
      <c r="AG309" s="109" t="s">
        <v>48</v>
      </c>
      <c r="AH309" s="109" t="s">
        <v>48</v>
      </c>
      <c r="AI309" s="109" t="s">
        <v>48</v>
      </c>
      <c r="AJ309" s="109" t="s">
        <v>48</v>
      </c>
      <c r="AK309" s="166" t="s">
        <v>48</v>
      </c>
      <c r="AL309" s="165" t="s">
        <v>133</v>
      </c>
      <c r="AM309" s="109" t="s">
        <v>133</v>
      </c>
      <c r="AN309" s="109" t="s">
        <v>48</v>
      </c>
      <c r="AO309" s="109" t="s">
        <v>48</v>
      </c>
      <c r="AP309" s="109" t="s">
        <v>48</v>
      </c>
      <c r="AQ309" s="109" t="s">
        <v>48</v>
      </c>
      <c r="AR309" s="109" t="s">
        <v>48</v>
      </c>
      <c r="AS309" s="166" t="s">
        <v>48</v>
      </c>
      <c r="AT309" s="165" t="s">
        <v>48</v>
      </c>
      <c r="AU309" s="109" t="s">
        <v>48</v>
      </c>
      <c r="AV309" s="109" t="s">
        <v>48</v>
      </c>
      <c r="AW309" s="109" t="s">
        <v>48</v>
      </c>
      <c r="AX309" s="109" t="s">
        <v>48</v>
      </c>
      <c r="AY309" s="109" t="s">
        <v>48</v>
      </c>
      <c r="AZ309" s="166" t="s">
        <v>48</v>
      </c>
      <c r="BA309" s="162" t="s">
        <v>290</v>
      </c>
      <c r="BB309" s="109" t="s">
        <v>49</v>
      </c>
      <c r="BC309" s="79"/>
    </row>
    <row r="310" spans="1:55" ht="75" hidden="1" customHeight="1">
      <c r="A310" s="109" t="s">
        <v>2336</v>
      </c>
      <c r="B310" s="109" t="s">
        <v>2010</v>
      </c>
      <c r="C310" s="109" t="s">
        <v>132</v>
      </c>
      <c r="D310" s="109" t="s">
        <v>133</v>
      </c>
      <c r="E310" s="161">
        <v>15000</v>
      </c>
      <c r="F310" s="165" t="s">
        <v>130</v>
      </c>
      <c r="G310" s="109" t="s">
        <v>130</v>
      </c>
      <c r="H310" s="109" t="s">
        <v>1931</v>
      </c>
      <c r="I310" s="109" t="s">
        <v>2062</v>
      </c>
      <c r="J310" s="109" t="s">
        <v>629</v>
      </c>
      <c r="K310" s="109" t="s">
        <v>627</v>
      </c>
      <c r="L310" s="109" t="s">
        <v>1981</v>
      </c>
      <c r="M310" s="166" t="s">
        <v>704</v>
      </c>
      <c r="N310" s="108" t="s">
        <v>48</v>
      </c>
      <c r="O310" s="109" t="s">
        <v>48</v>
      </c>
      <c r="P310" s="162" t="s">
        <v>80</v>
      </c>
      <c r="Q310" s="109" t="s">
        <v>134</v>
      </c>
      <c r="R310" s="109" t="s">
        <v>126</v>
      </c>
      <c r="S310" s="109" t="s">
        <v>48</v>
      </c>
      <c r="T310" s="109" t="s">
        <v>580</v>
      </c>
      <c r="U310" s="109">
        <v>5442528</v>
      </c>
      <c r="V310" s="166" t="s">
        <v>485</v>
      </c>
      <c r="W310" s="165" t="s">
        <v>133</v>
      </c>
      <c r="X310" s="109" t="s">
        <v>133</v>
      </c>
      <c r="Y310" s="109" t="s">
        <v>48</v>
      </c>
      <c r="Z310" s="109" t="s">
        <v>48</v>
      </c>
      <c r="AA310" s="109" t="s">
        <v>48</v>
      </c>
      <c r="AB310" s="109" t="s">
        <v>48</v>
      </c>
      <c r="AC310" s="109" t="s">
        <v>48</v>
      </c>
      <c r="AD310" s="166" t="s">
        <v>48</v>
      </c>
      <c r="AE310" s="165" t="s">
        <v>48</v>
      </c>
      <c r="AF310" s="109" t="s">
        <v>48</v>
      </c>
      <c r="AG310" s="109" t="s">
        <v>48</v>
      </c>
      <c r="AH310" s="109" t="s">
        <v>48</v>
      </c>
      <c r="AI310" s="109" t="s">
        <v>48</v>
      </c>
      <c r="AJ310" s="109" t="s">
        <v>48</v>
      </c>
      <c r="AK310" s="166" t="s">
        <v>48</v>
      </c>
      <c r="AL310" s="165" t="s">
        <v>133</v>
      </c>
      <c r="AM310" s="109" t="s">
        <v>133</v>
      </c>
      <c r="AN310" s="109" t="s">
        <v>48</v>
      </c>
      <c r="AO310" s="109" t="s">
        <v>48</v>
      </c>
      <c r="AP310" s="109" t="s">
        <v>48</v>
      </c>
      <c r="AQ310" s="109" t="s">
        <v>48</v>
      </c>
      <c r="AR310" s="109" t="s">
        <v>48</v>
      </c>
      <c r="AS310" s="166" t="s">
        <v>48</v>
      </c>
      <c r="AT310" s="165" t="s">
        <v>48</v>
      </c>
      <c r="AU310" s="109" t="s">
        <v>48</v>
      </c>
      <c r="AV310" s="109" t="s">
        <v>48</v>
      </c>
      <c r="AW310" s="109" t="s">
        <v>48</v>
      </c>
      <c r="AX310" s="109" t="s">
        <v>48</v>
      </c>
      <c r="AY310" s="109" t="s">
        <v>48</v>
      </c>
      <c r="AZ310" s="166" t="s">
        <v>48</v>
      </c>
      <c r="BA310" s="162" t="s">
        <v>290</v>
      </c>
      <c r="BB310" s="109" t="s">
        <v>49</v>
      </c>
      <c r="BC310" s="79"/>
    </row>
    <row r="311" spans="1:55" ht="75" hidden="1" customHeight="1">
      <c r="A311" s="109" t="s">
        <v>2336</v>
      </c>
      <c r="B311" s="109" t="s">
        <v>2709</v>
      </c>
      <c r="C311" s="109" t="s">
        <v>132</v>
      </c>
      <c r="D311" s="109" t="s">
        <v>133</v>
      </c>
      <c r="E311" s="161">
        <v>30000</v>
      </c>
      <c r="F311" s="165" t="s">
        <v>130</v>
      </c>
      <c r="G311" s="109" t="s">
        <v>130</v>
      </c>
      <c r="H311" s="109" t="s">
        <v>131</v>
      </c>
      <c r="I311" s="109" t="s">
        <v>1908</v>
      </c>
      <c r="J311" s="109" t="s">
        <v>628</v>
      </c>
      <c r="K311" s="109" t="s">
        <v>628</v>
      </c>
      <c r="L311" s="109">
        <v>5761714</v>
      </c>
      <c r="M311" s="166" t="s">
        <v>513</v>
      </c>
      <c r="N311" s="108" t="s">
        <v>48</v>
      </c>
      <c r="O311" s="109" t="s">
        <v>48</v>
      </c>
      <c r="P311" s="162" t="s">
        <v>80</v>
      </c>
      <c r="Q311" s="109" t="s">
        <v>134</v>
      </c>
      <c r="R311" s="109" t="s">
        <v>126</v>
      </c>
      <c r="S311" s="109" t="s">
        <v>48</v>
      </c>
      <c r="T311" s="109" t="s">
        <v>580</v>
      </c>
      <c r="U311" s="109">
        <v>5442528</v>
      </c>
      <c r="V311" s="166" t="s">
        <v>485</v>
      </c>
      <c r="W311" s="165" t="s">
        <v>133</v>
      </c>
      <c r="X311" s="109" t="s">
        <v>133</v>
      </c>
      <c r="Y311" s="109" t="s">
        <v>48</v>
      </c>
      <c r="Z311" s="109" t="s">
        <v>48</v>
      </c>
      <c r="AA311" s="109" t="s">
        <v>48</v>
      </c>
      <c r="AB311" s="109" t="s">
        <v>48</v>
      </c>
      <c r="AC311" s="109" t="s">
        <v>48</v>
      </c>
      <c r="AD311" s="166" t="s">
        <v>48</v>
      </c>
      <c r="AE311" s="165" t="s">
        <v>48</v>
      </c>
      <c r="AF311" s="109" t="s">
        <v>48</v>
      </c>
      <c r="AG311" s="109" t="s">
        <v>48</v>
      </c>
      <c r="AH311" s="109" t="s">
        <v>48</v>
      </c>
      <c r="AI311" s="109" t="s">
        <v>48</v>
      </c>
      <c r="AJ311" s="109" t="s">
        <v>48</v>
      </c>
      <c r="AK311" s="166" t="s">
        <v>48</v>
      </c>
      <c r="AL311" s="165" t="s">
        <v>133</v>
      </c>
      <c r="AM311" s="109" t="s">
        <v>133</v>
      </c>
      <c r="AN311" s="109" t="s">
        <v>48</v>
      </c>
      <c r="AO311" s="109" t="s">
        <v>48</v>
      </c>
      <c r="AP311" s="109" t="s">
        <v>48</v>
      </c>
      <c r="AQ311" s="109" t="s">
        <v>48</v>
      </c>
      <c r="AR311" s="109" t="s">
        <v>48</v>
      </c>
      <c r="AS311" s="166" t="s">
        <v>48</v>
      </c>
      <c r="AT311" s="165" t="s">
        <v>48</v>
      </c>
      <c r="AU311" s="109" t="s">
        <v>48</v>
      </c>
      <c r="AV311" s="109" t="s">
        <v>48</v>
      </c>
      <c r="AW311" s="109" t="s">
        <v>48</v>
      </c>
      <c r="AX311" s="109" t="s">
        <v>48</v>
      </c>
      <c r="AY311" s="109" t="s">
        <v>48</v>
      </c>
      <c r="AZ311" s="166" t="s">
        <v>48</v>
      </c>
      <c r="BA311" s="162" t="s">
        <v>290</v>
      </c>
      <c r="BB311" s="109" t="s">
        <v>49</v>
      </c>
      <c r="BC311" s="79"/>
    </row>
    <row r="312" spans="1:55" ht="75" hidden="1" customHeight="1">
      <c r="A312" s="109" t="s">
        <v>2337</v>
      </c>
      <c r="B312" s="109" t="s">
        <v>2011</v>
      </c>
      <c r="C312" s="109" t="s">
        <v>132</v>
      </c>
      <c r="D312" s="109" t="s">
        <v>133</v>
      </c>
      <c r="E312" s="161">
        <v>15000</v>
      </c>
      <c r="F312" s="165" t="s">
        <v>130</v>
      </c>
      <c r="G312" s="109" t="s">
        <v>130</v>
      </c>
      <c r="H312" s="109" t="s">
        <v>1929</v>
      </c>
      <c r="I312" s="109" t="s">
        <v>2061</v>
      </c>
      <c r="J312" s="109" t="s">
        <v>629</v>
      </c>
      <c r="K312" s="109" t="s">
        <v>627</v>
      </c>
      <c r="L312" s="109" t="s">
        <v>1979</v>
      </c>
      <c r="M312" s="166" t="s">
        <v>704</v>
      </c>
      <c r="N312" s="108" t="s">
        <v>48</v>
      </c>
      <c r="O312" s="109" t="s">
        <v>48</v>
      </c>
      <c r="P312" s="162" t="s">
        <v>80</v>
      </c>
      <c r="Q312" s="109" t="s">
        <v>134</v>
      </c>
      <c r="R312" s="109" t="s">
        <v>126</v>
      </c>
      <c r="S312" s="109" t="s">
        <v>48</v>
      </c>
      <c r="T312" s="109" t="s">
        <v>580</v>
      </c>
      <c r="U312" s="109">
        <v>5442528</v>
      </c>
      <c r="V312" s="166" t="s">
        <v>485</v>
      </c>
      <c r="W312" s="165" t="s">
        <v>133</v>
      </c>
      <c r="X312" s="109" t="s">
        <v>133</v>
      </c>
      <c r="Y312" s="109" t="s">
        <v>48</v>
      </c>
      <c r="Z312" s="109" t="s">
        <v>48</v>
      </c>
      <c r="AA312" s="109" t="s">
        <v>48</v>
      </c>
      <c r="AB312" s="109" t="s">
        <v>48</v>
      </c>
      <c r="AC312" s="109" t="s">
        <v>48</v>
      </c>
      <c r="AD312" s="166" t="s">
        <v>48</v>
      </c>
      <c r="AE312" s="165" t="s">
        <v>48</v>
      </c>
      <c r="AF312" s="109" t="s">
        <v>48</v>
      </c>
      <c r="AG312" s="109" t="s">
        <v>48</v>
      </c>
      <c r="AH312" s="109" t="s">
        <v>48</v>
      </c>
      <c r="AI312" s="109" t="s">
        <v>48</v>
      </c>
      <c r="AJ312" s="109" t="s">
        <v>48</v>
      </c>
      <c r="AK312" s="166" t="s">
        <v>48</v>
      </c>
      <c r="AL312" s="165" t="s">
        <v>133</v>
      </c>
      <c r="AM312" s="109" t="s">
        <v>133</v>
      </c>
      <c r="AN312" s="109" t="s">
        <v>48</v>
      </c>
      <c r="AO312" s="109" t="s">
        <v>48</v>
      </c>
      <c r="AP312" s="109" t="s">
        <v>48</v>
      </c>
      <c r="AQ312" s="109" t="s">
        <v>48</v>
      </c>
      <c r="AR312" s="109" t="s">
        <v>48</v>
      </c>
      <c r="AS312" s="166" t="s">
        <v>48</v>
      </c>
      <c r="AT312" s="165" t="s">
        <v>48</v>
      </c>
      <c r="AU312" s="109" t="s">
        <v>48</v>
      </c>
      <c r="AV312" s="109" t="s">
        <v>48</v>
      </c>
      <c r="AW312" s="109" t="s">
        <v>48</v>
      </c>
      <c r="AX312" s="109" t="s">
        <v>48</v>
      </c>
      <c r="AY312" s="109" t="s">
        <v>48</v>
      </c>
      <c r="AZ312" s="166" t="s">
        <v>48</v>
      </c>
      <c r="BA312" s="162" t="s">
        <v>290</v>
      </c>
      <c r="BB312" s="109" t="s">
        <v>49</v>
      </c>
      <c r="BC312" s="79"/>
    </row>
    <row r="313" spans="1:55" ht="75" hidden="1" customHeight="1">
      <c r="A313" s="109" t="s">
        <v>2337</v>
      </c>
      <c r="B313" s="109" t="s">
        <v>2011</v>
      </c>
      <c r="C313" s="109" t="s">
        <v>132</v>
      </c>
      <c r="D313" s="109" t="s">
        <v>133</v>
      </c>
      <c r="E313" s="161">
        <v>15000</v>
      </c>
      <c r="F313" s="165" t="s">
        <v>130</v>
      </c>
      <c r="G313" s="109" t="s">
        <v>130</v>
      </c>
      <c r="H313" s="109" t="s">
        <v>1930</v>
      </c>
      <c r="I313" s="109" t="s">
        <v>2042</v>
      </c>
      <c r="J313" s="109" t="s">
        <v>629</v>
      </c>
      <c r="K313" s="109" t="s">
        <v>627</v>
      </c>
      <c r="L313" s="109" t="s">
        <v>1980</v>
      </c>
      <c r="M313" s="166" t="s">
        <v>704</v>
      </c>
      <c r="N313" s="108" t="s">
        <v>48</v>
      </c>
      <c r="O313" s="109" t="s">
        <v>48</v>
      </c>
      <c r="P313" s="162" t="s">
        <v>80</v>
      </c>
      <c r="Q313" s="109" t="s">
        <v>134</v>
      </c>
      <c r="R313" s="109" t="s">
        <v>126</v>
      </c>
      <c r="S313" s="109" t="s">
        <v>48</v>
      </c>
      <c r="T313" s="109" t="s">
        <v>580</v>
      </c>
      <c r="U313" s="109">
        <v>5442528</v>
      </c>
      <c r="V313" s="166" t="s">
        <v>485</v>
      </c>
      <c r="W313" s="165" t="s">
        <v>133</v>
      </c>
      <c r="X313" s="109" t="s">
        <v>133</v>
      </c>
      <c r="Y313" s="109" t="s">
        <v>48</v>
      </c>
      <c r="Z313" s="109" t="s">
        <v>48</v>
      </c>
      <c r="AA313" s="109" t="s">
        <v>48</v>
      </c>
      <c r="AB313" s="109" t="s">
        <v>48</v>
      </c>
      <c r="AC313" s="109" t="s">
        <v>48</v>
      </c>
      <c r="AD313" s="166" t="s">
        <v>48</v>
      </c>
      <c r="AE313" s="165" t="s">
        <v>48</v>
      </c>
      <c r="AF313" s="109" t="s">
        <v>48</v>
      </c>
      <c r="AG313" s="109" t="s">
        <v>48</v>
      </c>
      <c r="AH313" s="109" t="s">
        <v>48</v>
      </c>
      <c r="AI313" s="109" t="s">
        <v>48</v>
      </c>
      <c r="AJ313" s="109" t="s">
        <v>48</v>
      </c>
      <c r="AK313" s="166" t="s">
        <v>48</v>
      </c>
      <c r="AL313" s="165" t="s">
        <v>133</v>
      </c>
      <c r="AM313" s="109" t="s">
        <v>133</v>
      </c>
      <c r="AN313" s="109" t="s">
        <v>48</v>
      </c>
      <c r="AO313" s="109" t="s">
        <v>48</v>
      </c>
      <c r="AP313" s="109" t="s">
        <v>48</v>
      </c>
      <c r="AQ313" s="109" t="s">
        <v>48</v>
      </c>
      <c r="AR313" s="109" t="s">
        <v>48</v>
      </c>
      <c r="AS313" s="166" t="s">
        <v>48</v>
      </c>
      <c r="AT313" s="165" t="s">
        <v>48</v>
      </c>
      <c r="AU313" s="109" t="s">
        <v>48</v>
      </c>
      <c r="AV313" s="109" t="s">
        <v>48</v>
      </c>
      <c r="AW313" s="109" t="s">
        <v>48</v>
      </c>
      <c r="AX313" s="109" t="s">
        <v>48</v>
      </c>
      <c r="AY313" s="109" t="s">
        <v>48</v>
      </c>
      <c r="AZ313" s="166" t="s">
        <v>48</v>
      </c>
      <c r="BA313" s="162" t="s">
        <v>290</v>
      </c>
      <c r="BB313" s="109" t="s">
        <v>49</v>
      </c>
      <c r="BC313" s="79"/>
    </row>
    <row r="314" spans="1:55" ht="75" hidden="1" customHeight="1">
      <c r="A314" s="109" t="s">
        <v>2337</v>
      </c>
      <c r="B314" s="109" t="s">
        <v>2011</v>
      </c>
      <c r="C314" s="109" t="s">
        <v>132</v>
      </c>
      <c r="D314" s="109" t="s">
        <v>133</v>
      </c>
      <c r="E314" s="161">
        <v>15000</v>
      </c>
      <c r="F314" s="165" t="s">
        <v>130</v>
      </c>
      <c r="G314" s="109" t="s">
        <v>130</v>
      </c>
      <c r="H314" s="109" t="s">
        <v>1931</v>
      </c>
      <c r="I314" s="109" t="s">
        <v>2062</v>
      </c>
      <c r="J314" s="109" t="s">
        <v>629</v>
      </c>
      <c r="K314" s="109" t="s">
        <v>627</v>
      </c>
      <c r="L314" s="109" t="s">
        <v>1981</v>
      </c>
      <c r="M314" s="166" t="s">
        <v>704</v>
      </c>
      <c r="N314" s="108" t="s">
        <v>48</v>
      </c>
      <c r="O314" s="109" t="s">
        <v>48</v>
      </c>
      <c r="P314" s="162" t="s">
        <v>80</v>
      </c>
      <c r="Q314" s="109" t="s">
        <v>134</v>
      </c>
      <c r="R314" s="109" t="s">
        <v>126</v>
      </c>
      <c r="S314" s="109" t="s">
        <v>48</v>
      </c>
      <c r="T314" s="109" t="s">
        <v>580</v>
      </c>
      <c r="U314" s="109">
        <v>5442528</v>
      </c>
      <c r="V314" s="166" t="s">
        <v>485</v>
      </c>
      <c r="W314" s="165" t="s">
        <v>133</v>
      </c>
      <c r="X314" s="109" t="s">
        <v>133</v>
      </c>
      <c r="Y314" s="109" t="s">
        <v>48</v>
      </c>
      <c r="Z314" s="109" t="s">
        <v>48</v>
      </c>
      <c r="AA314" s="109" t="s">
        <v>48</v>
      </c>
      <c r="AB314" s="109" t="s">
        <v>48</v>
      </c>
      <c r="AC314" s="109" t="s">
        <v>48</v>
      </c>
      <c r="AD314" s="166" t="s">
        <v>48</v>
      </c>
      <c r="AE314" s="165" t="s">
        <v>48</v>
      </c>
      <c r="AF314" s="109" t="s">
        <v>48</v>
      </c>
      <c r="AG314" s="109" t="s">
        <v>48</v>
      </c>
      <c r="AH314" s="109" t="s">
        <v>48</v>
      </c>
      <c r="AI314" s="109" t="s">
        <v>48</v>
      </c>
      <c r="AJ314" s="109" t="s">
        <v>48</v>
      </c>
      <c r="AK314" s="166" t="s">
        <v>48</v>
      </c>
      <c r="AL314" s="165" t="s">
        <v>133</v>
      </c>
      <c r="AM314" s="109" t="s">
        <v>133</v>
      </c>
      <c r="AN314" s="109" t="s">
        <v>48</v>
      </c>
      <c r="AO314" s="109" t="s">
        <v>48</v>
      </c>
      <c r="AP314" s="109" t="s">
        <v>48</v>
      </c>
      <c r="AQ314" s="109" t="s">
        <v>48</v>
      </c>
      <c r="AR314" s="109" t="s">
        <v>48</v>
      </c>
      <c r="AS314" s="166" t="s">
        <v>48</v>
      </c>
      <c r="AT314" s="165" t="s">
        <v>48</v>
      </c>
      <c r="AU314" s="109" t="s">
        <v>48</v>
      </c>
      <c r="AV314" s="109" t="s">
        <v>48</v>
      </c>
      <c r="AW314" s="109" t="s">
        <v>48</v>
      </c>
      <c r="AX314" s="109" t="s">
        <v>48</v>
      </c>
      <c r="AY314" s="109" t="s">
        <v>48</v>
      </c>
      <c r="AZ314" s="166" t="s">
        <v>48</v>
      </c>
      <c r="BA314" s="162" t="s">
        <v>290</v>
      </c>
      <c r="BB314" s="109" t="s">
        <v>49</v>
      </c>
      <c r="BC314" s="79"/>
    </row>
    <row r="315" spans="1:55" ht="75" hidden="1" customHeight="1">
      <c r="A315" s="109" t="s">
        <v>2338</v>
      </c>
      <c r="B315" s="109" t="s">
        <v>2012</v>
      </c>
      <c r="C315" s="109" t="s">
        <v>132</v>
      </c>
      <c r="D315" s="109" t="s">
        <v>133</v>
      </c>
      <c r="E315" s="161">
        <v>15000</v>
      </c>
      <c r="F315" s="165" t="s">
        <v>130</v>
      </c>
      <c r="G315" s="109" t="s">
        <v>130</v>
      </c>
      <c r="H315" s="109" t="s">
        <v>1929</v>
      </c>
      <c r="I315" s="109" t="s">
        <v>2061</v>
      </c>
      <c r="J315" s="109" t="s">
        <v>629</v>
      </c>
      <c r="K315" s="109" t="s">
        <v>627</v>
      </c>
      <c r="L315" s="109" t="s">
        <v>1979</v>
      </c>
      <c r="M315" s="166" t="s">
        <v>704</v>
      </c>
      <c r="N315" s="108" t="s">
        <v>48</v>
      </c>
      <c r="O315" s="109" t="s">
        <v>48</v>
      </c>
      <c r="P315" s="162" t="s">
        <v>80</v>
      </c>
      <c r="Q315" s="109" t="s">
        <v>134</v>
      </c>
      <c r="R315" s="109" t="s">
        <v>126</v>
      </c>
      <c r="S315" s="109" t="s">
        <v>48</v>
      </c>
      <c r="T315" s="109" t="s">
        <v>580</v>
      </c>
      <c r="U315" s="109">
        <v>5442528</v>
      </c>
      <c r="V315" s="166" t="s">
        <v>485</v>
      </c>
      <c r="W315" s="165" t="s">
        <v>133</v>
      </c>
      <c r="X315" s="109" t="s">
        <v>133</v>
      </c>
      <c r="Y315" s="109" t="s">
        <v>48</v>
      </c>
      <c r="Z315" s="109" t="s">
        <v>48</v>
      </c>
      <c r="AA315" s="109" t="s">
        <v>48</v>
      </c>
      <c r="AB315" s="109" t="s">
        <v>48</v>
      </c>
      <c r="AC315" s="109" t="s">
        <v>48</v>
      </c>
      <c r="AD315" s="166" t="s">
        <v>48</v>
      </c>
      <c r="AE315" s="165" t="s">
        <v>48</v>
      </c>
      <c r="AF315" s="109" t="s">
        <v>48</v>
      </c>
      <c r="AG315" s="109" t="s">
        <v>48</v>
      </c>
      <c r="AH315" s="109" t="s">
        <v>48</v>
      </c>
      <c r="AI315" s="109" t="s">
        <v>48</v>
      </c>
      <c r="AJ315" s="109" t="s">
        <v>48</v>
      </c>
      <c r="AK315" s="166" t="s">
        <v>48</v>
      </c>
      <c r="AL315" s="165" t="s">
        <v>133</v>
      </c>
      <c r="AM315" s="109" t="s">
        <v>133</v>
      </c>
      <c r="AN315" s="109" t="s">
        <v>48</v>
      </c>
      <c r="AO315" s="109" t="s">
        <v>48</v>
      </c>
      <c r="AP315" s="109" t="s">
        <v>48</v>
      </c>
      <c r="AQ315" s="109" t="s">
        <v>48</v>
      </c>
      <c r="AR315" s="109" t="s">
        <v>48</v>
      </c>
      <c r="AS315" s="166" t="s">
        <v>48</v>
      </c>
      <c r="AT315" s="165" t="s">
        <v>48</v>
      </c>
      <c r="AU315" s="109" t="s">
        <v>48</v>
      </c>
      <c r="AV315" s="109" t="s">
        <v>48</v>
      </c>
      <c r="AW315" s="109" t="s">
        <v>48</v>
      </c>
      <c r="AX315" s="109" t="s">
        <v>48</v>
      </c>
      <c r="AY315" s="109" t="s">
        <v>48</v>
      </c>
      <c r="AZ315" s="166" t="s">
        <v>48</v>
      </c>
      <c r="BA315" s="162" t="s">
        <v>290</v>
      </c>
      <c r="BB315" s="109" t="s">
        <v>49</v>
      </c>
      <c r="BC315" s="79"/>
    </row>
    <row r="316" spans="1:55" ht="75" hidden="1" customHeight="1">
      <c r="A316" s="109" t="s">
        <v>2338</v>
      </c>
      <c r="B316" s="109" t="s">
        <v>2012</v>
      </c>
      <c r="C316" s="109" t="s">
        <v>132</v>
      </c>
      <c r="D316" s="109" t="s">
        <v>133</v>
      </c>
      <c r="E316" s="161">
        <v>15000</v>
      </c>
      <c r="F316" s="165" t="s">
        <v>130</v>
      </c>
      <c r="G316" s="109" t="s">
        <v>130</v>
      </c>
      <c r="H316" s="109" t="s">
        <v>1930</v>
      </c>
      <c r="I316" s="109" t="s">
        <v>2042</v>
      </c>
      <c r="J316" s="109" t="s">
        <v>629</v>
      </c>
      <c r="K316" s="109" t="s">
        <v>627</v>
      </c>
      <c r="L316" s="109" t="s">
        <v>1980</v>
      </c>
      <c r="M316" s="166" t="s">
        <v>704</v>
      </c>
      <c r="N316" s="108" t="s">
        <v>48</v>
      </c>
      <c r="O316" s="109" t="s">
        <v>48</v>
      </c>
      <c r="P316" s="162" t="s">
        <v>80</v>
      </c>
      <c r="Q316" s="109" t="s">
        <v>134</v>
      </c>
      <c r="R316" s="109" t="s">
        <v>126</v>
      </c>
      <c r="S316" s="109" t="s">
        <v>48</v>
      </c>
      <c r="T316" s="109" t="s">
        <v>580</v>
      </c>
      <c r="U316" s="109">
        <v>5442528</v>
      </c>
      <c r="V316" s="166" t="s">
        <v>485</v>
      </c>
      <c r="W316" s="165" t="s">
        <v>133</v>
      </c>
      <c r="X316" s="109" t="s">
        <v>133</v>
      </c>
      <c r="Y316" s="109" t="s">
        <v>48</v>
      </c>
      <c r="Z316" s="109" t="s">
        <v>48</v>
      </c>
      <c r="AA316" s="109" t="s">
        <v>48</v>
      </c>
      <c r="AB316" s="109" t="s">
        <v>48</v>
      </c>
      <c r="AC316" s="109" t="s">
        <v>48</v>
      </c>
      <c r="AD316" s="166" t="s">
        <v>48</v>
      </c>
      <c r="AE316" s="165" t="s">
        <v>48</v>
      </c>
      <c r="AF316" s="109" t="s">
        <v>48</v>
      </c>
      <c r="AG316" s="109" t="s">
        <v>48</v>
      </c>
      <c r="AH316" s="109" t="s">
        <v>48</v>
      </c>
      <c r="AI316" s="109" t="s">
        <v>48</v>
      </c>
      <c r="AJ316" s="109" t="s">
        <v>48</v>
      </c>
      <c r="AK316" s="166" t="s">
        <v>48</v>
      </c>
      <c r="AL316" s="165" t="s">
        <v>133</v>
      </c>
      <c r="AM316" s="109" t="s">
        <v>133</v>
      </c>
      <c r="AN316" s="109" t="s">
        <v>48</v>
      </c>
      <c r="AO316" s="109" t="s">
        <v>48</v>
      </c>
      <c r="AP316" s="109" t="s">
        <v>48</v>
      </c>
      <c r="AQ316" s="109" t="s">
        <v>48</v>
      </c>
      <c r="AR316" s="109" t="s">
        <v>48</v>
      </c>
      <c r="AS316" s="166" t="s">
        <v>48</v>
      </c>
      <c r="AT316" s="165" t="s">
        <v>48</v>
      </c>
      <c r="AU316" s="109" t="s">
        <v>48</v>
      </c>
      <c r="AV316" s="109" t="s">
        <v>48</v>
      </c>
      <c r="AW316" s="109" t="s">
        <v>48</v>
      </c>
      <c r="AX316" s="109" t="s">
        <v>48</v>
      </c>
      <c r="AY316" s="109" t="s">
        <v>48</v>
      </c>
      <c r="AZ316" s="166" t="s">
        <v>48</v>
      </c>
      <c r="BA316" s="162" t="s">
        <v>290</v>
      </c>
      <c r="BB316" s="109" t="s">
        <v>49</v>
      </c>
      <c r="BC316" s="79"/>
    </row>
    <row r="317" spans="1:55" ht="110.4" hidden="1">
      <c r="A317" s="109" t="s">
        <v>2338</v>
      </c>
      <c r="B317" s="109" t="s">
        <v>2012</v>
      </c>
      <c r="C317" s="109" t="s">
        <v>132</v>
      </c>
      <c r="D317" s="109" t="s">
        <v>133</v>
      </c>
      <c r="E317" s="161">
        <v>15000</v>
      </c>
      <c r="F317" s="165" t="s">
        <v>130</v>
      </c>
      <c r="G317" s="109" t="s">
        <v>130</v>
      </c>
      <c r="H317" s="109" t="s">
        <v>1931</v>
      </c>
      <c r="I317" s="109" t="s">
        <v>2062</v>
      </c>
      <c r="J317" s="109" t="s">
        <v>629</v>
      </c>
      <c r="K317" s="109" t="s">
        <v>627</v>
      </c>
      <c r="L317" s="109" t="s">
        <v>1981</v>
      </c>
      <c r="M317" s="166" t="s">
        <v>704</v>
      </c>
      <c r="N317" s="108" t="s">
        <v>48</v>
      </c>
      <c r="O317" s="109" t="s">
        <v>48</v>
      </c>
      <c r="P317" s="162" t="s">
        <v>80</v>
      </c>
      <c r="Q317" s="109" t="s">
        <v>134</v>
      </c>
      <c r="R317" s="109" t="s">
        <v>126</v>
      </c>
      <c r="S317" s="109" t="s">
        <v>48</v>
      </c>
      <c r="T317" s="109" t="s">
        <v>580</v>
      </c>
      <c r="U317" s="109">
        <v>5442528</v>
      </c>
      <c r="V317" s="166" t="s">
        <v>485</v>
      </c>
      <c r="W317" s="165" t="s">
        <v>133</v>
      </c>
      <c r="X317" s="109" t="s">
        <v>133</v>
      </c>
      <c r="Y317" s="109" t="s">
        <v>48</v>
      </c>
      <c r="Z317" s="109" t="s">
        <v>48</v>
      </c>
      <c r="AA317" s="109" t="s">
        <v>48</v>
      </c>
      <c r="AB317" s="109" t="s">
        <v>48</v>
      </c>
      <c r="AC317" s="109" t="s">
        <v>48</v>
      </c>
      <c r="AD317" s="166" t="s">
        <v>48</v>
      </c>
      <c r="AE317" s="165" t="s">
        <v>48</v>
      </c>
      <c r="AF317" s="109" t="s">
        <v>48</v>
      </c>
      <c r="AG317" s="109" t="s">
        <v>48</v>
      </c>
      <c r="AH317" s="109" t="s">
        <v>48</v>
      </c>
      <c r="AI317" s="109" t="s">
        <v>48</v>
      </c>
      <c r="AJ317" s="109" t="s">
        <v>48</v>
      </c>
      <c r="AK317" s="166" t="s">
        <v>48</v>
      </c>
      <c r="AL317" s="165" t="s">
        <v>133</v>
      </c>
      <c r="AM317" s="109" t="s">
        <v>133</v>
      </c>
      <c r="AN317" s="109" t="s">
        <v>48</v>
      </c>
      <c r="AO317" s="109" t="s">
        <v>48</v>
      </c>
      <c r="AP317" s="109" t="s">
        <v>48</v>
      </c>
      <c r="AQ317" s="109" t="s">
        <v>48</v>
      </c>
      <c r="AR317" s="109" t="s">
        <v>48</v>
      </c>
      <c r="AS317" s="166" t="s">
        <v>48</v>
      </c>
      <c r="AT317" s="165" t="s">
        <v>48</v>
      </c>
      <c r="AU317" s="109" t="s">
        <v>48</v>
      </c>
      <c r="AV317" s="109" t="s">
        <v>48</v>
      </c>
      <c r="AW317" s="109" t="s">
        <v>48</v>
      </c>
      <c r="AX317" s="109" t="s">
        <v>48</v>
      </c>
      <c r="AY317" s="109" t="s">
        <v>48</v>
      </c>
      <c r="AZ317" s="166" t="s">
        <v>48</v>
      </c>
      <c r="BA317" s="162" t="s">
        <v>290</v>
      </c>
      <c r="BB317" s="109" t="s">
        <v>49</v>
      </c>
      <c r="BC317" s="79"/>
    </row>
    <row r="318" spans="1:55" ht="75" hidden="1" customHeight="1">
      <c r="A318" s="109" t="s">
        <v>2336</v>
      </c>
      <c r="B318" s="109" t="s">
        <v>2010</v>
      </c>
      <c r="C318" s="109" t="s">
        <v>132</v>
      </c>
      <c r="D318" s="109" t="s">
        <v>135</v>
      </c>
      <c r="E318" s="161">
        <v>15000</v>
      </c>
      <c r="F318" s="165" t="s">
        <v>130</v>
      </c>
      <c r="G318" s="109" t="s">
        <v>130</v>
      </c>
      <c r="H318" s="109" t="s">
        <v>705</v>
      </c>
      <c r="I318" s="109" t="s">
        <v>1908</v>
      </c>
      <c r="J318" s="109" t="s">
        <v>766</v>
      </c>
      <c r="K318" s="109" t="s">
        <v>766</v>
      </c>
      <c r="L318" s="109" t="s">
        <v>706</v>
      </c>
      <c r="M318" s="166" t="s">
        <v>707</v>
      </c>
      <c r="N318" s="108" t="s">
        <v>48</v>
      </c>
      <c r="O318" s="109" t="s">
        <v>48</v>
      </c>
      <c r="P318" s="162" t="s">
        <v>80</v>
      </c>
      <c r="Q318" s="109" t="s">
        <v>489</v>
      </c>
      <c r="R318" s="109" t="s">
        <v>126</v>
      </c>
      <c r="S318" s="109" t="s">
        <v>48</v>
      </c>
      <c r="T318" s="109" t="s">
        <v>580</v>
      </c>
      <c r="U318" s="109" t="s">
        <v>436</v>
      </c>
      <c r="V318" s="166" t="s">
        <v>485</v>
      </c>
      <c r="W318" s="165" t="s">
        <v>135</v>
      </c>
      <c r="X318" s="109" t="s">
        <v>135</v>
      </c>
      <c r="Y318" s="109" t="s">
        <v>48</v>
      </c>
      <c r="Z318" s="109" t="s">
        <v>48</v>
      </c>
      <c r="AA318" s="109" t="s">
        <v>48</v>
      </c>
      <c r="AB318" s="109" t="s">
        <v>48</v>
      </c>
      <c r="AC318" s="109" t="s">
        <v>48</v>
      </c>
      <c r="AD318" s="166" t="s">
        <v>48</v>
      </c>
      <c r="AE318" s="165" t="s">
        <v>68</v>
      </c>
      <c r="AF318" s="109" t="s">
        <v>975</v>
      </c>
      <c r="AG318" s="109" t="s">
        <v>440</v>
      </c>
      <c r="AH318" s="109" t="s">
        <v>1908</v>
      </c>
      <c r="AI318" s="109" t="s">
        <v>622</v>
      </c>
      <c r="AJ318" s="109" t="s">
        <v>487</v>
      </c>
      <c r="AK318" s="166" t="s">
        <v>488</v>
      </c>
      <c r="AL318" s="165" t="s">
        <v>135</v>
      </c>
      <c r="AM318" s="109" t="s">
        <v>135</v>
      </c>
      <c r="AN318" s="109" t="s">
        <v>48</v>
      </c>
      <c r="AO318" s="109" t="s">
        <v>48</v>
      </c>
      <c r="AP318" s="109" t="s">
        <v>48</v>
      </c>
      <c r="AQ318" s="109" t="s">
        <v>48</v>
      </c>
      <c r="AR318" s="109" t="s">
        <v>48</v>
      </c>
      <c r="AS318" s="166" t="s">
        <v>48</v>
      </c>
      <c r="AT318" s="165" t="s">
        <v>438</v>
      </c>
      <c r="AU318" s="109" t="s">
        <v>136</v>
      </c>
      <c r="AV318" s="109" t="s">
        <v>437</v>
      </c>
      <c r="AW318" s="109" t="s">
        <v>48</v>
      </c>
      <c r="AX318" s="117" t="s">
        <v>48</v>
      </c>
      <c r="AY318" s="109" t="s">
        <v>439</v>
      </c>
      <c r="AZ318" s="166" t="s">
        <v>2391</v>
      </c>
      <c r="BA318" s="162" t="s">
        <v>277</v>
      </c>
      <c r="BB318" s="109" t="s">
        <v>49</v>
      </c>
      <c r="BC318" s="79"/>
    </row>
    <row r="319" spans="1:55" ht="75" hidden="1" customHeight="1">
      <c r="A319" s="109" t="s">
        <v>2336</v>
      </c>
      <c r="B319" s="109" t="s">
        <v>2709</v>
      </c>
      <c r="C319" s="109" t="s">
        <v>132</v>
      </c>
      <c r="D319" s="109" t="s">
        <v>135</v>
      </c>
      <c r="E319" s="161">
        <v>30000</v>
      </c>
      <c r="F319" s="165" t="s">
        <v>130</v>
      </c>
      <c r="G319" s="109" t="s">
        <v>130</v>
      </c>
      <c r="H319" s="109" t="s">
        <v>131</v>
      </c>
      <c r="I319" s="109" t="s">
        <v>1908</v>
      </c>
      <c r="J319" s="109" t="s">
        <v>628</v>
      </c>
      <c r="K319" s="109" t="s">
        <v>628</v>
      </c>
      <c r="L319" s="109">
        <v>5761714</v>
      </c>
      <c r="M319" s="166" t="s">
        <v>513</v>
      </c>
      <c r="N319" s="108" t="s">
        <v>48</v>
      </c>
      <c r="O319" s="109" t="s">
        <v>48</v>
      </c>
      <c r="P319" s="162" t="s">
        <v>80</v>
      </c>
      <c r="Q319" s="109" t="s">
        <v>489</v>
      </c>
      <c r="R319" s="109" t="s">
        <v>126</v>
      </c>
      <c r="S319" s="109" t="s">
        <v>48</v>
      </c>
      <c r="T319" s="109" t="s">
        <v>580</v>
      </c>
      <c r="U319" s="109" t="s">
        <v>436</v>
      </c>
      <c r="V319" s="166" t="s">
        <v>485</v>
      </c>
      <c r="W319" s="165" t="s">
        <v>135</v>
      </c>
      <c r="X319" s="109" t="s">
        <v>135</v>
      </c>
      <c r="Y319" s="109" t="s">
        <v>48</v>
      </c>
      <c r="Z319" s="109" t="s">
        <v>48</v>
      </c>
      <c r="AA319" s="109" t="s">
        <v>48</v>
      </c>
      <c r="AB319" s="109" t="s">
        <v>48</v>
      </c>
      <c r="AC319" s="109" t="s">
        <v>48</v>
      </c>
      <c r="AD319" s="166" t="s">
        <v>48</v>
      </c>
      <c r="AE319" s="165" t="s">
        <v>68</v>
      </c>
      <c r="AF319" s="109" t="s">
        <v>136</v>
      </c>
      <c r="AG319" s="109" t="s">
        <v>440</v>
      </c>
      <c r="AH319" s="109" t="s">
        <v>1908</v>
      </c>
      <c r="AI319" s="109" t="s">
        <v>622</v>
      </c>
      <c r="AJ319" s="109" t="s">
        <v>487</v>
      </c>
      <c r="AK319" s="166" t="s">
        <v>488</v>
      </c>
      <c r="AL319" s="165" t="s">
        <v>135</v>
      </c>
      <c r="AM319" s="109" t="s">
        <v>135</v>
      </c>
      <c r="AN319" s="109" t="s">
        <v>48</v>
      </c>
      <c r="AO319" s="109" t="s">
        <v>48</v>
      </c>
      <c r="AP319" s="109" t="s">
        <v>48</v>
      </c>
      <c r="AQ319" s="109" t="s">
        <v>48</v>
      </c>
      <c r="AR319" s="109" t="s">
        <v>48</v>
      </c>
      <c r="AS319" s="166" t="s">
        <v>48</v>
      </c>
      <c r="AT319" s="165" t="s">
        <v>438</v>
      </c>
      <c r="AU319" s="109" t="s">
        <v>136</v>
      </c>
      <c r="AV319" s="109" t="s">
        <v>437</v>
      </c>
      <c r="AW319" s="109" t="s">
        <v>48</v>
      </c>
      <c r="AX319" s="117" t="s">
        <v>48</v>
      </c>
      <c r="AY319" s="109" t="s">
        <v>439</v>
      </c>
      <c r="AZ319" s="166" t="s">
        <v>2391</v>
      </c>
      <c r="BA319" s="162" t="s">
        <v>290</v>
      </c>
      <c r="BB319" s="109" t="s">
        <v>49</v>
      </c>
      <c r="BC319" s="79"/>
    </row>
    <row r="320" spans="1:55" ht="55.2" hidden="1">
      <c r="A320" s="109" t="s">
        <v>2337</v>
      </c>
      <c r="B320" s="109" t="s">
        <v>2011</v>
      </c>
      <c r="C320" s="109" t="s">
        <v>132</v>
      </c>
      <c r="D320" s="109" t="s">
        <v>135</v>
      </c>
      <c r="E320" s="161">
        <v>15000</v>
      </c>
      <c r="F320" s="165" t="s">
        <v>130</v>
      </c>
      <c r="G320" s="109" t="s">
        <v>130</v>
      </c>
      <c r="H320" s="109" t="s">
        <v>705</v>
      </c>
      <c r="I320" s="109" t="s">
        <v>1908</v>
      </c>
      <c r="J320" s="109" t="s">
        <v>766</v>
      </c>
      <c r="K320" s="109" t="s">
        <v>766</v>
      </c>
      <c r="L320" s="109" t="s">
        <v>706</v>
      </c>
      <c r="M320" s="166" t="s">
        <v>707</v>
      </c>
      <c r="N320" s="108" t="s">
        <v>48</v>
      </c>
      <c r="O320" s="109" t="s">
        <v>48</v>
      </c>
      <c r="P320" s="162" t="s">
        <v>80</v>
      </c>
      <c r="Q320" s="109" t="s">
        <v>489</v>
      </c>
      <c r="R320" s="109" t="s">
        <v>126</v>
      </c>
      <c r="S320" s="109" t="s">
        <v>48</v>
      </c>
      <c r="T320" s="109" t="s">
        <v>580</v>
      </c>
      <c r="U320" s="109" t="s">
        <v>436</v>
      </c>
      <c r="V320" s="166" t="s">
        <v>485</v>
      </c>
      <c r="W320" s="165" t="s">
        <v>135</v>
      </c>
      <c r="X320" s="109" t="s">
        <v>135</v>
      </c>
      <c r="Y320" s="109" t="s">
        <v>48</v>
      </c>
      <c r="Z320" s="109" t="s">
        <v>48</v>
      </c>
      <c r="AA320" s="109" t="s">
        <v>48</v>
      </c>
      <c r="AB320" s="109" t="s">
        <v>48</v>
      </c>
      <c r="AC320" s="109" t="s">
        <v>48</v>
      </c>
      <c r="AD320" s="166" t="s">
        <v>48</v>
      </c>
      <c r="AE320" s="165" t="s">
        <v>68</v>
      </c>
      <c r="AF320" s="109" t="s">
        <v>975</v>
      </c>
      <c r="AG320" s="109" t="s">
        <v>440</v>
      </c>
      <c r="AH320" s="109" t="s">
        <v>1908</v>
      </c>
      <c r="AI320" s="109" t="s">
        <v>622</v>
      </c>
      <c r="AJ320" s="109" t="s">
        <v>487</v>
      </c>
      <c r="AK320" s="166" t="s">
        <v>488</v>
      </c>
      <c r="AL320" s="165" t="s">
        <v>135</v>
      </c>
      <c r="AM320" s="109" t="s">
        <v>135</v>
      </c>
      <c r="AN320" s="109" t="s">
        <v>48</v>
      </c>
      <c r="AO320" s="109" t="s">
        <v>48</v>
      </c>
      <c r="AP320" s="109" t="s">
        <v>48</v>
      </c>
      <c r="AQ320" s="109" t="s">
        <v>48</v>
      </c>
      <c r="AR320" s="109" t="s">
        <v>48</v>
      </c>
      <c r="AS320" s="166" t="s">
        <v>48</v>
      </c>
      <c r="AT320" s="165" t="s">
        <v>438</v>
      </c>
      <c r="AU320" s="109" t="s">
        <v>136</v>
      </c>
      <c r="AV320" s="109" t="s">
        <v>437</v>
      </c>
      <c r="AW320" s="109" t="s">
        <v>48</v>
      </c>
      <c r="AX320" s="117" t="s">
        <v>48</v>
      </c>
      <c r="AY320" s="109" t="s">
        <v>439</v>
      </c>
      <c r="AZ320" s="166" t="s">
        <v>2391</v>
      </c>
      <c r="BA320" s="162" t="s">
        <v>277</v>
      </c>
      <c r="BB320" s="109" t="s">
        <v>49</v>
      </c>
      <c r="BC320" s="79"/>
    </row>
    <row r="321" spans="1:55" ht="75" hidden="1" customHeight="1">
      <c r="A321" s="109" t="s">
        <v>2338</v>
      </c>
      <c r="B321" s="109" t="s">
        <v>2012</v>
      </c>
      <c r="C321" s="109" t="s">
        <v>132</v>
      </c>
      <c r="D321" s="109" t="s">
        <v>135</v>
      </c>
      <c r="E321" s="161">
        <v>15000</v>
      </c>
      <c r="F321" s="165" t="s">
        <v>130</v>
      </c>
      <c r="G321" s="109" t="s">
        <v>130</v>
      </c>
      <c r="H321" s="109" t="s">
        <v>705</v>
      </c>
      <c r="I321" s="109" t="s">
        <v>1908</v>
      </c>
      <c r="J321" s="109" t="s">
        <v>766</v>
      </c>
      <c r="K321" s="109" t="s">
        <v>766</v>
      </c>
      <c r="L321" s="109" t="s">
        <v>706</v>
      </c>
      <c r="M321" s="166" t="s">
        <v>707</v>
      </c>
      <c r="N321" s="108" t="s">
        <v>48</v>
      </c>
      <c r="O321" s="109" t="s">
        <v>48</v>
      </c>
      <c r="P321" s="162" t="s">
        <v>80</v>
      </c>
      <c r="Q321" s="109" t="s">
        <v>489</v>
      </c>
      <c r="R321" s="109" t="s">
        <v>126</v>
      </c>
      <c r="S321" s="109" t="s">
        <v>48</v>
      </c>
      <c r="T321" s="109" t="s">
        <v>580</v>
      </c>
      <c r="U321" s="109" t="s">
        <v>436</v>
      </c>
      <c r="V321" s="166" t="s">
        <v>485</v>
      </c>
      <c r="W321" s="165" t="s">
        <v>135</v>
      </c>
      <c r="X321" s="109" t="s">
        <v>135</v>
      </c>
      <c r="Y321" s="109" t="s">
        <v>48</v>
      </c>
      <c r="Z321" s="109" t="s">
        <v>48</v>
      </c>
      <c r="AA321" s="109" t="s">
        <v>48</v>
      </c>
      <c r="AB321" s="109" t="s">
        <v>48</v>
      </c>
      <c r="AC321" s="109" t="s">
        <v>48</v>
      </c>
      <c r="AD321" s="166" t="s">
        <v>48</v>
      </c>
      <c r="AE321" s="165" t="s">
        <v>68</v>
      </c>
      <c r="AF321" s="109" t="s">
        <v>975</v>
      </c>
      <c r="AG321" s="109" t="s">
        <v>440</v>
      </c>
      <c r="AH321" s="109" t="s">
        <v>1908</v>
      </c>
      <c r="AI321" s="109" t="s">
        <v>622</v>
      </c>
      <c r="AJ321" s="109" t="s">
        <v>487</v>
      </c>
      <c r="AK321" s="166" t="s">
        <v>488</v>
      </c>
      <c r="AL321" s="165" t="s">
        <v>135</v>
      </c>
      <c r="AM321" s="109" t="s">
        <v>135</v>
      </c>
      <c r="AN321" s="109" t="s">
        <v>48</v>
      </c>
      <c r="AO321" s="109" t="s">
        <v>48</v>
      </c>
      <c r="AP321" s="109" t="s">
        <v>48</v>
      </c>
      <c r="AQ321" s="109" t="s">
        <v>48</v>
      </c>
      <c r="AR321" s="109" t="s">
        <v>48</v>
      </c>
      <c r="AS321" s="166" t="s">
        <v>48</v>
      </c>
      <c r="AT321" s="165" t="s">
        <v>438</v>
      </c>
      <c r="AU321" s="109" t="s">
        <v>136</v>
      </c>
      <c r="AV321" s="109" t="s">
        <v>437</v>
      </c>
      <c r="AW321" s="109" t="s">
        <v>48</v>
      </c>
      <c r="AX321" s="117" t="s">
        <v>48</v>
      </c>
      <c r="AY321" s="109" t="s">
        <v>439</v>
      </c>
      <c r="AZ321" s="166" t="s">
        <v>2391</v>
      </c>
      <c r="BA321" s="162" t="s">
        <v>277</v>
      </c>
      <c r="BB321" s="109" t="s">
        <v>49</v>
      </c>
      <c r="BC321" s="79"/>
    </row>
    <row r="322" spans="1:55" ht="75" hidden="1" customHeight="1">
      <c r="A322" s="109" t="s">
        <v>2336</v>
      </c>
      <c r="B322" s="109" t="s">
        <v>2010</v>
      </c>
      <c r="C322" s="109" t="s">
        <v>132</v>
      </c>
      <c r="D322" s="109" t="s">
        <v>130</v>
      </c>
      <c r="E322" s="161">
        <v>15000</v>
      </c>
      <c r="F322" s="165" t="s">
        <v>130</v>
      </c>
      <c r="G322" s="109" t="s">
        <v>130</v>
      </c>
      <c r="H322" s="109" t="s">
        <v>48</v>
      </c>
      <c r="I322" s="109" t="s">
        <v>48</v>
      </c>
      <c r="J322" s="109" t="s">
        <v>48</v>
      </c>
      <c r="K322" s="109" t="s">
        <v>48</v>
      </c>
      <c r="L322" s="109" t="s">
        <v>48</v>
      </c>
      <c r="M322" s="166" t="s">
        <v>48</v>
      </c>
      <c r="N322" s="108" t="s">
        <v>48</v>
      </c>
      <c r="O322" s="109" t="s">
        <v>48</v>
      </c>
      <c r="P322" s="162" t="s">
        <v>48</v>
      </c>
      <c r="Q322" s="109" t="s">
        <v>48</v>
      </c>
      <c r="R322" s="109" t="s">
        <v>48</v>
      </c>
      <c r="S322" s="109" t="s">
        <v>48</v>
      </c>
      <c r="T322" s="109" t="s">
        <v>48</v>
      </c>
      <c r="U322" s="109" t="s">
        <v>48</v>
      </c>
      <c r="V322" s="166" t="s">
        <v>48</v>
      </c>
      <c r="W322" s="165" t="s">
        <v>130</v>
      </c>
      <c r="X322" s="109" t="s">
        <v>130</v>
      </c>
      <c r="Y322" s="109" t="s">
        <v>48</v>
      </c>
      <c r="Z322" s="109" t="s">
        <v>48</v>
      </c>
      <c r="AA322" s="109" t="s">
        <v>48</v>
      </c>
      <c r="AB322" s="109" t="s">
        <v>48</v>
      </c>
      <c r="AC322" s="109" t="s">
        <v>48</v>
      </c>
      <c r="AD322" s="166" t="s">
        <v>48</v>
      </c>
      <c r="AE322" s="165" t="s">
        <v>48</v>
      </c>
      <c r="AF322" s="109" t="s">
        <v>48</v>
      </c>
      <c r="AG322" s="109" t="s">
        <v>48</v>
      </c>
      <c r="AH322" s="109" t="s">
        <v>48</v>
      </c>
      <c r="AI322" s="109" t="s">
        <v>48</v>
      </c>
      <c r="AJ322" s="109" t="s">
        <v>48</v>
      </c>
      <c r="AK322" s="166" t="s">
        <v>48</v>
      </c>
      <c r="AL322" s="165" t="s">
        <v>130</v>
      </c>
      <c r="AM322" s="109" t="s">
        <v>130</v>
      </c>
      <c r="AN322" s="109" t="s">
        <v>48</v>
      </c>
      <c r="AO322" s="109" t="s">
        <v>48</v>
      </c>
      <c r="AP322" s="109" t="s">
        <v>48</v>
      </c>
      <c r="AQ322" s="109" t="s">
        <v>48</v>
      </c>
      <c r="AR322" s="109" t="s">
        <v>48</v>
      </c>
      <c r="AS322" s="166" t="s">
        <v>48</v>
      </c>
      <c r="AT322" s="165" t="s">
        <v>48</v>
      </c>
      <c r="AU322" s="109" t="s">
        <v>48</v>
      </c>
      <c r="AV322" s="109" t="s">
        <v>48</v>
      </c>
      <c r="AW322" s="109" t="s">
        <v>48</v>
      </c>
      <c r="AX322" s="109" t="s">
        <v>48</v>
      </c>
      <c r="AY322" s="109" t="s">
        <v>48</v>
      </c>
      <c r="AZ322" s="166" t="s">
        <v>48</v>
      </c>
      <c r="BA322" s="162" t="s">
        <v>48</v>
      </c>
      <c r="BB322" s="109" t="s">
        <v>49</v>
      </c>
      <c r="BC322" s="79"/>
    </row>
    <row r="323" spans="1:55" ht="75" hidden="1" customHeight="1">
      <c r="A323" s="109" t="s">
        <v>2336</v>
      </c>
      <c r="B323" s="109" t="s">
        <v>2709</v>
      </c>
      <c r="C323" s="109" t="s">
        <v>132</v>
      </c>
      <c r="D323" s="109" t="s">
        <v>130</v>
      </c>
      <c r="E323" s="161">
        <v>30000</v>
      </c>
      <c r="F323" s="165" t="s">
        <v>130</v>
      </c>
      <c r="G323" s="109" t="s">
        <v>130</v>
      </c>
      <c r="H323" s="109" t="s">
        <v>48</v>
      </c>
      <c r="I323" s="109" t="s">
        <v>48</v>
      </c>
      <c r="J323" s="109" t="s">
        <v>48</v>
      </c>
      <c r="K323" s="109" t="s">
        <v>48</v>
      </c>
      <c r="L323" s="109" t="s">
        <v>48</v>
      </c>
      <c r="M323" s="166" t="s">
        <v>48</v>
      </c>
      <c r="N323" s="108" t="s">
        <v>48</v>
      </c>
      <c r="O323" s="109" t="s">
        <v>48</v>
      </c>
      <c r="P323" s="162" t="s">
        <v>48</v>
      </c>
      <c r="Q323" s="109" t="s">
        <v>48</v>
      </c>
      <c r="R323" s="109" t="s">
        <v>48</v>
      </c>
      <c r="S323" s="109" t="s">
        <v>48</v>
      </c>
      <c r="T323" s="109" t="s">
        <v>48</v>
      </c>
      <c r="U323" s="109" t="s">
        <v>48</v>
      </c>
      <c r="V323" s="166" t="s">
        <v>48</v>
      </c>
      <c r="W323" s="165" t="s">
        <v>130</v>
      </c>
      <c r="X323" s="109" t="str">
        <f>W323</f>
        <v>HD16.0_V03_1638.a</v>
      </c>
      <c r="Y323" s="109" t="s">
        <v>48</v>
      </c>
      <c r="Z323" s="109" t="s">
        <v>48</v>
      </c>
      <c r="AA323" s="109" t="s">
        <v>48</v>
      </c>
      <c r="AB323" s="109" t="s">
        <v>48</v>
      </c>
      <c r="AC323" s="109" t="s">
        <v>48</v>
      </c>
      <c r="AD323" s="166" t="s">
        <v>48</v>
      </c>
      <c r="AE323" s="165" t="s">
        <v>48</v>
      </c>
      <c r="AF323" s="193" t="s">
        <v>48</v>
      </c>
      <c r="AG323" s="109" t="s">
        <v>48</v>
      </c>
      <c r="AH323" s="109" t="s">
        <v>48</v>
      </c>
      <c r="AI323" s="109" t="s">
        <v>48</v>
      </c>
      <c r="AJ323" s="109" t="s">
        <v>48</v>
      </c>
      <c r="AK323" s="166" t="s">
        <v>48</v>
      </c>
      <c r="AL323" s="165" t="s">
        <v>130</v>
      </c>
      <c r="AM323" s="109" t="str">
        <f>AL323</f>
        <v>HD16.0_V03_1638.a</v>
      </c>
      <c r="AN323" s="109" t="s">
        <v>48</v>
      </c>
      <c r="AO323" s="109" t="s">
        <v>48</v>
      </c>
      <c r="AP323" s="109" t="s">
        <v>48</v>
      </c>
      <c r="AQ323" s="109" t="s">
        <v>48</v>
      </c>
      <c r="AR323" s="109" t="s">
        <v>48</v>
      </c>
      <c r="AS323" s="166" t="s">
        <v>48</v>
      </c>
      <c r="AT323" s="165" t="s">
        <v>48</v>
      </c>
      <c r="AU323" s="109" t="s">
        <v>48</v>
      </c>
      <c r="AV323" s="109" t="s">
        <v>48</v>
      </c>
      <c r="AW323" s="109" t="s">
        <v>48</v>
      </c>
      <c r="AX323" s="109" t="s">
        <v>48</v>
      </c>
      <c r="AY323" s="109" t="s">
        <v>48</v>
      </c>
      <c r="AZ323" s="166" t="s">
        <v>48</v>
      </c>
      <c r="BA323" s="162" t="s">
        <v>290</v>
      </c>
      <c r="BB323" s="109" t="s">
        <v>49</v>
      </c>
      <c r="BC323" s="79"/>
    </row>
    <row r="324" spans="1:55" ht="75" hidden="1" customHeight="1">
      <c r="A324" s="109" t="s">
        <v>2337</v>
      </c>
      <c r="B324" s="109" t="s">
        <v>2011</v>
      </c>
      <c r="C324" s="109" t="s">
        <v>132</v>
      </c>
      <c r="D324" s="109" t="s">
        <v>130</v>
      </c>
      <c r="E324" s="161">
        <v>15000</v>
      </c>
      <c r="F324" s="165" t="s">
        <v>130</v>
      </c>
      <c r="G324" s="109" t="s">
        <v>130</v>
      </c>
      <c r="H324" s="109" t="s">
        <v>48</v>
      </c>
      <c r="I324" s="109" t="s">
        <v>48</v>
      </c>
      <c r="J324" s="109" t="s">
        <v>48</v>
      </c>
      <c r="K324" s="109" t="s">
        <v>48</v>
      </c>
      <c r="L324" s="109" t="s">
        <v>48</v>
      </c>
      <c r="M324" s="166" t="s">
        <v>48</v>
      </c>
      <c r="N324" s="108" t="s">
        <v>48</v>
      </c>
      <c r="O324" s="109" t="s">
        <v>48</v>
      </c>
      <c r="P324" s="162" t="s">
        <v>48</v>
      </c>
      <c r="Q324" s="109" t="s">
        <v>48</v>
      </c>
      <c r="R324" s="109" t="s">
        <v>48</v>
      </c>
      <c r="S324" s="109" t="s">
        <v>48</v>
      </c>
      <c r="T324" s="109" t="s">
        <v>48</v>
      </c>
      <c r="U324" s="109" t="s">
        <v>48</v>
      </c>
      <c r="V324" s="166" t="s">
        <v>48</v>
      </c>
      <c r="W324" s="165" t="s">
        <v>130</v>
      </c>
      <c r="X324" s="109" t="s">
        <v>130</v>
      </c>
      <c r="Y324" s="109" t="s">
        <v>48</v>
      </c>
      <c r="Z324" s="109" t="s">
        <v>48</v>
      </c>
      <c r="AA324" s="109" t="s">
        <v>48</v>
      </c>
      <c r="AB324" s="109" t="s">
        <v>48</v>
      </c>
      <c r="AC324" s="109" t="s">
        <v>48</v>
      </c>
      <c r="AD324" s="166" t="s">
        <v>48</v>
      </c>
      <c r="AE324" s="165" t="s">
        <v>48</v>
      </c>
      <c r="AF324" s="109" t="s">
        <v>48</v>
      </c>
      <c r="AG324" s="109" t="s">
        <v>48</v>
      </c>
      <c r="AH324" s="109" t="s">
        <v>48</v>
      </c>
      <c r="AI324" s="109" t="s">
        <v>48</v>
      </c>
      <c r="AJ324" s="109" t="s">
        <v>48</v>
      </c>
      <c r="AK324" s="166" t="s">
        <v>48</v>
      </c>
      <c r="AL324" s="165" t="s">
        <v>130</v>
      </c>
      <c r="AM324" s="109" t="s">
        <v>130</v>
      </c>
      <c r="AN324" s="109" t="s">
        <v>48</v>
      </c>
      <c r="AO324" s="109" t="s">
        <v>48</v>
      </c>
      <c r="AP324" s="109" t="s">
        <v>48</v>
      </c>
      <c r="AQ324" s="109" t="s">
        <v>48</v>
      </c>
      <c r="AR324" s="109" t="s">
        <v>48</v>
      </c>
      <c r="AS324" s="166" t="s">
        <v>48</v>
      </c>
      <c r="AT324" s="165" t="s">
        <v>48</v>
      </c>
      <c r="AU324" s="109" t="s">
        <v>48</v>
      </c>
      <c r="AV324" s="109" t="s">
        <v>48</v>
      </c>
      <c r="AW324" s="109" t="s">
        <v>48</v>
      </c>
      <c r="AX324" s="109" t="s">
        <v>48</v>
      </c>
      <c r="AY324" s="109" t="s">
        <v>48</v>
      </c>
      <c r="AZ324" s="166" t="s">
        <v>48</v>
      </c>
      <c r="BA324" s="162" t="s">
        <v>48</v>
      </c>
      <c r="BB324" s="109" t="s">
        <v>49</v>
      </c>
      <c r="BC324" s="79"/>
    </row>
    <row r="325" spans="1:55" ht="75" hidden="1" customHeight="1">
      <c r="A325" s="109" t="s">
        <v>2338</v>
      </c>
      <c r="B325" s="109" t="s">
        <v>2012</v>
      </c>
      <c r="C325" s="109" t="s">
        <v>132</v>
      </c>
      <c r="D325" s="109" t="s">
        <v>130</v>
      </c>
      <c r="E325" s="161">
        <v>15000</v>
      </c>
      <c r="F325" s="165" t="s">
        <v>130</v>
      </c>
      <c r="G325" s="109" t="s">
        <v>130</v>
      </c>
      <c r="H325" s="109" t="s">
        <v>48</v>
      </c>
      <c r="I325" s="109" t="s">
        <v>48</v>
      </c>
      <c r="J325" s="109" t="s">
        <v>48</v>
      </c>
      <c r="K325" s="109" t="s">
        <v>48</v>
      </c>
      <c r="L325" s="109" t="s">
        <v>48</v>
      </c>
      <c r="M325" s="166" t="s">
        <v>48</v>
      </c>
      <c r="N325" s="108" t="s">
        <v>48</v>
      </c>
      <c r="O325" s="109" t="s">
        <v>48</v>
      </c>
      <c r="P325" s="162" t="s">
        <v>48</v>
      </c>
      <c r="Q325" s="109" t="s">
        <v>48</v>
      </c>
      <c r="R325" s="109" t="s">
        <v>48</v>
      </c>
      <c r="S325" s="109" t="s">
        <v>48</v>
      </c>
      <c r="T325" s="109" t="s">
        <v>48</v>
      </c>
      <c r="U325" s="109" t="s">
        <v>48</v>
      </c>
      <c r="V325" s="166" t="s">
        <v>48</v>
      </c>
      <c r="W325" s="165" t="s">
        <v>130</v>
      </c>
      <c r="X325" s="109" t="s">
        <v>130</v>
      </c>
      <c r="Y325" s="109" t="s">
        <v>48</v>
      </c>
      <c r="Z325" s="109" t="s">
        <v>48</v>
      </c>
      <c r="AA325" s="109" t="s">
        <v>48</v>
      </c>
      <c r="AB325" s="109" t="s">
        <v>48</v>
      </c>
      <c r="AC325" s="109" t="s">
        <v>48</v>
      </c>
      <c r="AD325" s="166" t="s">
        <v>48</v>
      </c>
      <c r="AE325" s="165" t="s">
        <v>48</v>
      </c>
      <c r="AF325" s="109" t="s">
        <v>48</v>
      </c>
      <c r="AG325" s="109" t="s">
        <v>48</v>
      </c>
      <c r="AH325" s="109" t="s">
        <v>48</v>
      </c>
      <c r="AI325" s="109" t="s">
        <v>48</v>
      </c>
      <c r="AJ325" s="109" t="s">
        <v>48</v>
      </c>
      <c r="AK325" s="166" t="s">
        <v>48</v>
      </c>
      <c r="AL325" s="165" t="s">
        <v>130</v>
      </c>
      <c r="AM325" s="109" t="s">
        <v>130</v>
      </c>
      <c r="AN325" s="109" t="s">
        <v>48</v>
      </c>
      <c r="AO325" s="109" t="s">
        <v>48</v>
      </c>
      <c r="AP325" s="109" t="s">
        <v>48</v>
      </c>
      <c r="AQ325" s="109" t="s">
        <v>48</v>
      </c>
      <c r="AR325" s="109" t="s">
        <v>48</v>
      </c>
      <c r="AS325" s="166" t="s">
        <v>48</v>
      </c>
      <c r="AT325" s="165" t="s">
        <v>48</v>
      </c>
      <c r="AU325" s="109" t="s">
        <v>48</v>
      </c>
      <c r="AV325" s="109" t="s">
        <v>48</v>
      </c>
      <c r="AW325" s="109" t="s">
        <v>48</v>
      </c>
      <c r="AX325" s="109" t="s">
        <v>48</v>
      </c>
      <c r="AY325" s="109" t="s">
        <v>48</v>
      </c>
      <c r="AZ325" s="166" t="s">
        <v>48</v>
      </c>
      <c r="BA325" s="162" t="s">
        <v>48</v>
      </c>
      <c r="BB325" s="109" t="s">
        <v>49</v>
      </c>
      <c r="BC325" s="79"/>
    </row>
    <row r="326" spans="1:55" ht="75" hidden="1" customHeight="1">
      <c r="A326" s="109" t="s">
        <v>2336</v>
      </c>
      <c r="B326" s="109" t="s">
        <v>2010</v>
      </c>
      <c r="C326" s="109" t="s">
        <v>123</v>
      </c>
      <c r="D326" s="109" t="s">
        <v>124</v>
      </c>
      <c r="E326" s="161">
        <v>15000</v>
      </c>
      <c r="F326" s="165" t="s">
        <v>130</v>
      </c>
      <c r="G326" s="109" t="s">
        <v>124</v>
      </c>
      <c r="H326" s="109" t="s">
        <v>1929</v>
      </c>
      <c r="I326" s="109" t="s">
        <v>2061</v>
      </c>
      <c r="J326" s="109" t="s">
        <v>629</v>
      </c>
      <c r="K326" s="109" t="s">
        <v>627</v>
      </c>
      <c r="L326" s="109" t="s">
        <v>1979</v>
      </c>
      <c r="M326" s="166" t="s">
        <v>711</v>
      </c>
      <c r="N326" s="108" t="s">
        <v>48</v>
      </c>
      <c r="O326" s="109" t="s">
        <v>48</v>
      </c>
      <c r="P326" s="162" t="s">
        <v>95</v>
      </c>
      <c r="Q326" s="109" t="s">
        <v>125</v>
      </c>
      <c r="R326" s="109" t="s">
        <v>126</v>
      </c>
      <c r="S326" s="109" t="s">
        <v>48</v>
      </c>
      <c r="T326" s="109" t="s">
        <v>580</v>
      </c>
      <c r="U326" s="109">
        <v>5442528</v>
      </c>
      <c r="V326" s="166" t="s">
        <v>485</v>
      </c>
      <c r="W326" s="165" t="s">
        <v>124</v>
      </c>
      <c r="X326" s="109" t="s">
        <v>124</v>
      </c>
      <c r="Y326" s="109" t="s">
        <v>48</v>
      </c>
      <c r="Z326" s="109" t="s">
        <v>48</v>
      </c>
      <c r="AA326" s="109" t="s">
        <v>48</v>
      </c>
      <c r="AB326" s="109" t="s">
        <v>48</v>
      </c>
      <c r="AC326" s="109" t="s">
        <v>48</v>
      </c>
      <c r="AD326" s="166" t="s">
        <v>48</v>
      </c>
      <c r="AE326" s="165" t="s">
        <v>48</v>
      </c>
      <c r="AF326" s="109" t="s">
        <v>48</v>
      </c>
      <c r="AG326" s="109" t="s">
        <v>48</v>
      </c>
      <c r="AH326" s="109" t="s">
        <v>48</v>
      </c>
      <c r="AI326" s="109" t="s">
        <v>48</v>
      </c>
      <c r="AJ326" s="109" t="s">
        <v>48</v>
      </c>
      <c r="AK326" s="166" t="s">
        <v>48</v>
      </c>
      <c r="AL326" s="165" t="s">
        <v>124</v>
      </c>
      <c r="AM326" s="109" t="s">
        <v>124</v>
      </c>
      <c r="AN326" s="109" t="s">
        <v>48</v>
      </c>
      <c r="AO326" s="109" t="s">
        <v>48</v>
      </c>
      <c r="AP326" s="109" t="s">
        <v>48</v>
      </c>
      <c r="AQ326" s="109" t="s">
        <v>48</v>
      </c>
      <c r="AR326" s="109" t="s">
        <v>48</v>
      </c>
      <c r="AS326" s="166" t="s">
        <v>48</v>
      </c>
      <c r="AT326" s="165" t="s">
        <v>48</v>
      </c>
      <c r="AU326" s="109" t="s">
        <v>48</v>
      </c>
      <c r="AV326" s="109" t="s">
        <v>48</v>
      </c>
      <c r="AW326" s="109" t="s">
        <v>48</v>
      </c>
      <c r="AX326" s="109" t="s">
        <v>48</v>
      </c>
      <c r="AY326" s="109" t="s">
        <v>48</v>
      </c>
      <c r="AZ326" s="166" t="s">
        <v>48</v>
      </c>
      <c r="BA326" s="162" t="s">
        <v>276</v>
      </c>
      <c r="BB326" s="109" t="s">
        <v>49</v>
      </c>
      <c r="BC326" s="79"/>
    </row>
    <row r="327" spans="1:55" ht="75" hidden="1" customHeight="1">
      <c r="A327" s="109" t="s">
        <v>2336</v>
      </c>
      <c r="B327" s="109" t="s">
        <v>2010</v>
      </c>
      <c r="C327" s="109" t="s">
        <v>123</v>
      </c>
      <c r="D327" s="109" t="s">
        <v>124</v>
      </c>
      <c r="E327" s="161">
        <v>15000</v>
      </c>
      <c r="F327" s="165" t="s">
        <v>124</v>
      </c>
      <c r="G327" s="109" t="s">
        <v>127</v>
      </c>
      <c r="H327" s="109" t="s">
        <v>2040</v>
      </c>
      <c r="I327" s="109" t="s">
        <v>1908</v>
      </c>
      <c r="J327" s="109" t="s">
        <v>629</v>
      </c>
      <c r="K327" s="109" t="s">
        <v>627</v>
      </c>
      <c r="L327" s="109" t="s">
        <v>2041</v>
      </c>
      <c r="M327" s="166" t="s">
        <v>711</v>
      </c>
      <c r="N327" s="108" t="s">
        <v>48</v>
      </c>
      <c r="O327" s="109" t="s">
        <v>48</v>
      </c>
      <c r="P327" s="162" t="s">
        <v>48</v>
      </c>
      <c r="Q327" s="109" t="s">
        <v>48</v>
      </c>
      <c r="R327" s="109" t="s">
        <v>48</v>
      </c>
      <c r="S327" s="109" t="s">
        <v>48</v>
      </c>
      <c r="T327" s="109" t="s">
        <v>48</v>
      </c>
      <c r="U327" s="109" t="s">
        <v>48</v>
      </c>
      <c r="V327" s="166" t="s">
        <v>48</v>
      </c>
      <c r="W327" s="165" t="s">
        <v>124</v>
      </c>
      <c r="X327" s="109" t="s">
        <v>124</v>
      </c>
      <c r="Y327" s="109" t="s">
        <v>48</v>
      </c>
      <c r="Z327" s="109" t="s">
        <v>48</v>
      </c>
      <c r="AA327" s="109" t="s">
        <v>48</v>
      </c>
      <c r="AB327" s="109" t="s">
        <v>48</v>
      </c>
      <c r="AC327" s="109" t="s">
        <v>48</v>
      </c>
      <c r="AD327" s="166" t="s">
        <v>48</v>
      </c>
      <c r="AE327" s="165" t="s">
        <v>48</v>
      </c>
      <c r="AF327" s="109" t="s">
        <v>48</v>
      </c>
      <c r="AG327" s="109" t="s">
        <v>48</v>
      </c>
      <c r="AH327" s="109" t="s">
        <v>48</v>
      </c>
      <c r="AI327" s="109" t="s">
        <v>48</v>
      </c>
      <c r="AJ327" s="109" t="s">
        <v>48</v>
      </c>
      <c r="AK327" s="166" t="s">
        <v>48</v>
      </c>
      <c r="AL327" s="165" t="s">
        <v>124</v>
      </c>
      <c r="AM327" s="109" t="s">
        <v>124</v>
      </c>
      <c r="AN327" s="109" t="s">
        <v>48</v>
      </c>
      <c r="AO327" s="109" t="s">
        <v>48</v>
      </c>
      <c r="AP327" s="109" t="s">
        <v>48</v>
      </c>
      <c r="AQ327" s="109" t="s">
        <v>48</v>
      </c>
      <c r="AR327" s="109" t="s">
        <v>48</v>
      </c>
      <c r="AS327" s="166" t="s">
        <v>48</v>
      </c>
      <c r="AT327" s="165" t="s">
        <v>48</v>
      </c>
      <c r="AU327" s="109" t="s">
        <v>48</v>
      </c>
      <c r="AV327" s="109" t="s">
        <v>48</v>
      </c>
      <c r="AW327" s="109" t="s">
        <v>48</v>
      </c>
      <c r="AX327" s="109" t="s">
        <v>48</v>
      </c>
      <c r="AY327" s="109" t="s">
        <v>48</v>
      </c>
      <c r="AZ327" s="166" t="s">
        <v>48</v>
      </c>
      <c r="BA327" s="162" t="s">
        <v>276</v>
      </c>
      <c r="BB327" s="109" t="s">
        <v>49</v>
      </c>
      <c r="BC327" s="79"/>
    </row>
    <row r="328" spans="1:55" ht="75" hidden="1" customHeight="1">
      <c r="A328" s="109" t="s">
        <v>2336</v>
      </c>
      <c r="B328" s="109" t="s">
        <v>2010</v>
      </c>
      <c r="C328" s="109" t="s">
        <v>123</v>
      </c>
      <c r="D328" s="109" t="s">
        <v>124</v>
      </c>
      <c r="E328" s="161">
        <v>15000</v>
      </c>
      <c r="F328" s="165" t="s">
        <v>130</v>
      </c>
      <c r="G328" s="109" t="s">
        <v>124</v>
      </c>
      <c r="H328" s="109" t="s">
        <v>1930</v>
      </c>
      <c r="I328" s="109" t="s">
        <v>2042</v>
      </c>
      <c r="J328" s="109" t="s">
        <v>629</v>
      </c>
      <c r="K328" s="109" t="s">
        <v>627</v>
      </c>
      <c r="L328" s="109" t="s">
        <v>1980</v>
      </c>
      <c r="M328" s="166" t="s">
        <v>711</v>
      </c>
      <c r="N328" s="108" t="s">
        <v>48</v>
      </c>
      <c r="O328" s="109" t="s">
        <v>48</v>
      </c>
      <c r="P328" s="162" t="s">
        <v>95</v>
      </c>
      <c r="Q328" s="109" t="s">
        <v>125</v>
      </c>
      <c r="R328" s="109" t="s">
        <v>126</v>
      </c>
      <c r="S328" s="109" t="s">
        <v>48</v>
      </c>
      <c r="T328" s="109" t="s">
        <v>580</v>
      </c>
      <c r="U328" s="109">
        <v>5442528</v>
      </c>
      <c r="V328" s="166" t="s">
        <v>485</v>
      </c>
      <c r="W328" s="165" t="s">
        <v>124</v>
      </c>
      <c r="X328" s="109" t="s">
        <v>124</v>
      </c>
      <c r="Y328" s="109" t="s">
        <v>48</v>
      </c>
      <c r="Z328" s="109" t="s">
        <v>48</v>
      </c>
      <c r="AA328" s="109" t="s">
        <v>48</v>
      </c>
      <c r="AB328" s="109" t="s">
        <v>48</v>
      </c>
      <c r="AC328" s="109" t="s">
        <v>48</v>
      </c>
      <c r="AD328" s="166" t="s">
        <v>48</v>
      </c>
      <c r="AE328" s="165" t="s">
        <v>48</v>
      </c>
      <c r="AF328" s="109" t="s">
        <v>48</v>
      </c>
      <c r="AG328" s="109" t="s">
        <v>48</v>
      </c>
      <c r="AH328" s="109" t="s">
        <v>48</v>
      </c>
      <c r="AI328" s="109" t="s">
        <v>48</v>
      </c>
      <c r="AJ328" s="109" t="s">
        <v>48</v>
      </c>
      <c r="AK328" s="166" t="s">
        <v>48</v>
      </c>
      <c r="AL328" s="109" t="s">
        <v>124</v>
      </c>
      <c r="AM328" s="109" t="s">
        <v>124</v>
      </c>
      <c r="AN328" s="109" t="s">
        <v>48</v>
      </c>
      <c r="AO328" s="109" t="s">
        <v>48</v>
      </c>
      <c r="AP328" s="109" t="s">
        <v>48</v>
      </c>
      <c r="AQ328" s="109" t="s">
        <v>48</v>
      </c>
      <c r="AR328" s="196" t="s">
        <v>48</v>
      </c>
      <c r="AS328" s="166" t="s">
        <v>48</v>
      </c>
      <c r="AT328" s="165" t="s">
        <v>48</v>
      </c>
      <c r="AU328" s="109" t="s">
        <v>48</v>
      </c>
      <c r="AV328" s="109" t="s">
        <v>48</v>
      </c>
      <c r="AW328" s="109" t="s">
        <v>48</v>
      </c>
      <c r="AX328" s="109" t="s">
        <v>48</v>
      </c>
      <c r="AY328" s="109" t="s">
        <v>48</v>
      </c>
      <c r="AZ328" s="166" t="s">
        <v>48</v>
      </c>
      <c r="BA328" s="162" t="s">
        <v>276</v>
      </c>
      <c r="BB328" s="109" t="s">
        <v>49</v>
      </c>
      <c r="BC328" s="79"/>
    </row>
    <row r="329" spans="1:55" ht="75" hidden="1" customHeight="1">
      <c r="A329" s="109" t="s">
        <v>2336</v>
      </c>
      <c r="B329" s="109" t="s">
        <v>2010</v>
      </c>
      <c r="C329" s="109" t="s">
        <v>123</v>
      </c>
      <c r="D329" s="109" t="s">
        <v>124</v>
      </c>
      <c r="E329" s="161">
        <v>15000</v>
      </c>
      <c r="F329" s="165" t="s">
        <v>130</v>
      </c>
      <c r="G329" s="109" t="s">
        <v>124</v>
      </c>
      <c r="H329" s="109" t="s">
        <v>1931</v>
      </c>
      <c r="I329" s="109" t="s">
        <v>2062</v>
      </c>
      <c r="J329" s="109" t="s">
        <v>629</v>
      </c>
      <c r="K329" s="109" t="s">
        <v>627</v>
      </c>
      <c r="L329" s="109" t="s">
        <v>1981</v>
      </c>
      <c r="M329" s="166" t="s">
        <v>711</v>
      </c>
      <c r="N329" s="108" t="s">
        <v>48</v>
      </c>
      <c r="O329" s="109" t="s">
        <v>48</v>
      </c>
      <c r="P329" s="162" t="s">
        <v>95</v>
      </c>
      <c r="Q329" s="109" t="s">
        <v>125</v>
      </c>
      <c r="R329" s="109" t="s">
        <v>126</v>
      </c>
      <c r="S329" s="109" t="s">
        <v>48</v>
      </c>
      <c r="T329" s="109" t="s">
        <v>580</v>
      </c>
      <c r="U329" s="109">
        <v>5442528</v>
      </c>
      <c r="V329" s="166" t="s">
        <v>485</v>
      </c>
      <c r="W329" s="165" t="s">
        <v>124</v>
      </c>
      <c r="X329" s="109" t="s">
        <v>124</v>
      </c>
      <c r="Y329" s="109" t="s">
        <v>48</v>
      </c>
      <c r="Z329" s="109" t="s">
        <v>48</v>
      </c>
      <c r="AA329" s="109" t="s">
        <v>48</v>
      </c>
      <c r="AB329" s="109" t="s">
        <v>48</v>
      </c>
      <c r="AC329" s="109" t="s">
        <v>48</v>
      </c>
      <c r="AD329" s="166" t="s">
        <v>48</v>
      </c>
      <c r="AE329" s="165" t="s">
        <v>48</v>
      </c>
      <c r="AF329" s="109" t="s">
        <v>48</v>
      </c>
      <c r="AG329" s="109" t="s">
        <v>48</v>
      </c>
      <c r="AH329" s="109" t="s">
        <v>48</v>
      </c>
      <c r="AI329" s="109" t="s">
        <v>48</v>
      </c>
      <c r="AJ329" s="109" t="s">
        <v>48</v>
      </c>
      <c r="AK329" s="166" t="s">
        <v>48</v>
      </c>
      <c r="AL329" s="165" t="s">
        <v>124</v>
      </c>
      <c r="AM329" s="109" t="s">
        <v>124</v>
      </c>
      <c r="AN329" s="109" t="s">
        <v>48</v>
      </c>
      <c r="AO329" s="109" t="s">
        <v>48</v>
      </c>
      <c r="AP329" s="109" t="s">
        <v>48</v>
      </c>
      <c r="AQ329" s="109" t="s">
        <v>48</v>
      </c>
      <c r="AR329" s="109" t="s">
        <v>48</v>
      </c>
      <c r="AS329" s="166" t="s">
        <v>48</v>
      </c>
      <c r="AT329" s="165" t="s">
        <v>48</v>
      </c>
      <c r="AU329" s="109" t="s">
        <v>48</v>
      </c>
      <c r="AV329" s="109" t="s">
        <v>48</v>
      </c>
      <c r="AW329" s="109" t="s">
        <v>48</v>
      </c>
      <c r="AX329" s="109" t="s">
        <v>48</v>
      </c>
      <c r="AY329" s="109" t="s">
        <v>48</v>
      </c>
      <c r="AZ329" s="166" t="s">
        <v>48</v>
      </c>
      <c r="BA329" s="162" t="s">
        <v>276</v>
      </c>
      <c r="BB329" s="109" t="s">
        <v>49</v>
      </c>
      <c r="BC329" s="79"/>
    </row>
    <row r="330" spans="1:55" ht="75" hidden="1" customHeight="1">
      <c r="A330" s="109" t="s">
        <v>2336</v>
      </c>
      <c r="B330" s="109" t="s">
        <v>2709</v>
      </c>
      <c r="C330" s="129" t="s">
        <v>123</v>
      </c>
      <c r="D330" s="109" t="s">
        <v>124</v>
      </c>
      <c r="E330" s="161">
        <v>30000</v>
      </c>
      <c r="F330" s="165" t="s">
        <v>130</v>
      </c>
      <c r="G330" s="109" t="s">
        <v>130</v>
      </c>
      <c r="H330" s="109" t="s">
        <v>131</v>
      </c>
      <c r="I330" s="109" t="s">
        <v>1908</v>
      </c>
      <c r="J330" s="109" t="s">
        <v>628</v>
      </c>
      <c r="K330" s="109" t="s">
        <v>628</v>
      </c>
      <c r="L330" s="109">
        <v>5761714</v>
      </c>
      <c r="M330" s="166" t="s">
        <v>513</v>
      </c>
      <c r="N330" s="108" t="s">
        <v>48</v>
      </c>
      <c r="O330" s="109" t="s">
        <v>48</v>
      </c>
      <c r="P330" s="187" t="s">
        <v>95</v>
      </c>
      <c r="Q330" s="117" t="s">
        <v>125</v>
      </c>
      <c r="R330" s="109" t="s">
        <v>126</v>
      </c>
      <c r="S330" s="109" t="s">
        <v>48</v>
      </c>
      <c r="T330" s="109" t="s">
        <v>580</v>
      </c>
      <c r="U330" s="109">
        <v>5442528</v>
      </c>
      <c r="V330" s="166" t="s">
        <v>485</v>
      </c>
      <c r="W330" s="165" t="s">
        <v>124</v>
      </c>
      <c r="X330" s="109" t="s">
        <v>124</v>
      </c>
      <c r="Y330" s="109" t="s">
        <v>48</v>
      </c>
      <c r="Z330" s="109" t="s">
        <v>48</v>
      </c>
      <c r="AA330" s="109" t="s">
        <v>48</v>
      </c>
      <c r="AB330" s="109" t="s">
        <v>48</v>
      </c>
      <c r="AC330" s="109" t="s">
        <v>48</v>
      </c>
      <c r="AD330" s="166" t="s">
        <v>48</v>
      </c>
      <c r="AE330" s="174" t="s">
        <v>48</v>
      </c>
      <c r="AF330" s="117" t="s">
        <v>48</v>
      </c>
      <c r="AG330" s="117" t="s">
        <v>48</v>
      </c>
      <c r="AH330" s="109" t="s">
        <v>48</v>
      </c>
      <c r="AI330" s="109" t="s">
        <v>48</v>
      </c>
      <c r="AJ330" s="117" t="s">
        <v>48</v>
      </c>
      <c r="AK330" s="182" t="s">
        <v>48</v>
      </c>
      <c r="AL330" s="109" t="s">
        <v>124</v>
      </c>
      <c r="AM330" s="109" t="s">
        <v>124</v>
      </c>
      <c r="AN330" s="109" t="s">
        <v>48</v>
      </c>
      <c r="AO330" s="109" t="s">
        <v>48</v>
      </c>
      <c r="AP330" s="109" t="s">
        <v>48</v>
      </c>
      <c r="AQ330" s="109" t="s">
        <v>48</v>
      </c>
      <c r="AR330" s="109" t="s">
        <v>48</v>
      </c>
      <c r="AS330" s="166" t="s">
        <v>48</v>
      </c>
      <c r="AT330" s="174" t="s">
        <v>48</v>
      </c>
      <c r="AU330" s="117" t="s">
        <v>48</v>
      </c>
      <c r="AV330" s="117" t="s">
        <v>48</v>
      </c>
      <c r="AW330" s="109" t="s">
        <v>48</v>
      </c>
      <c r="AX330" s="109" t="s">
        <v>48</v>
      </c>
      <c r="AY330" s="117" t="s">
        <v>48</v>
      </c>
      <c r="AZ330" s="166" t="s">
        <v>48</v>
      </c>
      <c r="BA330" s="162" t="s">
        <v>290</v>
      </c>
      <c r="BB330" s="109" t="s">
        <v>49</v>
      </c>
      <c r="BC330" s="79"/>
    </row>
    <row r="331" spans="1:55" ht="75" hidden="1" customHeight="1">
      <c r="A331" s="109" t="s">
        <v>2337</v>
      </c>
      <c r="B331" s="109" t="s">
        <v>2011</v>
      </c>
      <c r="C331" s="193" t="s">
        <v>123</v>
      </c>
      <c r="D331" s="109" t="s">
        <v>124</v>
      </c>
      <c r="E331" s="161">
        <v>15000</v>
      </c>
      <c r="F331" s="165" t="s">
        <v>130</v>
      </c>
      <c r="G331" s="109" t="s">
        <v>124</v>
      </c>
      <c r="H331" s="109" t="s">
        <v>1929</v>
      </c>
      <c r="I331" s="109" t="s">
        <v>2061</v>
      </c>
      <c r="J331" s="109" t="s">
        <v>629</v>
      </c>
      <c r="K331" s="109" t="s">
        <v>627</v>
      </c>
      <c r="L331" s="109" t="s">
        <v>1979</v>
      </c>
      <c r="M331" s="166" t="s">
        <v>711</v>
      </c>
      <c r="N331" s="108" t="s">
        <v>48</v>
      </c>
      <c r="O331" s="109" t="s">
        <v>48</v>
      </c>
      <c r="P331" s="162" t="s">
        <v>95</v>
      </c>
      <c r="Q331" s="109" t="s">
        <v>125</v>
      </c>
      <c r="R331" s="109" t="s">
        <v>126</v>
      </c>
      <c r="S331" s="109" t="s">
        <v>48</v>
      </c>
      <c r="T331" s="109" t="s">
        <v>580</v>
      </c>
      <c r="U331" s="109">
        <v>5442528</v>
      </c>
      <c r="V331" s="166" t="s">
        <v>485</v>
      </c>
      <c r="W331" s="165" t="s">
        <v>124</v>
      </c>
      <c r="X331" s="109" t="s">
        <v>124</v>
      </c>
      <c r="Y331" s="109" t="s">
        <v>48</v>
      </c>
      <c r="Z331" s="109" t="s">
        <v>48</v>
      </c>
      <c r="AA331" s="109" t="s">
        <v>48</v>
      </c>
      <c r="AB331" s="109" t="s">
        <v>48</v>
      </c>
      <c r="AC331" s="109" t="s">
        <v>48</v>
      </c>
      <c r="AD331" s="166" t="s">
        <v>48</v>
      </c>
      <c r="AE331" s="165" t="s">
        <v>48</v>
      </c>
      <c r="AF331" s="109" t="s">
        <v>48</v>
      </c>
      <c r="AG331" s="109" t="s">
        <v>48</v>
      </c>
      <c r="AH331" s="109" t="s">
        <v>48</v>
      </c>
      <c r="AI331" s="109" t="s">
        <v>48</v>
      </c>
      <c r="AJ331" s="109" t="s">
        <v>48</v>
      </c>
      <c r="AK331" s="166" t="s">
        <v>48</v>
      </c>
      <c r="AL331" s="109" t="s">
        <v>124</v>
      </c>
      <c r="AM331" s="109" t="s">
        <v>124</v>
      </c>
      <c r="AN331" s="109" t="s">
        <v>48</v>
      </c>
      <c r="AO331" s="109" t="s">
        <v>48</v>
      </c>
      <c r="AP331" s="109" t="s">
        <v>48</v>
      </c>
      <c r="AQ331" s="109" t="s">
        <v>48</v>
      </c>
      <c r="AR331" s="109" t="s">
        <v>48</v>
      </c>
      <c r="AS331" s="166" t="s">
        <v>48</v>
      </c>
      <c r="AT331" s="165" t="s">
        <v>48</v>
      </c>
      <c r="AU331" s="109" t="s">
        <v>48</v>
      </c>
      <c r="AV331" s="109" t="s">
        <v>48</v>
      </c>
      <c r="AW331" s="109" t="s">
        <v>48</v>
      </c>
      <c r="AX331" s="109" t="s">
        <v>48</v>
      </c>
      <c r="AY331" s="109" t="s">
        <v>48</v>
      </c>
      <c r="AZ331" s="166" t="s">
        <v>48</v>
      </c>
      <c r="BA331" s="162" t="s">
        <v>276</v>
      </c>
      <c r="BB331" s="109" t="s">
        <v>49</v>
      </c>
      <c r="BC331" s="79"/>
    </row>
    <row r="332" spans="1:55" ht="75" hidden="1" customHeight="1">
      <c r="A332" s="109" t="s">
        <v>2337</v>
      </c>
      <c r="B332" s="109" t="s">
        <v>2011</v>
      </c>
      <c r="C332" s="109" t="s">
        <v>123</v>
      </c>
      <c r="D332" s="109" t="s">
        <v>124</v>
      </c>
      <c r="E332" s="161">
        <v>15000</v>
      </c>
      <c r="F332" s="165" t="s">
        <v>124</v>
      </c>
      <c r="G332" s="109" t="s">
        <v>127</v>
      </c>
      <c r="H332" s="109" t="s">
        <v>2040</v>
      </c>
      <c r="I332" s="109" t="s">
        <v>1908</v>
      </c>
      <c r="J332" s="109" t="s">
        <v>629</v>
      </c>
      <c r="K332" s="109" t="s">
        <v>627</v>
      </c>
      <c r="L332" s="109" t="s">
        <v>2041</v>
      </c>
      <c r="M332" s="166" t="s">
        <v>711</v>
      </c>
      <c r="N332" s="108" t="s">
        <v>48</v>
      </c>
      <c r="O332" s="109" t="s">
        <v>48</v>
      </c>
      <c r="P332" s="162" t="s">
        <v>48</v>
      </c>
      <c r="Q332" s="109" t="s">
        <v>48</v>
      </c>
      <c r="R332" s="109" t="s">
        <v>48</v>
      </c>
      <c r="S332" s="109" t="s">
        <v>48</v>
      </c>
      <c r="T332" s="109" t="s">
        <v>48</v>
      </c>
      <c r="U332" s="109" t="s">
        <v>48</v>
      </c>
      <c r="V332" s="166" t="s">
        <v>48</v>
      </c>
      <c r="W332" s="165" t="s">
        <v>124</v>
      </c>
      <c r="X332" s="109" t="s">
        <v>124</v>
      </c>
      <c r="Y332" s="109" t="s">
        <v>48</v>
      </c>
      <c r="Z332" s="109" t="s">
        <v>48</v>
      </c>
      <c r="AA332" s="109" t="s">
        <v>48</v>
      </c>
      <c r="AB332" s="109" t="s">
        <v>48</v>
      </c>
      <c r="AC332" s="109" t="s">
        <v>48</v>
      </c>
      <c r="AD332" s="166" t="s">
        <v>48</v>
      </c>
      <c r="AE332" s="165" t="s">
        <v>48</v>
      </c>
      <c r="AF332" s="109" t="s">
        <v>48</v>
      </c>
      <c r="AG332" s="109" t="s">
        <v>48</v>
      </c>
      <c r="AH332" s="109" t="s">
        <v>48</v>
      </c>
      <c r="AI332" s="109" t="s">
        <v>48</v>
      </c>
      <c r="AJ332" s="109" t="s">
        <v>48</v>
      </c>
      <c r="AK332" s="166" t="s">
        <v>48</v>
      </c>
      <c r="AL332" s="165" t="s">
        <v>124</v>
      </c>
      <c r="AM332" s="109" t="s">
        <v>124</v>
      </c>
      <c r="AN332" s="109" t="s">
        <v>48</v>
      </c>
      <c r="AO332" s="109" t="s">
        <v>48</v>
      </c>
      <c r="AP332" s="109" t="s">
        <v>48</v>
      </c>
      <c r="AQ332" s="109" t="s">
        <v>48</v>
      </c>
      <c r="AR332" s="109" t="s">
        <v>48</v>
      </c>
      <c r="AS332" s="166" t="s">
        <v>48</v>
      </c>
      <c r="AT332" s="165" t="s">
        <v>48</v>
      </c>
      <c r="AU332" s="109" t="s">
        <v>48</v>
      </c>
      <c r="AV332" s="109" t="s">
        <v>48</v>
      </c>
      <c r="AW332" s="109" t="s">
        <v>48</v>
      </c>
      <c r="AX332" s="109" t="s">
        <v>48</v>
      </c>
      <c r="AY332" s="109" t="s">
        <v>48</v>
      </c>
      <c r="AZ332" s="166" t="s">
        <v>48</v>
      </c>
      <c r="BA332" s="162" t="s">
        <v>276</v>
      </c>
      <c r="BB332" s="109" t="s">
        <v>49</v>
      </c>
      <c r="BC332" s="79"/>
    </row>
    <row r="333" spans="1:55" ht="75" hidden="1" customHeight="1">
      <c r="A333" s="109" t="s">
        <v>2337</v>
      </c>
      <c r="B333" s="109" t="s">
        <v>2011</v>
      </c>
      <c r="C333" s="109" t="s">
        <v>123</v>
      </c>
      <c r="D333" s="109" t="s">
        <v>124</v>
      </c>
      <c r="E333" s="161">
        <v>15000</v>
      </c>
      <c r="F333" s="165" t="s">
        <v>130</v>
      </c>
      <c r="G333" s="109" t="s">
        <v>124</v>
      </c>
      <c r="H333" s="109" t="s">
        <v>1930</v>
      </c>
      <c r="I333" s="109" t="s">
        <v>2042</v>
      </c>
      <c r="J333" s="109" t="s">
        <v>629</v>
      </c>
      <c r="K333" s="109" t="s">
        <v>627</v>
      </c>
      <c r="L333" s="109" t="s">
        <v>1980</v>
      </c>
      <c r="M333" s="166" t="s">
        <v>711</v>
      </c>
      <c r="N333" s="108" t="s">
        <v>48</v>
      </c>
      <c r="O333" s="109" t="s">
        <v>48</v>
      </c>
      <c r="P333" s="162" t="s">
        <v>95</v>
      </c>
      <c r="Q333" s="109" t="s">
        <v>125</v>
      </c>
      <c r="R333" s="109" t="s">
        <v>126</v>
      </c>
      <c r="S333" s="109" t="s">
        <v>48</v>
      </c>
      <c r="T333" s="109" t="s">
        <v>580</v>
      </c>
      <c r="U333" s="109">
        <v>5442528</v>
      </c>
      <c r="V333" s="166" t="s">
        <v>485</v>
      </c>
      <c r="W333" s="165" t="s">
        <v>124</v>
      </c>
      <c r="X333" s="109" t="s">
        <v>124</v>
      </c>
      <c r="Y333" s="109" t="s">
        <v>48</v>
      </c>
      <c r="Z333" s="109" t="s">
        <v>48</v>
      </c>
      <c r="AA333" s="109" t="s">
        <v>48</v>
      </c>
      <c r="AB333" s="109" t="s">
        <v>48</v>
      </c>
      <c r="AC333" s="109" t="s">
        <v>48</v>
      </c>
      <c r="AD333" s="166" t="s">
        <v>48</v>
      </c>
      <c r="AE333" s="165" t="s">
        <v>48</v>
      </c>
      <c r="AF333" s="109" t="s">
        <v>48</v>
      </c>
      <c r="AG333" s="109" t="s">
        <v>48</v>
      </c>
      <c r="AH333" s="109" t="s">
        <v>48</v>
      </c>
      <c r="AI333" s="109" t="s">
        <v>48</v>
      </c>
      <c r="AJ333" s="109" t="s">
        <v>48</v>
      </c>
      <c r="AK333" s="166" t="s">
        <v>48</v>
      </c>
      <c r="AL333" s="165" t="s">
        <v>124</v>
      </c>
      <c r="AM333" s="109" t="s">
        <v>124</v>
      </c>
      <c r="AN333" s="109" t="s">
        <v>48</v>
      </c>
      <c r="AO333" s="109" t="s">
        <v>48</v>
      </c>
      <c r="AP333" s="109" t="s">
        <v>48</v>
      </c>
      <c r="AQ333" s="109" t="s">
        <v>48</v>
      </c>
      <c r="AR333" s="109" t="s">
        <v>48</v>
      </c>
      <c r="AS333" s="166" t="s">
        <v>48</v>
      </c>
      <c r="AT333" s="165" t="s">
        <v>48</v>
      </c>
      <c r="AU333" s="109" t="s">
        <v>48</v>
      </c>
      <c r="AV333" s="109" t="s">
        <v>48</v>
      </c>
      <c r="AW333" s="109" t="s">
        <v>48</v>
      </c>
      <c r="AX333" s="109" t="s">
        <v>48</v>
      </c>
      <c r="AY333" s="109" t="s">
        <v>48</v>
      </c>
      <c r="AZ333" s="166" t="s">
        <v>48</v>
      </c>
      <c r="BA333" s="162" t="s">
        <v>276</v>
      </c>
      <c r="BB333" s="109" t="s">
        <v>49</v>
      </c>
      <c r="BC333" s="79"/>
    </row>
    <row r="334" spans="1:55" ht="75" hidden="1" customHeight="1">
      <c r="A334" s="109" t="s">
        <v>2337</v>
      </c>
      <c r="B334" s="109" t="s">
        <v>2011</v>
      </c>
      <c r="C334" s="109" t="s">
        <v>123</v>
      </c>
      <c r="D334" s="109" t="s">
        <v>124</v>
      </c>
      <c r="E334" s="161">
        <v>15000</v>
      </c>
      <c r="F334" s="165" t="s">
        <v>130</v>
      </c>
      <c r="G334" s="109" t="s">
        <v>124</v>
      </c>
      <c r="H334" s="109" t="s">
        <v>1931</v>
      </c>
      <c r="I334" s="109" t="s">
        <v>2062</v>
      </c>
      <c r="J334" s="109" t="s">
        <v>629</v>
      </c>
      <c r="K334" s="109" t="s">
        <v>627</v>
      </c>
      <c r="L334" s="109" t="s">
        <v>1981</v>
      </c>
      <c r="M334" s="166" t="s">
        <v>711</v>
      </c>
      <c r="N334" s="108" t="s">
        <v>48</v>
      </c>
      <c r="O334" s="109" t="s">
        <v>48</v>
      </c>
      <c r="P334" s="162" t="s">
        <v>95</v>
      </c>
      <c r="Q334" s="109" t="s">
        <v>125</v>
      </c>
      <c r="R334" s="109" t="s">
        <v>126</v>
      </c>
      <c r="S334" s="109" t="s">
        <v>48</v>
      </c>
      <c r="T334" s="109" t="s">
        <v>580</v>
      </c>
      <c r="U334" s="109">
        <v>5442528</v>
      </c>
      <c r="V334" s="166" t="s">
        <v>485</v>
      </c>
      <c r="W334" s="165" t="s">
        <v>124</v>
      </c>
      <c r="X334" s="109" t="s">
        <v>124</v>
      </c>
      <c r="Y334" s="109" t="s">
        <v>48</v>
      </c>
      <c r="Z334" s="109" t="s">
        <v>48</v>
      </c>
      <c r="AA334" s="109" t="s">
        <v>48</v>
      </c>
      <c r="AB334" s="109" t="s">
        <v>48</v>
      </c>
      <c r="AC334" s="109" t="s">
        <v>48</v>
      </c>
      <c r="AD334" s="166" t="s">
        <v>48</v>
      </c>
      <c r="AE334" s="165" t="s">
        <v>48</v>
      </c>
      <c r="AF334" s="109" t="s">
        <v>48</v>
      </c>
      <c r="AG334" s="109" t="s">
        <v>48</v>
      </c>
      <c r="AH334" s="109" t="s">
        <v>48</v>
      </c>
      <c r="AI334" s="109" t="s">
        <v>48</v>
      </c>
      <c r="AJ334" s="109" t="s">
        <v>48</v>
      </c>
      <c r="AK334" s="166" t="s">
        <v>48</v>
      </c>
      <c r="AL334" s="165" t="s">
        <v>124</v>
      </c>
      <c r="AM334" s="109" t="s">
        <v>124</v>
      </c>
      <c r="AN334" s="109" t="s">
        <v>48</v>
      </c>
      <c r="AO334" s="109" t="s">
        <v>48</v>
      </c>
      <c r="AP334" s="109" t="s">
        <v>48</v>
      </c>
      <c r="AQ334" s="109" t="s">
        <v>48</v>
      </c>
      <c r="AR334" s="109" t="s">
        <v>48</v>
      </c>
      <c r="AS334" s="166" t="s">
        <v>48</v>
      </c>
      <c r="AT334" s="165" t="s">
        <v>48</v>
      </c>
      <c r="AU334" s="109" t="s">
        <v>48</v>
      </c>
      <c r="AV334" s="109" t="s">
        <v>48</v>
      </c>
      <c r="AW334" s="109" t="s">
        <v>48</v>
      </c>
      <c r="AX334" s="109" t="s">
        <v>48</v>
      </c>
      <c r="AY334" s="109" t="s">
        <v>48</v>
      </c>
      <c r="AZ334" s="166" t="s">
        <v>48</v>
      </c>
      <c r="BA334" s="162" t="s">
        <v>276</v>
      </c>
      <c r="BB334" s="109" t="s">
        <v>49</v>
      </c>
      <c r="BC334" s="79"/>
    </row>
    <row r="335" spans="1:55" ht="75" hidden="1" customHeight="1">
      <c r="A335" s="109" t="s">
        <v>2338</v>
      </c>
      <c r="B335" s="109" t="s">
        <v>2012</v>
      </c>
      <c r="C335" s="109" t="s">
        <v>123</v>
      </c>
      <c r="D335" s="109" t="s">
        <v>124</v>
      </c>
      <c r="E335" s="161">
        <v>15000</v>
      </c>
      <c r="F335" s="165" t="s">
        <v>130</v>
      </c>
      <c r="G335" s="109" t="s">
        <v>130</v>
      </c>
      <c r="H335" s="109" t="s">
        <v>1929</v>
      </c>
      <c r="I335" s="109" t="s">
        <v>2061</v>
      </c>
      <c r="J335" s="109" t="s">
        <v>629</v>
      </c>
      <c r="K335" s="109" t="s">
        <v>627</v>
      </c>
      <c r="L335" s="109" t="s">
        <v>1979</v>
      </c>
      <c r="M335" s="166" t="s">
        <v>711</v>
      </c>
      <c r="N335" s="108" t="s">
        <v>48</v>
      </c>
      <c r="O335" s="109" t="s">
        <v>48</v>
      </c>
      <c r="P335" s="162" t="s">
        <v>95</v>
      </c>
      <c r="Q335" s="109" t="s">
        <v>125</v>
      </c>
      <c r="R335" s="109" t="s">
        <v>126</v>
      </c>
      <c r="S335" s="109" t="s">
        <v>48</v>
      </c>
      <c r="T335" s="109" t="s">
        <v>580</v>
      </c>
      <c r="U335" s="109">
        <v>5442528</v>
      </c>
      <c r="V335" s="166" t="s">
        <v>485</v>
      </c>
      <c r="W335" s="165" t="s">
        <v>124</v>
      </c>
      <c r="X335" s="109" t="s">
        <v>124</v>
      </c>
      <c r="Y335" s="109" t="s">
        <v>48</v>
      </c>
      <c r="Z335" s="109" t="s">
        <v>48</v>
      </c>
      <c r="AA335" s="109" t="s">
        <v>48</v>
      </c>
      <c r="AB335" s="109" t="s">
        <v>48</v>
      </c>
      <c r="AC335" s="109" t="s">
        <v>48</v>
      </c>
      <c r="AD335" s="166" t="s">
        <v>48</v>
      </c>
      <c r="AE335" s="165" t="s">
        <v>48</v>
      </c>
      <c r="AF335" s="109" t="s">
        <v>48</v>
      </c>
      <c r="AG335" s="109" t="s">
        <v>48</v>
      </c>
      <c r="AH335" s="109" t="s">
        <v>48</v>
      </c>
      <c r="AI335" s="109" t="s">
        <v>48</v>
      </c>
      <c r="AJ335" s="109" t="s">
        <v>48</v>
      </c>
      <c r="AK335" s="166" t="s">
        <v>48</v>
      </c>
      <c r="AL335" s="165" t="s">
        <v>124</v>
      </c>
      <c r="AM335" s="109" t="s">
        <v>124</v>
      </c>
      <c r="AN335" s="109" t="s">
        <v>48</v>
      </c>
      <c r="AO335" s="109" t="s">
        <v>48</v>
      </c>
      <c r="AP335" s="109" t="s">
        <v>48</v>
      </c>
      <c r="AQ335" s="109" t="s">
        <v>48</v>
      </c>
      <c r="AR335" s="109" t="s">
        <v>48</v>
      </c>
      <c r="AS335" s="166" t="s">
        <v>48</v>
      </c>
      <c r="AT335" s="165" t="s">
        <v>48</v>
      </c>
      <c r="AU335" s="109" t="s">
        <v>48</v>
      </c>
      <c r="AV335" s="109" t="s">
        <v>48</v>
      </c>
      <c r="AW335" s="109" t="s">
        <v>48</v>
      </c>
      <c r="AX335" s="109" t="s">
        <v>48</v>
      </c>
      <c r="AY335" s="109" t="s">
        <v>48</v>
      </c>
      <c r="AZ335" s="166" t="s">
        <v>48</v>
      </c>
      <c r="BA335" s="162" t="s">
        <v>276</v>
      </c>
      <c r="BB335" s="109" t="s">
        <v>49</v>
      </c>
      <c r="BC335" s="79"/>
    </row>
    <row r="336" spans="1:55" ht="75" hidden="1" customHeight="1">
      <c r="A336" s="109" t="s">
        <v>2338</v>
      </c>
      <c r="B336" s="109" t="s">
        <v>2012</v>
      </c>
      <c r="C336" s="109" t="s">
        <v>123</v>
      </c>
      <c r="D336" s="109" t="s">
        <v>124</v>
      </c>
      <c r="E336" s="161">
        <v>15000</v>
      </c>
      <c r="F336" s="165" t="s">
        <v>127</v>
      </c>
      <c r="G336" s="109" t="s">
        <v>127</v>
      </c>
      <c r="H336" s="109" t="s">
        <v>2040</v>
      </c>
      <c r="I336" s="109" t="s">
        <v>1908</v>
      </c>
      <c r="J336" s="109" t="s">
        <v>629</v>
      </c>
      <c r="K336" s="109" t="s">
        <v>627</v>
      </c>
      <c r="L336" s="109" t="s">
        <v>2041</v>
      </c>
      <c r="M336" s="166" t="s">
        <v>711</v>
      </c>
      <c r="N336" s="108" t="s">
        <v>48</v>
      </c>
      <c r="O336" s="109" t="s">
        <v>48</v>
      </c>
      <c r="P336" s="162" t="s">
        <v>48</v>
      </c>
      <c r="Q336" s="109" t="s">
        <v>48</v>
      </c>
      <c r="R336" s="109" t="s">
        <v>48</v>
      </c>
      <c r="S336" s="109" t="s">
        <v>48</v>
      </c>
      <c r="T336" s="109" t="s">
        <v>48</v>
      </c>
      <c r="U336" s="109" t="s">
        <v>48</v>
      </c>
      <c r="V336" s="166" t="s">
        <v>48</v>
      </c>
      <c r="W336" s="165" t="s">
        <v>124</v>
      </c>
      <c r="X336" s="109" t="s">
        <v>124</v>
      </c>
      <c r="Y336" s="109" t="s">
        <v>48</v>
      </c>
      <c r="Z336" s="109" t="s">
        <v>48</v>
      </c>
      <c r="AA336" s="109" t="s">
        <v>48</v>
      </c>
      <c r="AB336" s="109" t="s">
        <v>48</v>
      </c>
      <c r="AC336" s="109" t="s">
        <v>48</v>
      </c>
      <c r="AD336" s="166" t="s">
        <v>48</v>
      </c>
      <c r="AE336" s="165" t="s">
        <v>48</v>
      </c>
      <c r="AF336" s="109" t="s">
        <v>48</v>
      </c>
      <c r="AG336" s="109" t="s">
        <v>48</v>
      </c>
      <c r="AH336" s="109" t="s">
        <v>48</v>
      </c>
      <c r="AI336" s="109" t="s">
        <v>48</v>
      </c>
      <c r="AJ336" s="109" t="s">
        <v>48</v>
      </c>
      <c r="AK336" s="166" t="s">
        <v>48</v>
      </c>
      <c r="AL336" s="165" t="s">
        <v>124</v>
      </c>
      <c r="AM336" s="109" t="s">
        <v>124</v>
      </c>
      <c r="AN336" s="109" t="s">
        <v>48</v>
      </c>
      <c r="AO336" s="109" t="s">
        <v>48</v>
      </c>
      <c r="AP336" s="109" t="s">
        <v>48</v>
      </c>
      <c r="AQ336" s="109" t="s">
        <v>48</v>
      </c>
      <c r="AR336" s="109" t="s">
        <v>48</v>
      </c>
      <c r="AS336" s="166" t="s">
        <v>48</v>
      </c>
      <c r="AT336" s="165" t="s">
        <v>48</v>
      </c>
      <c r="AU336" s="109" t="s">
        <v>48</v>
      </c>
      <c r="AV336" s="109" t="s">
        <v>48</v>
      </c>
      <c r="AW336" s="109" t="s">
        <v>48</v>
      </c>
      <c r="AX336" s="109" t="s">
        <v>48</v>
      </c>
      <c r="AY336" s="109" t="s">
        <v>48</v>
      </c>
      <c r="AZ336" s="166" t="s">
        <v>48</v>
      </c>
      <c r="BA336" s="162" t="s">
        <v>276</v>
      </c>
      <c r="BB336" s="109" t="s">
        <v>49</v>
      </c>
      <c r="BC336" s="79"/>
    </row>
    <row r="337" spans="1:55" ht="75" hidden="1" customHeight="1">
      <c r="A337" s="109" t="s">
        <v>2338</v>
      </c>
      <c r="B337" s="109" t="s">
        <v>2012</v>
      </c>
      <c r="C337" s="109" t="s">
        <v>123</v>
      </c>
      <c r="D337" s="109" t="s">
        <v>124</v>
      </c>
      <c r="E337" s="161">
        <v>15000</v>
      </c>
      <c r="F337" s="165" t="s">
        <v>130</v>
      </c>
      <c r="G337" s="109" t="s">
        <v>130</v>
      </c>
      <c r="H337" s="109" t="s">
        <v>1930</v>
      </c>
      <c r="I337" s="109" t="s">
        <v>2042</v>
      </c>
      <c r="J337" s="109" t="s">
        <v>629</v>
      </c>
      <c r="K337" s="109" t="s">
        <v>627</v>
      </c>
      <c r="L337" s="109" t="s">
        <v>1980</v>
      </c>
      <c r="M337" s="166" t="s">
        <v>711</v>
      </c>
      <c r="N337" s="108" t="s">
        <v>48</v>
      </c>
      <c r="O337" s="109" t="s">
        <v>48</v>
      </c>
      <c r="P337" s="162" t="s">
        <v>95</v>
      </c>
      <c r="Q337" s="109" t="s">
        <v>125</v>
      </c>
      <c r="R337" s="109" t="s">
        <v>126</v>
      </c>
      <c r="S337" s="109" t="s">
        <v>48</v>
      </c>
      <c r="T337" s="109" t="s">
        <v>580</v>
      </c>
      <c r="U337" s="109">
        <v>5442528</v>
      </c>
      <c r="V337" s="166" t="s">
        <v>485</v>
      </c>
      <c r="W337" s="165" t="s">
        <v>124</v>
      </c>
      <c r="X337" s="109" t="s">
        <v>124</v>
      </c>
      <c r="Y337" s="109" t="s">
        <v>48</v>
      </c>
      <c r="Z337" s="109" t="s">
        <v>48</v>
      </c>
      <c r="AA337" s="109" t="s">
        <v>48</v>
      </c>
      <c r="AB337" s="109" t="s">
        <v>48</v>
      </c>
      <c r="AC337" s="109" t="s">
        <v>48</v>
      </c>
      <c r="AD337" s="166" t="s">
        <v>48</v>
      </c>
      <c r="AE337" s="165" t="s">
        <v>48</v>
      </c>
      <c r="AF337" s="109" t="s">
        <v>48</v>
      </c>
      <c r="AG337" s="109" t="s">
        <v>48</v>
      </c>
      <c r="AH337" s="109" t="s">
        <v>48</v>
      </c>
      <c r="AI337" s="109" t="s">
        <v>48</v>
      </c>
      <c r="AJ337" s="109" t="s">
        <v>48</v>
      </c>
      <c r="AK337" s="166" t="s">
        <v>48</v>
      </c>
      <c r="AL337" s="165" t="s">
        <v>124</v>
      </c>
      <c r="AM337" s="109" t="s">
        <v>124</v>
      </c>
      <c r="AN337" s="109" t="s">
        <v>48</v>
      </c>
      <c r="AO337" s="109" t="s">
        <v>48</v>
      </c>
      <c r="AP337" s="109" t="s">
        <v>48</v>
      </c>
      <c r="AQ337" s="109" t="s">
        <v>48</v>
      </c>
      <c r="AR337" s="109" t="s">
        <v>48</v>
      </c>
      <c r="AS337" s="166" t="s">
        <v>48</v>
      </c>
      <c r="AT337" s="165" t="s">
        <v>48</v>
      </c>
      <c r="AU337" s="109" t="s">
        <v>48</v>
      </c>
      <c r="AV337" s="109" t="s">
        <v>48</v>
      </c>
      <c r="AW337" s="109" t="s">
        <v>48</v>
      </c>
      <c r="AX337" s="109" t="s">
        <v>48</v>
      </c>
      <c r="AY337" s="109" t="s">
        <v>48</v>
      </c>
      <c r="AZ337" s="166" t="s">
        <v>48</v>
      </c>
      <c r="BA337" s="162" t="s">
        <v>276</v>
      </c>
      <c r="BB337" s="109" t="s">
        <v>49</v>
      </c>
      <c r="BC337" s="79"/>
    </row>
    <row r="338" spans="1:55" ht="75" hidden="1" customHeight="1">
      <c r="A338" s="109" t="s">
        <v>2338</v>
      </c>
      <c r="B338" s="109" t="s">
        <v>2012</v>
      </c>
      <c r="C338" s="109" t="s">
        <v>123</v>
      </c>
      <c r="D338" s="109" t="s">
        <v>124</v>
      </c>
      <c r="E338" s="161">
        <v>15000</v>
      </c>
      <c r="F338" s="165" t="s">
        <v>130</v>
      </c>
      <c r="G338" s="109" t="s">
        <v>130</v>
      </c>
      <c r="H338" s="109" t="s">
        <v>1931</v>
      </c>
      <c r="I338" s="109" t="s">
        <v>2062</v>
      </c>
      <c r="J338" s="109" t="s">
        <v>629</v>
      </c>
      <c r="K338" s="109" t="s">
        <v>627</v>
      </c>
      <c r="L338" s="109" t="s">
        <v>1981</v>
      </c>
      <c r="M338" s="166" t="s">
        <v>711</v>
      </c>
      <c r="N338" s="108" t="s">
        <v>48</v>
      </c>
      <c r="O338" s="109" t="s">
        <v>48</v>
      </c>
      <c r="P338" s="162" t="s">
        <v>95</v>
      </c>
      <c r="Q338" s="109" t="s">
        <v>125</v>
      </c>
      <c r="R338" s="109" t="s">
        <v>126</v>
      </c>
      <c r="S338" s="109" t="s">
        <v>48</v>
      </c>
      <c r="T338" s="109" t="s">
        <v>580</v>
      </c>
      <c r="U338" s="109">
        <v>5442528</v>
      </c>
      <c r="V338" s="166" t="s">
        <v>485</v>
      </c>
      <c r="W338" s="165" t="s">
        <v>124</v>
      </c>
      <c r="X338" s="109" t="s">
        <v>124</v>
      </c>
      <c r="Y338" s="109" t="s">
        <v>48</v>
      </c>
      <c r="Z338" s="109" t="s">
        <v>48</v>
      </c>
      <c r="AA338" s="109" t="s">
        <v>48</v>
      </c>
      <c r="AB338" s="109" t="s">
        <v>48</v>
      </c>
      <c r="AC338" s="109" t="s">
        <v>48</v>
      </c>
      <c r="AD338" s="166" t="s">
        <v>48</v>
      </c>
      <c r="AE338" s="165" t="s">
        <v>48</v>
      </c>
      <c r="AF338" s="109" t="s">
        <v>48</v>
      </c>
      <c r="AG338" s="109" t="s">
        <v>48</v>
      </c>
      <c r="AH338" s="109" t="s">
        <v>48</v>
      </c>
      <c r="AI338" s="109" t="s">
        <v>48</v>
      </c>
      <c r="AJ338" s="109" t="s">
        <v>48</v>
      </c>
      <c r="AK338" s="166" t="s">
        <v>48</v>
      </c>
      <c r="AL338" s="165" t="s">
        <v>124</v>
      </c>
      <c r="AM338" s="109" t="s">
        <v>124</v>
      </c>
      <c r="AN338" s="109" t="s">
        <v>48</v>
      </c>
      <c r="AO338" s="109" t="s">
        <v>48</v>
      </c>
      <c r="AP338" s="109" t="s">
        <v>48</v>
      </c>
      <c r="AQ338" s="109" t="s">
        <v>48</v>
      </c>
      <c r="AR338" s="109" t="s">
        <v>48</v>
      </c>
      <c r="AS338" s="166" t="s">
        <v>48</v>
      </c>
      <c r="AT338" s="165" t="s">
        <v>48</v>
      </c>
      <c r="AU338" s="109" t="s">
        <v>48</v>
      </c>
      <c r="AV338" s="109" t="s">
        <v>48</v>
      </c>
      <c r="AW338" s="109" t="s">
        <v>48</v>
      </c>
      <c r="AX338" s="109" t="s">
        <v>48</v>
      </c>
      <c r="AY338" s="109" t="s">
        <v>48</v>
      </c>
      <c r="AZ338" s="166" t="s">
        <v>48</v>
      </c>
      <c r="BA338" s="162" t="s">
        <v>276</v>
      </c>
      <c r="BB338" s="109" t="s">
        <v>49</v>
      </c>
      <c r="BC338" s="79"/>
    </row>
    <row r="339" spans="1:55" ht="75" hidden="1" customHeight="1">
      <c r="A339" s="109" t="s">
        <v>2336</v>
      </c>
      <c r="B339" s="109" t="s">
        <v>2010</v>
      </c>
      <c r="C339" s="109" t="s">
        <v>123</v>
      </c>
      <c r="D339" s="109" t="s">
        <v>127</v>
      </c>
      <c r="E339" s="161">
        <v>15000</v>
      </c>
      <c r="F339" s="165" t="s">
        <v>130</v>
      </c>
      <c r="G339" s="109" t="s">
        <v>127</v>
      </c>
      <c r="H339" s="109" t="s">
        <v>1929</v>
      </c>
      <c r="I339" s="109" t="s">
        <v>2061</v>
      </c>
      <c r="J339" s="109" t="s">
        <v>629</v>
      </c>
      <c r="K339" s="109" t="s">
        <v>627</v>
      </c>
      <c r="L339" s="109" t="s">
        <v>1979</v>
      </c>
      <c r="M339" s="166" t="s">
        <v>711</v>
      </c>
      <c r="N339" s="108" t="s">
        <v>48</v>
      </c>
      <c r="O339" s="109" t="s">
        <v>48</v>
      </c>
      <c r="P339" s="162" t="s">
        <v>105</v>
      </c>
      <c r="Q339" s="109" t="s">
        <v>128</v>
      </c>
      <c r="R339" s="109" t="s">
        <v>126</v>
      </c>
      <c r="S339" s="109" t="s">
        <v>48</v>
      </c>
      <c r="T339" s="109" t="s">
        <v>580</v>
      </c>
      <c r="U339" s="109">
        <v>5442528</v>
      </c>
      <c r="V339" s="166" t="s">
        <v>485</v>
      </c>
      <c r="W339" s="165" t="s">
        <v>127</v>
      </c>
      <c r="X339" s="109" t="s">
        <v>127</v>
      </c>
      <c r="Y339" s="109" t="s">
        <v>48</v>
      </c>
      <c r="Z339" s="109" t="s">
        <v>48</v>
      </c>
      <c r="AA339" s="109" t="s">
        <v>48</v>
      </c>
      <c r="AB339" s="109" t="s">
        <v>48</v>
      </c>
      <c r="AC339" s="109" t="s">
        <v>48</v>
      </c>
      <c r="AD339" s="166" t="s">
        <v>48</v>
      </c>
      <c r="AE339" s="165" t="s">
        <v>48</v>
      </c>
      <c r="AF339" s="109" t="s">
        <v>48</v>
      </c>
      <c r="AG339" s="109" t="s">
        <v>48</v>
      </c>
      <c r="AH339" s="109" t="s">
        <v>48</v>
      </c>
      <c r="AI339" s="109" t="s">
        <v>48</v>
      </c>
      <c r="AJ339" s="109" t="s">
        <v>48</v>
      </c>
      <c r="AK339" s="166" t="s">
        <v>48</v>
      </c>
      <c r="AL339" s="165" t="s">
        <v>127</v>
      </c>
      <c r="AM339" s="109" t="s">
        <v>127</v>
      </c>
      <c r="AN339" s="109" t="s">
        <v>48</v>
      </c>
      <c r="AO339" s="109" t="s">
        <v>48</v>
      </c>
      <c r="AP339" s="109" t="s">
        <v>48</v>
      </c>
      <c r="AQ339" s="109" t="s">
        <v>48</v>
      </c>
      <c r="AR339" s="109" t="s">
        <v>48</v>
      </c>
      <c r="AS339" s="166" t="s">
        <v>48</v>
      </c>
      <c r="AT339" s="165" t="s">
        <v>48</v>
      </c>
      <c r="AU339" s="109" t="s">
        <v>48</v>
      </c>
      <c r="AV339" s="109" t="s">
        <v>48</v>
      </c>
      <c r="AW339" s="109" t="s">
        <v>48</v>
      </c>
      <c r="AX339" s="109" t="s">
        <v>48</v>
      </c>
      <c r="AY339" s="109" t="s">
        <v>48</v>
      </c>
      <c r="AZ339" s="166" t="s">
        <v>48</v>
      </c>
      <c r="BA339" s="162" t="s">
        <v>290</v>
      </c>
      <c r="BB339" s="109" t="s">
        <v>49</v>
      </c>
      <c r="BC339" s="79"/>
    </row>
    <row r="340" spans="1:55" ht="75" hidden="1" customHeight="1">
      <c r="A340" s="109" t="s">
        <v>2336</v>
      </c>
      <c r="B340" s="109" t="s">
        <v>2010</v>
      </c>
      <c r="C340" s="109" t="s">
        <v>123</v>
      </c>
      <c r="D340" s="109" t="s">
        <v>127</v>
      </c>
      <c r="E340" s="161">
        <v>15000</v>
      </c>
      <c r="F340" s="165" t="s">
        <v>127</v>
      </c>
      <c r="G340" s="109" t="s">
        <v>127</v>
      </c>
      <c r="H340" s="109" t="s">
        <v>2040</v>
      </c>
      <c r="I340" s="109" t="s">
        <v>1908</v>
      </c>
      <c r="J340" s="109" t="s">
        <v>629</v>
      </c>
      <c r="K340" s="109" t="s">
        <v>627</v>
      </c>
      <c r="L340" s="109" t="s">
        <v>2041</v>
      </c>
      <c r="M340" s="166" t="s">
        <v>711</v>
      </c>
      <c r="N340" s="108" t="s">
        <v>48</v>
      </c>
      <c r="O340" s="109" t="s">
        <v>48</v>
      </c>
      <c r="P340" s="162" t="s">
        <v>48</v>
      </c>
      <c r="Q340" s="109" t="s">
        <v>48</v>
      </c>
      <c r="R340" s="109" t="s">
        <v>48</v>
      </c>
      <c r="S340" s="109" t="s">
        <v>48</v>
      </c>
      <c r="T340" s="109" t="s">
        <v>48</v>
      </c>
      <c r="U340" s="109" t="s">
        <v>48</v>
      </c>
      <c r="V340" s="166" t="s">
        <v>48</v>
      </c>
      <c r="W340" s="165" t="s">
        <v>127</v>
      </c>
      <c r="X340" s="109" t="s">
        <v>127</v>
      </c>
      <c r="Y340" s="109" t="s">
        <v>48</v>
      </c>
      <c r="Z340" s="109" t="s">
        <v>48</v>
      </c>
      <c r="AA340" s="109" t="s">
        <v>48</v>
      </c>
      <c r="AB340" s="109" t="s">
        <v>48</v>
      </c>
      <c r="AC340" s="109" t="s">
        <v>48</v>
      </c>
      <c r="AD340" s="166" t="s">
        <v>48</v>
      </c>
      <c r="AE340" s="165" t="s">
        <v>48</v>
      </c>
      <c r="AF340" s="109" t="s">
        <v>48</v>
      </c>
      <c r="AG340" s="109" t="s">
        <v>48</v>
      </c>
      <c r="AH340" s="109" t="s">
        <v>48</v>
      </c>
      <c r="AI340" s="109" t="s">
        <v>48</v>
      </c>
      <c r="AJ340" s="109" t="s">
        <v>48</v>
      </c>
      <c r="AK340" s="166" t="s">
        <v>48</v>
      </c>
      <c r="AL340" s="165" t="s">
        <v>127</v>
      </c>
      <c r="AM340" s="109" t="s">
        <v>127</v>
      </c>
      <c r="AN340" s="109" t="s">
        <v>48</v>
      </c>
      <c r="AO340" s="109" t="s">
        <v>48</v>
      </c>
      <c r="AP340" s="109" t="s">
        <v>48</v>
      </c>
      <c r="AQ340" s="109" t="s">
        <v>48</v>
      </c>
      <c r="AR340" s="109" t="s">
        <v>48</v>
      </c>
      <c r="AS340" s="166" t="s">
        <v>48</v>
      </c>
      <c r="AT340" s="165" t="s">
        <v>48</v>
      </c>
      <c r="AU340" s="109" t="s">
        <v>48</v>
      </c>
      <c r="AV340" s="109" t="s">
        <v>48</v>
      </c>
      <c r="AW340" s="109" t="s">
        <v>48</v>
      </c>
      <c r="AX340" s="109" t="s">
        <v>48</v>
      </c>
      <c r="AY340" s="109" t="s">
        <v>48</v>
      </c>
      <c r="AZ340" s="166" t="s">
        <v>48</v>
      </c>
      <c r="BA340" s="162" t="s">
        <v>290</v>
      </c>
      <c r="BB340" s="109" t="s">
        <v>49</v>
      </c>
      <c r="BC340" s="79"/>
    </row>
    <row r="341" spans="1:55" ht="75" hidden="1" customHeight="1">
      <c r="A341" s="109" t="s">
        <v>2336</v>
      </c>
      <c r="B341" s="109" t="s">
        <v>2010</v>
      </c>
      <c r="C341" s="109" t="s">
        <v>123</v>
      </c>
      <c r="D341" s="109" t="s">
        <v>127</v>
      </c>
      <c r="E341" s="161">
        <v>15000</v>
      </c>
      <c r="F341" s="165" t="s">
        <v>130</v>
      </c>
      <c r="G341" s="109" t="s">
        <v>127</v>
      </c>
      <c r="H341" s="109" t="s">
        <v>1930</v>
      </c>
      <c r="I341" s="109" t="s">
        <v>2042</v>
      </c>
      <c r="J341" s="109" t="s">
        <v>629</v>
      </c>
      <c r="K341" s="109" t="s">
        <v>627</v>
      </c>
      <c r="L341" s="109" t="s">
        <v>1980</v>
      </c>
      <c r="M341" s="166" t="s">
        <v>711</v>
      </c>
      <c r="N341" s="108" t="s">
        <v>48</v>
      </c>
      <c r="O341" s="109" t="s">
        <v>48</v>
      </c>
      <c r="P341" s="162" t="s">
        <v>105</v>
      </c>
      <c r="Q341" s="109" t="s">
        <v>128</v>
      </c>
      <c r="R341" s="109" t="s">
        <v>126</v>
      </c>
      <c r="S341" s="109" t="s">
        <v>48</v>
      </c>
      <c r="T341" s="109" t="s">
        <v>580</v>
      </c>
      <c r="U341" s="109">
        <v>5442528</v>
      </c>
      <c r="V341" s="166" t="s">
        <v>485</v>
      </c>
      <c r="W341" s="165" t="s">
        <v>127</v>
      </c>
      <c r="X341" s="109" t="s">
        <v>127</v>
      </c>
      <c r="Y341" s="109" t="s">
        <v>48</v>
      </c>
      <c r="Z341" s="109" t="s">
        <v>48</v>
      </c>
      <c r="AA341" s="109" t="s">
        <v>48</v>
      </c>
      <c r="AB341" s="109" t="s">
        <v>48</v>
      </c>
      <c r="AC341" s="109" t="s">
        <v>48</v>
      </c>
      <c r="AD341" s="166" t="s">
        <v>48</v>
      </c>
      <c r="AE341" s="165" t="s">
        <v>48</v>
      </c>
      <c r="AF341" s="109" t="s">
        <v>48</v>
      </c>
      <c r="AG341" s="109" t="s">
        <v>48</v>
      </c>
      <c r="AH341" s="109" t="s">
        <v>48</v>
      </c>
      <c r="AI341" s="109" t="s">
        <v>48</v>
      </c>
      <c r="AJ341" s="109" t="s">
        <v>48</v>
      </c>
      <c r="AK341" s="166" t="s">
        <v>48</v>
      </c>
      <c r="AL341" s="165" t="s">
        <v>127</v>
      </c>
      <c r="AM341" s="109" t="s">
        <v>127</v>
      </c>
      <c r="AN341" s="109" t="s">
        <v>48</v>
      </c>
      <c r="AO341" s="109" t="s">
        <v>48</v>
      </c>
      <c r="AP341" s="109" t="s">
        <v>48</v>
      </c>
      <c r="AQ341" s="109" t="s">
        <v>48</v>
      </c>
      <c r="AR341" s="109" t="s">
        <v>48</v>
      </c>
      <c r="AS341" s="166" t="s">
        <v>48</v>
      </c>
      <c r="AT341" s="165" t="s">
        <v>48</v>
      </c>
      <c r="AU341" s="109" t="s">
        <v>48</v>
      </c>
      <c r="AV341" s="109" t="s">
        <v>48</v>
      </c>
      <c r="AW341" s="109" t="s">
        <v>48</v>
      </c>
      <c r="AX341" s="109" t="s">
        <v>48</v>
      </c>
      <c r="AY341" s="109" t="s">
        <v>48</v>
      </c>
      <c r="AZ341" s="166" t="s">
        <v>48</v>
      </c>
      <c r="BA341" s="162" t="s">
        <v>290</v>
      </c>
      <c r="BB341" s="109" t="s">
        <v>49</v>
      </c>
      <c r="BC341" s="79"/>
    </row>
    <row r="342" spans="1:55" ht="75" hidden="1" customHeight="1">
      <c r="A342" s="109" t="s">
        <v>2336</v>
      </c>
      <c r="B342" s="109" t="s">
        <v>2010</v>
      </c>
      <c r="C342" s="109" t="s">
        <v>123</v>
      </c>
      <c r="D342" s="109" t="s">
        <v>127</v>
      </c>
      <c r="E342" s="161">
        <v>15000</v>
      </c>
      <c r="F342" s="165" t="s">
        <v>130</v>
      </c>
      <c r="G342" s="109" t="s">
        <v>127</v>
      </c>
      <c r="H342" s="109" t="s">
        <v>1931</v>
      </c>
      <c r="I342" s="109" t="s">
        <v>2062</v>
      </c>
      <c r="J342" s="109" t="s">
        <v>629</v>
      </c>
      <c r="K342" s="109" t="s">
        <v>627</v>
      </c>
      <c r="L342" s="109" t="s">
        <v>1981</v>
      </c>
      <c r="M342" s="166" t="s">
        <v>711</v>
      </c>
      <c r="N342" s="108" t="s">
        <v>48</v>
      </c>
      <c r="O342" s="109" t="s">
        <v>48</v>
      </c>
      <c r="P342" s="162" t="s">
        <v>105</v>
      </c>
      <c r="Q342" s="109" t="s">
        <v>128</v>
      </c>
      <c r="R342" s="109" t="s">
        <v>126</v>
      </c>
      <c r="S342" s="109" t="s">
        <v>48</v>
      </c>
      <c r="T342" s="109" t="s">
        <v>580</v>
      </c>
      <c r="U342" s="109">
        <v>5442528</v>
      </c>
      <c r="V342" s="166" t="s">
        <v>485</v>
      </c>
      <c r="W342" s="165" t="s">
        <v>127</v>
      </c>
      <c r="X342" s="109" t="s">
        <v>127</v>
      </c>
      <c r="Y342" s="109" t="s">
        <v>48</v>
      </c>
      <c r="Z342" s="109" t="s">
        <v>48</v>
      </c>
      <c r="AA342" s="109" t="s">
        <v>48</v>
      </c>
      <c r="AB342" s="109" t="s">
        <v>48</v>
      </c>
      <c r="AC342" s="109" t="s">
        <v>48</v>
      </c>
      <c r="AD342" s="166" t="s">
        <v>48</v>
      </c>
      <c r="AE342" s="165" t="s">
        <v>48</v>
      </c>
      <c r="AF342" s="109" t="s">
        <v>48</v>
      </c>
      <c r="AG342" s="109" t="s">
        <v>48</v>
      </c>
      <c r="AH342" s="109" t="s">
        <v>48</v>
      </c>
      <c r="AI342" s="109" t="s">
        <v>48</v>
      </c>
      <c r="AJ342" s="109" t="s">
        <v>48</v>
      </c>
      <c r="AK342" s="166" t="s">
        <v>48</v>
      </c>
      <c r="AL342" s="165" t="s">
        <v>127</v>
      </c>
      <c r="AM342" s="109" t="s">
        <v>127</v>
      </c>
      <c r="AN342" s="109" t="s">
        <v>48</v>
      </c>
      <c r="AO342" s="109" t="s">
        <v>48</v>
      </c>
      <c r="AP342" s="109" t="s">
        <v>48</v>
      </c>
      <c r="AQ342" s="109" t="s">
        <v>48</v>
      </c>
      <c r="AR342" s="109" t="s">
        <v>48</v>
      </c>
      <c r="AS342" s="166" t="s">
        <v>48</v>
      </c>
      <c r="AT342" s="165" t="s">
        <v>48</v>
      </c>
      <c r="AU342" s="109" t="s">
        <v>48</v>
      </c>
      <c r="AV342" s="109" t="s">
        <v>48</v>
      </c>
      <c r="AW342" s="109" t="s">
        <v>48</v>
      </c>
      <c r="AX342" s="109" t="s">
        <v>48</v>
      </c>
      <c r="AY342" s="109" t="s">
        <v>48</v>
      </c>
      <c r="AZ342" s="166" t="s">
        <v>48</v>
      </c>
      <c r="BA342" s="162" t="s">
        <v>290</v>
      </c>
      <c r="BB342" s="109" t="s">
        <v>49</v>
      </c>
      <c r="BC342" s="79"/>
    </row>
    <row r="343" spans="1:55" ht="75" hidden="1" customHeight="1">
      <c r="A343" s="109" t="s">
        <v>2336</v>
      </c>
      <c r="B343" s="109" t="s">
        <v>2709</v>
      </c>
      <c r="C343" s="117" t="s">
        <v>123</v>
      </c>
      <c r="D343" s="109" t="s">
        <v>127</v>
      </c>
      <c r="E343" s="161">
        <v>30000</v>
      </c>
      <c r="F343" s="165" t="s">
        <v>130</v>
      </c>
      <c r="G343" s="109" t="s">
        <v>130</v>
      </c>
      <c r="H343" s="109" t="s">
        <v>131</v>
      </c>
      <c r="I343" s="109" t="s">
        <v>1908</v>
      </c>
      <c r="J343" s="109" t="s">
        <v>628</v>
      </c>
      <c r="K343" s="109" t="s">
        <v>628</v>
      </c>
      <c r="L343" s="109">
        <v>5761714</v>
      </c>
      <c r="M343" s="166" t="s">
        <v>513</v>
      </c>
      <c r="N343" s="108" t="s">
        <v>48</v>
      </c>
      <c r="O343" s="109" t="s">
        <v>48</v>
      </c>
      <c r="P343" s="187" t="s">
        <v>105</v>
      </c>
      <c r="Q343" s="117" t="s">
        <v>128</v>
      </c>
      <c r="R343" s="109" t="s">
        <v>126</v>
      </c>
      <c r="S343" s="109" t="s">
        <v>48</v>
      </c>
      <c r="T343" s="109" t="s">
        <v>580</v>
      </c>
      <c r="U343" s="109">
        <v>5442528</v>
      </c>
      <c r="V343" s="166" t="s">
        <v>485</v>
      </c>
      <c r="W343" s="165" t="s">
        <v>127</v>
      </c>
      <c r="X343" s="109" t="s">
        <v>127</v>
      </c>
      <c r="Y343" s="109" t="s">
        <v>48</v>
      </c>
      <c r="Z343" s="109" t="s">
        <v>48</v>
      </c>
      <c r="AA343" s="109" t="s">
        <v>48</v>
      </c>
      <c r="AB343" s="109" t="s">
        <v>48</v>
      </c>
      <c r="AC343" s="109" t="s">
        <v>48</v>
      </c>
      <c r="AD343" s="166" t="s">
        <v>48</v>
      </c>
      <c r="AE343" s="174" t="s">
        <v>48</v>
      </c>
      <c r="AF343" s="117" t="s">
        <v>48</v>
      </c>
      <c r="AG343" s="117" t="s">
        <v>48</v>
      </c>
      <c r="AH343" s="109" t="s">
        <v>48</v>
      </c>
      <c r="AI343" s="109" t="s">
        <v>48</v>
      </c>
      <c r="AJ343" s="117" t="s">
        <v>48</v>
      </c>
      <c r="AK343" s="182" t="s">
        <v>48</v>
      </c>
      <c r="AL343" s="165" t="s">
        <v>127</v>
      </c>
      <c r="AM343" s="109" t="s">
        <v>127</v>
      </c>
      <c r="AN343" s="109" t="s">
        <v>48</v>
      </c>
      <c r="AO343" s="109" t="s">
        <v>48</v>
      </c>
      <c r="AP343" s="109" t="s">
        <v>48</v>
      </c>
      <c r="AQ343" s="109" t="s">
        <v>48</v>
      </c>
      <c r="AR343" s="109" t="s">
        <v>48</v>
      </c>
      <c r="AS343" s="166" t="s">
        <v>48</v>
      </c>
      <c r="AT343" s="174" t="s">
        <v>48</v>
      </c>
      <c r="AU343" s="117" t="s">
        <v>48</v>
      </c>
      <c r="AV343" s="117" t="s">
        <v>48</v>
      </c>
      <c r="AW343" s="109" t="s">
        <v>48</v>
      </c>
      <c r="AX343" s="109" t="s">
        <v>48</v>
      </c>
      <c r="AY343" s="117" t="s">
        <v>48</v>
      </c>
      <c r="AZ343" s="166" t="s">
        <v>48</v>
      </c>
      <c r="BA343" s="162" t="s">
        <v>290</v>
      </c>
      <c r="BB343" s="109" t="s">
        <v>49</v>
      </c>
      <c r="BC343" s="79"/>
    </row>
    <row r="344" spans="1:55" ht="75" hidden="1" customHeight="1">
      <c r="A344" s="109" t="s">
        <v>2337</v>
      </c>
      <c r="B344" s="109" t="s">
        <v>2011</v>
      </c>
      <c r="C344" s="109" t="s">
        <v>123</v>
      </c>
      <c r="D344" s="109" t="s">
        <v>127</v>
      </c>
      <c r="E344" s="161">
        <v>15000</v>
      </c>
      <c r="F344" s="165" t="s">
        <v>130</v>
      </c>
      <c r="G344" s="109" t="s">
        <v>127</v>
      </c>
      <c r="H344" s="109" t="s">
        <v>1929</v>
      </c>
      <c r="I344" s="109" t="s">
        <v>2061</v>
      </c>
      <c r="J344" s="109" t="s">
        <v>629</v>
      </c>
      <c r="K344" s="109" t="s">
        <v>627</v>
      </c>
      <c r="L344" s="109" t="s">
        <v>1979</v>
      </c>
      <c r="M344" s="166" t="s">
        <v>711</v>
      </c>
      <c r="N344" s="108" t="s">
        <v>48</v>
      </c>
      <c r="O344" s="109" t="s">
        <v>48</v>
      </c>
      <c r="P344" s="162" t="s">
        <v>105</v>
      </c>
      <c r="Q344" s="109" t="s">
        <v>128</v>
      </c>
      <c r="R344" s="109" t="s">
        <v>126</v>
      </c>
      <c r="S344" s="109" t="s">
        <v>48</v>
      </c>
      <c r="T344" s="109" t="s">
        <v>580</v>
      </c>
      <c r="U344" s="109">
        <v>5442528</v>
      </c>
      <c r="V344" s="166" t="s">
        <v>485</v>
      </c>
      <c r="W344" s="165" t="s">
        <v>127</v>
      </c>
      <c r="X344" s="109" t="s">
        <v>127</v>
      </c>
      <c r="Y344" s="109" t="s">
        <v>48</v>
      </c>
      <c r="Z344" s="109" t="s">
        <v>48</v>
      </c>
      <c r="AA344" s="109" t="s">
        <v>48</v>
      </c>
      <c r="AB344" s="109" t="s">
        <v>48</v>
      </c>
      <c r="AC344" s="109" t="s">
        <v>48</v>
      </c>
      <c r="AD344" s="166" t="s">
        <v>48</v>
      </c>
      <c r="AE344" s="165" t="s">
        <v>48</v>
      </c>
      <c r="AF344" s="109" t="s">
        <v>48</v>
      </c>
      <c r="AG344" s="109" t="s">
        <v>48</v>
      </c>
      <c r="AH344" s="109" t="s">
        <v>48</v>
      </c>
      <c r="AI344" s="109" t="s">
        <v>48</v>
      </c>
      <c r="AJ344" s="109" t="s">
        <v>48</v>
      </c>
      <c r="AK344" s="166" t="s">
        <v>48</v>
      </c>
      <c r="AL344" s="165" t="s">
        <v>127</v>
      </c>
      <c r="AM344" s="109" t="s">
        <v>127</v>
      </c>
      <c r="AN344" s="109" t="s">
        <v>48</v>
      </c>
      <c r="AO344" s="109" t="s">
        <v>48</v>
      </c>
      <c r="AP344" s="109" t="s">
        <v>48</v>
      </c>
      <c r="AQ344" s="109" t="s">
        <v>48</v>
      </c>
      <c r="AR344" s="109" t="s">
        <v>48</v>
      </c>
      <c r="AS344" s="166" t="s">
        <v>48</v>
      </c>
      <c r="AT344" s="165" t="s">
        <v>48</v>
      </c>
      <c r="AU344" s="109" t="s">
        <v>48</v>
      </c>
      <c r="AV344" s="109" t="s">
        <v>48</v>
      </c>
      <c r="AW344" s="109" t="s">
        <v>48</v>
      </c>
      <c r="AX344" s="109" t="s">
        <v>48</v>
      </c>
      <c r="AY344" s="109" t="s">
        <v>48</v>
      </c>
      <c r="AZ344" s="166" t="s">
        <v>48</v>
      </c>
      <c r="BA344" s="162" t="s">
        <v>290</v>
      </c>
      <c r="BB344" s="109" t="s">
        <v>49</v>
      </c>
      <c r="BC344" s="79"/>
    </row>
    <row r="345" spans="1:55" ht="75" hidden="1" customHeight="1">
      <c r="A345" s="109" t="s">
        <v>2337</v>
      </c>
      <c r="B345" s="109" t="s">
        <v>2011</v>
      </c>
      <c r="C345" s="109" t="s">
        <v>123</v>
      </c>
      <c r="D345" s="109" t="s">
        <v>127</v>
      </c>
      <c r="E345" s="161">
        <v>15000</v>
      </c>
      <c r="F345" s="165" t="s">
        <v>127</v>
      </c>
      <c r="G345" s="109" t="s">
        <v>127</v>
      </c>
      <c r="H345" s="109" t="s">
        <v>2040</v>
      </c>
      <c r="I345" s="109" t="s">
        <v>1908</v>
      </c>
      <c r="J345" s="109" t="s">
        <v>629</v>
      </c>
      <c r="K345" s="109" t="s">
        <v>627</v>
      </c>
      <c r="L345" s="109" t="s">
        <v>2041</v>
      </c>
      <c r="M345" s="166" t="s">
        <v>711</v>
      </c>
      <c r="N345" s="108" t="s">
        <v>48</v>
      </c>
      <c r="O345" s="109" t="s">
        <v>48</v>
      </c>
      <c r="P345" s="162" t="s">
        <v>48</v>
      </c>
      <c r="Q345" s="109" t="s">
        <v>48</v>
      </c>
      <c r="R345" s="109" t="s">
        <v>48</v>
      </c>
      <c r="S345" s="109" t="s">
        <v>48</v>
      </c>
      <c r="T345" s="109" t="s">
        <v>48</v>
      </c>
      <c r="U345" s="109" t="s">
        <v>48</v>
      </c>
      <c r="V345" s="166" t="s">
        <v>48</v>
      </c>
      <c r="W345" s="165" t="s">
        <v>127</v>
      </c>
      <c r="X345" s="109" t="s">
        <v>127</v>
      </c>
      <c r="Y345" s="109" t="s">
        <v>48</v>
      </c>
      <c r="Z345" s="109" t="s">
        <v>48</v>
      </c>
      <c r="AA345" s="109" t="s">
        <v>48</v>
      </c>
      <c r="AB345" s="109" t="s">
        <v>48</v>
      </c>
      <c r="AC345" s="109" t="s">
        <v>48</v>
      </c>
      <c r="AD345" s="166" t="s">
        <v>48</v>
      </c>
      <c r="AE345" s="165" t="s">
        <v>48</v>
      </c>
      <c r="AF345" s="109" t="s">
        <v>48</v>
      </c>
      <c r="AG345" s="109" t="s">
        <v>48</v>
      </c>
      <c r="AH345" s="109" t="s">
        <v>48</v>
      </c>
      <c r="AI345" s="109" t="s">
        <v>48</v>
      </c>
      <c r="AJ345" s="109" t="s">
        <v>48</v>
      </c>
      <c r="AK345" s="166" t="s">
        <v>48</v>
      </c>
      <c r="AL345" s="109" t="s">
        <v>127</v>
      </c>
      <c r="AM345" s="109" t="s">
        <v>127</v>
      </c>
      <c r="AN345" s="109" t="s">
        <v>48</v>
      </c>
      <c r="AO345" s="109" t="s">
        <v>48</v>
      </c>
      <c r="AP345" s="109" t="s">
        <v>48</v>
      </c>
      <c r="AQ345" s="109" t="s">
        <v>48</v>
      </c>
      <c r="AR345" s="109" t="s">
        <v>48</v>
      </c>
      <c r="AS345" s="166" t="s">
        <v>48</v>
      </c>
      <c r="AT345" s="165" t="s">
        <v>48</v>
      </c>
      <c r="AU345" s="109" t="s">
        <v>48</v>
      </c>
      <c r="AV345" s="109" t="s">
        <v>48</v>
      </c>
      <c r="AW345" s="109" t="s">
        <v>48</v>
      </c>
      <c r="AX345" s="109" t="s">
        <v>48</v>
      </c>
      <c r="AY345" s="109" t="s">
        <v>48</v>
      </c>
      <c r="AZ345" s="166" t="s">
        <v>48</v>
      </c>
      <c r="BA345" s="162" t="s">
        <v>290</v>
      </c>
      <c r="BB345" s="109" t="s">
        <v>49</v>
      </c>
      <c r="BC345" s="79"/>
    </row>
    <row r="346" spans="1:55" ht="75" hidden="1" customHeight="1">
      <c r="A346" s="109" t="s">
        <v>2337</v>
      </c>
      <c r="B346" s="109" t="s">
        <v>2011</v>
      </c>
      <c r="C346" s="109" t="s">
        <v>123</v>
      </c>
      <c r="D346" s="109" t="s">
        <v>127</v>
      </c>
      <c r="E346" s="161">
        <v>15000</v>
      </c>
      <c r="F346" s="165" t="s">
        <v>130</v>
      </c>
      <c r="G346" s="109" t="s">
        <v>127</v>
      </c>
      <c r="H346" s="109" t="s">
        <v>1930</v>
      </c>
      <c r="I346" s="109" t="s">
        <v>2042</v>
      </c>
      <c r="J346" s="109" t="s">
        <v>629</v>
      </c>
      <c r="K346" s="109" t="s">
        <v>627</v>
      </c>
      <c r="L346" s="109" t="s">
        <v>1980</v>
      </c>
      <c r="M346" s="166" t="s">
        <v>711</v>
      </c>
      <c r="N346" s="108" t="s">
        <v>48</v>
      </c>
      <c r="O346" s="109" t="s">
        <v>48</v>
      </c>
      <c r="P346" s="162" t="s">
        <v>105</v>
      </c>
      <c r="Q346" s="109" t="s">
        <v>128</v>
      </c>
      <c r="R346" s="109" t="s">
        <v>126</v>
      </c>
      <c r="S346" s="109" t="s">
        <v>48</v>
      </c>
      <c r="T346" s="109" t="s">
        <v>580</v>
      </c>
      <c r="U346" s="109">
        <v>5442528</v>
      </c>
      <c r="V346" s="166" t="s">
        <v>485</v>
      </c>
      <c r="W346" s="165" t="s">
        <v>127</v>
      </c>
      <c r="X346" s="109" t="s">
        <v>127</v>
      </c>
      <c r="Y346" s="109" t="s">
        <v>48</v>
      </c>
      <c r="Z346" s="109" t="s">
        <v>48</v>
      </c>
      <c r="AA346" s="109" t="s">
        <v>48</v>
      </c>
      <c r="AB346" s="109" t="s">
        <v>48</v>
      </c>
      <c r="AC346" s="109" t="s">
        <v>48</v>
      </c>
      <c r="AD346" s="166" t="s">
        <v>48</v>
      </c>
      <c r="AE346" s="165" t="s">
        <v>48</v>
      </c>
      <c r="AF346" s="109" t="s">
        <v>48</v>
      </c>
      <c r="AG346" s="109" t="s">
        <v>48</v>
      </c>
      <c r="AH346" s="109" t="s">
        <v>48</v>
      </c>
      <c r="AI346" s="109" t="s">
        <v>48</v>
      </c>
      <c r="AJ346" s="109" t="s">
        <v>48</v>
      </c>
      <c r="AK346" s="166" t="s">
        <v>48</v>
      </c>
      <c r="AL346" s="109" t="s">
        <v>127</v>
      </c>
      <c r="AM346" s="109" t="s">
        <v>127</v>
      </c>
      <c r="AN346" s="109" t="s">
        <v>48</v>
      </c>
      <c r="AO346" s="109" t="s">
        <v>48</v>
      </c>
      <c r="AP346" s="109" t="s">
        <v>48</v>
      </c>
      <c r="AQ346" s="109" t="s">
        <v>48</v>
      </c>
      <c r="AR346" s="109" t="s">
        <v>48</v>
      </c>
      <c r="AS346" s="166" t="s">
        <v>48</v>
      </c>
      <c r="AT346" s="165" t="s">
        <v>48</v>
      </c>
      <c r="AU346" s="109" t="s">
        <v>48</v>
      </c>
      <c r="AV346" s="109" t="s">
        <v>48</v>
      </c>
      <c r="AW346" s="109" t="s">
        <v>48</v>
      </c>
      <c r="AX346" s="109" t="s">
        <v>48</v>
      </c>
      <c r="AY346" s="109" t="s">
        <v>48</v>
      </c>
      <c r="AZ346" s="166" t="s">
        <v>48</v>
      </c>
      <c r="BA346" s="162" t="s">
        <v>290</v>
      </c>
      <c r="BB346" s="109" t="s">
        <v>49</v>
      </c>
      <c r="BC346" s="79"/>
    </row>
    <row r="347" spans="1:55" ht="75" hidden="1" customHeight="1">
      <c r="A347" s="109" t="s">
        <v>2337</v>
      </c>
      <c r="B347" s="109" t="s">
        <v>2011</v>
      </c>
      <c r="C347" s="109" t="s">
        <v>123</v>
      </c>
      <c r="D347" s="109" t="s">
        <v>127</v>
      </c>
      <c r="E347" s="161">
        <v>15000</v>
      </c>
      <c r="F347" s="165" t="s">
        <v>130</v>
      </c>
      <c r="G347" s="109" t="s">
        <v>127</v>
      </c>
      <c r="H347" s="109" t="s">
        <v>1931</v>
      </c>
      <c r="I347" s="109" t="s">
        <v>2062</v>
      </c>
      <c r="J347" s="109" t="s">
        <v>629</v>
      </c>
      <c r="K347" s="109" t="s">
        <v>627</v>
      </c>
      <c r="L347" s="109" t="s">
        <v>1981</v>
      </c>
      <c r="M347" s="166" t="s">
        <v>711</v>
      </c>
      <c r="N347" s="108" t="s">
        <v>48</v>
      </c>
      <c r="O347" s="109" t="s">
        <v>48</v>
      </c>
      <c r="P347" s="162" t="s">
        <v>105</v>
      </c>
      <c r="Q347" s="109" t="s">
        <v>128</v>
      </c>
      <c r="R347" s="109" t="s">
        <v>126</v>
      </c>
      <c r="S347" s="109" t="s">
        <v>48</v>
      </c>
      <c r="T347" s="109" t="s">
        <v>580</v>
      </c>
      <c r="U347" s="109">
        <v>5442528</v>
      </c>
      <c r="V347" s="166" t="s">
        <v>485</v>
      </c>
      <c r="W347" s="165" t="s">
        <v>127</v>
      </c>
      <c r="X347" s="109" t="s">
        <v>127</v>
      </c>
      <c r="Y347" s="109" t="s">
        <v>48</v>
      </c>
      <c r="Z347" s="109" t="s">
        <v>48</v>
      </c>
      <c r="AA347" s="109" t="s">
        <v>48</v>
      </c>
      <c r="AB347" s="109" t="s">
        <v>48</v>
      </c>
      <c r="AC347" s="109" t="s">
        <v>48</v>
      </c>
      <c r="AD347" s="166" t="s">
        <v>48</v>
      </c>
      <c r="AE347" s="165" t="s">
        <v>48</v>
      </c>
      <c r="AF347" s="109" t="s">
        <v>48</v>
      </c>
      <c r="AG347" s="109" t="s">
        <v>48</v>
      </c>
      <c r="AH347" s="109" t="s">
        <v>48</v>
      </c>
      <c r="AI347" s="109" t="s">
        <v>48</v>
      </c>
      <c r="AJ347" s="109" t="s">
        <v>48</v>
      </c>
      <c r="AK347" s="166" t="s">
        <v>48</v>
      </c>
      <c r="AL347" s="109" t="s">
        <v>127</v>
      </c>
      <c r="AM347" s="109" t="s">
        <v>127</v>
      </c>
      <c r="AN347" s="109" t="s">
        <v>48</v>
      </c>
      <c r="AO347" s="109" t="s">
        <v>48</v>
      </c>
      <c r="AP347" s="109" t="s">
        <v>48</v>
      </c>
      <c r="AQ347" s="109" t="s">
        <v>48</v>
      </c>
      <c r="AR347" s="109" t="s">
        <v>48</v>
      </c>
      <c r="AS347" s="166" t="s">
        <v>48</v>
      </c>
      <c r="AT347" s="166" t="s">
        <v>48</v>
      </c>
      <c r="AU347" s="109" t="s">
        <v>48</v>
      </c>
      <c r="AV347" s="109" t="s">
        <v>48</v>
      </c>
      <c r="AW347" s="109" t="s">
        <v>48</v>
      </c>
      <c r="AX347" s="109" t="s">
        <v>48</v>
      </c>
      <c r="AY347" s="109" t="s">
        <v>48</v>
      </c>
      <c r="AZ347" s="166" t="s">
        <v>48</v>
      </c>
      <c r="BA347" s="162" t="s">
        <v>290</v>
      </c>
      <c r="BB347" s="109" t="s">
        <v>49</v>
      </c>
      <c r="BC347" s="79"/>
    </row>
    <row r="348" spans="1:55" ht="75" hidden="1" customHeight="1">
      <c r="A348" s="109" t="s">
        <v>2338</v>
      </c>
      <c r="B348" s="109" t="s">
        <v>2012</v>
      </c>
      <c r="C348" s="109" t="s">
        <v>123</v>
      </c>
      <c r="D348" s="109" t="s">
        <v>127</v>
      </c>
      <c r="E348" s="161">
        <v>15000</v>
      </c>
      <c r="F348" s="165" t="s">
        <v>130</v>
      </c>
      <c r="G348" s="109" t="s">
        <v>130</v>
      </c>
      <c r="H348" s="109" t="s">
        <v>1929</v>
      </c>
      <c r="I348" s="109" t="s">
        <v>2061</v>
      </c>
      <c r="J348" s="109" t="s">
        <v>629</v>
      </c>
      <c r="K348" s="109" t="s">
        <v>627</v>
      </c>
      <c r="L348" s="109" t="s">
        <v>1979</v>
      </c>
      <c r="M348" s="166" t="s">
        <v>711</v>
      </c>
      <c r="N348" s="108" t="s">
        <v>48</v>
      </c>
      <c r="O348" s="109" t="s">
        <v>48</v>
      </c>
      <c r="P348" s="162" t="s">
        <v>105</v>
      </c>
      <c r="Q348" s="109" t="s">
        <v>128</v>
      </c>
      <c r="R348" s="109" t="s">
        <v>126</v>
      </c>
      <c r="S348" s="109" t="s">
        <v>48</v>
      </c>
      <c r="T348" s="109" t="s">
        <v>580</v>
      </c>
      <c r="U348" s="109">
        <v>5442528</v>
      </c>
      <c r="V348" s="166" t="s">
        <v>485</v>
      </c>
      <c r="W348" s="165" t="s">
        <v>127</v>
      </c>
      <c r="X348" s="109" t="s">
        <v>127</v>
      </c>
      <c r="Y348" s="109" t="s">
        <v>48</v>
      </c>
      <c r="Z348" s="109" t="s">
        <v>48</v>
      </c>
      <c r="AA348" s="109" t="s">
        <v>48</v>
      </c>
      <c r="AB348" s="109" t="s">
        <v>48</v>
      </c>
      <c r="AC348" s="109" t="s">
        <v>48</v>
      </c>
      <c r="AD348" s="166" t="s">
        <v>48</v>
      </c>
      <c r="AE348" s="165" t="s">
        <v>48</v>
      </c>
      <c r="AF348" s="109" t="s">
        <v>48</v>
      </c>
      <c r="AG348" s="109" t="s">
        <v>48</v>
      </c>
      <c r="AH348" s="109" t="s">
        <v>48</v>
      </c>
      <c r="AI348" s="109" t="s">
        <v>48</v>
      </c>
      <c r="AJ348" s="109" t="s">
        <v>48</v>
      </c>
      <c r="AK348" s="166" t="s">
        <v>48</v>
      </c>
      <c r="AL348" s="109" t="s">
        <v>127</v>
      </c>
      <c r="AM348" s="109" t="s">
        <v>127</v>
      </c>
      <c r="AN348" s="109" t="s">
        <v>48</v>
      </c>
      <c r="AO348" s="109" t="s">
        <v>48</v>
      </c>
      <c r="AP348" s="109" t="s">
        <v>48</v>
      </c>
      <c r="AQ348" s="109" t="s">
        <v>48</v>
      </c>
      <c r="AR348" s="109" t="s">
        <v>48</v>
      </c>
      <c r="AS348" s="166" t="s">
        <v>48</v>
      </c>
      <c r="AT348" s="166" t="s">
        <v>48</v>
      </c>
      <c r="AU348" s="109" t="s">
        <v>48</v>
      </c>
      <c r="AV348" s="109" t="s">
        <v>48</v>
      </c>
      <c r="AW348" s="109" t="s">
        <v>48</v>
      </c>
      <c r="AX348" s="109" t="s">
        <v>48</v>
      </c>
      <c r="AY348" s="109" t="s">
        <v>48</v>
      </c>
      <c r="AZ348" s="166" t="s">
        <v>48</v>
      </c>
      <c r="BA348" s="162" t="s">
        <v>290</v>
      </c>
      <c r="BB348" s="109" t="s">
        <v>49</v>
      </c>
      <c r="BC348" s="79"/>
    </row>
    <row r="349" spans="1:55" ht="75" hidden="1" customHeight="1">
      <c r="A349" s="109" t="s">
        <v>2338</v>
      </c>
      <c r="B349" s="109" t="s">
        <v>2012</v>
      </c>
      <c r="C349" s="109" t="s">
        <v>123</v>
      </c>
      <c r="D349" s="109" t="s">
        <v>127</v>
      </c>
      <c r="E349" s="161">
        <v>15000</v>
      </c>
      <c r="F349" s="165" t="s">
        <v>127</v>
      </c>
      <c r="G349" s="109" t="s">
        <v>127</v>
      </c>
      <c r="H349" s="109" t="s">
        <v>2040</v>
      </c>
      <c r="I349" s="109" t="s">
        <v>1908</v>
      </c>
      <c r="J349" s="109" t="s">
        <v>629</v>
      </c>
      <c r="K349" s="109" t="s">
        <v>627</v>
      </c>
      <c r="L349" s="109" t="s">
        <v>2041</v>
      </c>
      <c r="M349" s="166" t="s">
        <v>711</v>
      </c>
      <c r="N349" s="108" t="s">
        <v>48</v>
      </c>
      <c r="O349" s="109" t="s">
        <v>48</v>
      </c>
      <c r="P349" s="162" t="s">
        <v>48</v>
      </c>
      <c r="Q349" s="109" t="s">
        <v>48</v>
      </c>
      <c r="R349" s="109" t="s">
        <v>48</v>
      </c>
      <c r="S349" s="109" t="s">
        <v>48</v>
      </c>
      <c r="T349" s="109" t="s">
        <v>48</v>
      </c>
      <c r="U349" s="109" t="s">
        <v>48</v>
      </c>
      <c r="V349" s="166" t="s">
        <v>48</v>
      </c>
      <c r="W349" s="165" t="s">
        <v>127</v>
      </c>
      <c r="X349" s="109" t="s">
        <v>127</v>
      </c>
      <c r="Y349" s="109" t="s">
        <v>48</v>
      </c>
      <c r="Z349" s="109" t="s">
        <v>48</v>
      </c>
      <c r="AA349" s="109" t="s">
        <v>48</v>
      </c>
      <c r="AB349" s="109" t="s">
        <v>48</v>
      </c>
      <c r="AC349" s="109" t="s">
        <v>48</v>
      </c>
      <c r="AD349" s="166" t="s">
        <v>48</v>
      </c>
      <c r="AE349" s="165" t="s">
        <v>48</v>
      </c>
      <c r="AF349" s="109" t="s">
        <v>48</v>
      </c>
      <c r="AG349" s="109" t="s">
        <v>48</v>
      </c>
      <c r="AH349" s="109" t="s">
        <v>48</v>
      </c>
      <c r="AI349" s="109" t="s">
        <v>48</v>
      </c>
      <c r="AJ349" s="109" t="s">
        <v>48</v>
      </c>
      <c r="AK349" s="166" t="s">
        <v>48</v>
      </c>
      <c r="AL349" s="165" t="s">
        <v>127</v>
      </c>
      <c r="AM349" s="109" t="s">
        <v>127</v>
      </c>
      <c r="AN349" s="109" t="s">
        <v>48</v>
      </c>
      <c r="AO349" s="109" t="s">
        <v>48</v>
      </c>
      <c r="AP349" s="109" t="s">
        <v>48</v>
      </c>
      <c r="AQ349" s="109" t="s">
        <v>48</v>
      </c>
      <c r="AR349" s="109" t="s">
        <v>48</v>
      </c>
      <c r="AS349" s="166" t="s">
        <v>48</v>
      </c>
      <c r="AT349" s="165" t="s">
        <v>48</v>
      </c>
      <c r="AU349" s="109" t="s">
        <v>48</v>
      </c>
      <c r="AV349" s="109" t="s">
        <v>48</v>
      </c>
      <c r="AW349" s="109" t="s">
        <v>48</v>
      </c>
      <c r="AX349" s="109" t="s">
        <v>48</v>
      </c>
      <c r="AY349" s="109" t="s">
        <v>48</v>
      </c>
      <c r="AZ349" s="166" t="s">
        <v>48</v>
      </c>
      <c r="BA349" s="162" t="s">
        <v>290</v>
      </c>
      <c r="BB349" s="109" t="s">
        <v>49</v>
      </c>
      <c r="BC349" s="79"/>
    </row>
    <row r="350" spans="1:55" ht="75" hidden="1" customHeight="1">
      <c r="A350" s="109" t="s">
        <v>2338</v>
      </c>
      <c r="B350" s="109" t="s">
        <v>2012</v>
      </c>
      <c r="C350" s="109" t="s">
        <v>123</v>
      </c>
      <c r="D350" s="109" t="s">
        <v>127</v>
      </c>
      <c r="E350" s="161">
        <v>15000</v>
      </c>
      <c r="F350" s="165" t="s">
        <v>130</v>
      </c>
      <c r="G350" s="109" t="s">
        <v>130</v>
      </c>
      <c r="H350" s="109" t="s">
        <v>1930</v>
      </c>
      <c r="I350" s="109" t="s">
        <v>2042</v>
      </c>
      <c r="J350" s="109" t="s">
        <v>629</v>
      </c>
      <c r="K350" s="109" t="s">
        <v>627</v>
      </c>
      <c r="L350" s="109" t="s">
        <v>1980</v>
      </c>
      <c r="M350" s="166" t="s">
        <v>711</v>
      </c>
      <c r="N350" s="108" t="s">
        <v>48</v>
      </c>
      <c r="O350" s="109" t="s">
        <v>48</v>
      </c>
      <c r="P350" s="162" t="s">
        <v>105</v>
      </c>
      <c r="Q350" s="109" t="s">
        <v>128</v>
      </c>
      <c r="R350" s="109" t="s">
        <v>126</v>
      </c>
      <c r="S350" s="109" t="s">
        <v>48</v>
      </c>
      <c r="T350" s="109" t="s">
        <v>580</v>
      </c>
      <c r="U350" s="109">
        <v>5442528</v>
      </c>
      <c r="V350" s="166" t="s">
        <v>485</v>
      </c>
      <c r="W350" s="165" t="s">
        <v>127</v>
      </c>
      <c r="X350" s="109" t="s">
        <v>127</v>
      </c>
      <c r="Y350" s="109" t="s">
        <v>48</v>
      </c>
      <c r="Z350" s="109" t="s">
        <v>48</v>
      </c>
      <c r="AA350" s="109" t="s">
        <v>48</v>
      </c>
      <c r="AB350" s="109" t="s">
        <v>48</v>
      </c>
      <c r="AC350" s="109" t="s">
        <v>48</v>
      </c>
      <c r="AD350" s="166" t="s">
        <v>48</v>
      </c>
      <c r="AE350" s="165" t="s">
        <v>48</v>
      </c>
      <c r="AF350" s="109" t="s">
        <v>48</v>
      </c>
      <c r="AG350" s="109" t="s">
        <v>48</v>
      </c>
      <c r="AH350" s="109" t="s">
        <v>48</v>
      </c>
      <c r="AI350" s="109" t="s">
        <v>48</v>
      </c>
      <c r="AJ350" s="109" t="s">
        <v>48</v>
      </c>
      <c r="AK350" s="166" t="s">
        <v>48</v>
      </c>
      <c r="AL350" s="165" t="s">
        <v>127</v>
      </c>
      <c r="AM350" s="109" t="s">
        <v>127</v>
      </c>
      <c r="AN350" s="109" t="s">
        <v>48</v>
      </c>
      <c r="AO350" s="109" t="s">
        <v>48</v>
      </c>
      <c r="AP350" s="109" t="s">
        <v>48</v>
      </c>
      <c r="AQ350" s="109" t="s">
        <v>48</v>
      </c>
      <c r="AR350" s="109" t="s">
        <v>48</v>
      </c>
      <c r="AS350" s="166" t="s">
        <v>48</v>
      </c>
      <c r="AT350" s="165" t="s">
        <v>48</v>
      </c>
      <c r="AU350" s="109" t="s">
        <v>48</v>
      </c>
      <c r="AV350" s="109" t="s">
        <v>48</v>
      </c>
      <c r="AW350" s="109" t="s">
        <v>48</v>
      </c>
      <c r="AX350" s="109" t="s">
        <v>48</v>
      </c>
      <c r="AY350" s="109" t="s">
        <v>48</v>
      </c>
      <c r="AZ350" s="166" t="s">
        <v>48</v>
      </c>
      <c r="BA350" s="162" t="s">
        <v>290</v>
      </c>
      <c r="BB350" s="109" t="s">
        <v>49</v>
      </c>
      <c r="BC350" s="79"/>
    </row>
    <row r="351" spans="1:55" ht="75" hidden="1" customHeight="1">
      <c r="A351" s="109" t="s">
        <v>2338</v>
      </c>
      <c r="B351" s="109" t="s">
        <v>2012</v>
      </c>
      <c r="C351" s="109" t="s">
        <v>123</v>
      </c>
      <c r="D351" s="109" t="s">
        <v>127</v>
      </c>
      <c r="E351" s="161">
        <v>15000</v>
      </c>
      <c r="F351" s="165" t="s">
        <v>130</v>
      </c>
      <c r="G351" s="109" t="s">
        <v>130</v>
      </c>
      <c r="H351" s="109" t="s">
        <v>1931</v>
      </c>
      <c r="I351" s="109" t="s">
        <v>2062</v>
      </c>
      <c r="J351" s="109" t="s">
        <v>629</v>
      </c>
      <c r="K351" s="109" t="s">
        <v>627</v>
      </c>
      <c r="L351" s="109" t="s">
        <v>1981</v>
      </c>
      <c r="M351" s="166" t="s">
        <v>711</v>
      </c>
      <c r="N351" s="108" t="s">
        <v>48</v>
      </c>
      <c r="O351" s="109" t="s">
        <v>48</v>
      </c>
      <c r="P351" s="162" t="s">
        <v>105</v>
      </c>
      <c r="Q351" s="109" t="s">
        <v>128</v>
      </c>
      <c r="R351" s="109" t="s">
        <v>126</v>
      </c>
      <c r="S351" s="109" t="s">
        <v>48</v>
      </c>
      <c r="T351" s="109" t="s">
        <v>580</v>
      </c>
      <c r="U351" s="109">
        <v>5442528</v>
      </c>
      <c r="V351" s="166" t="s">
        <v>485</v>
      </c>
      <c r="W351" s="165" t="s">
        <v>127</v>
      </c>
      <c r="X351" s="109" t="s">
        <v>127</v>
      </c>
      <c r="Y351" s="109" t="s">
        <v>48</v>
      </c>
      <c r="Z351" s="109" t="s">
        <v>48</v>
      </c>
      <c r="AA351" s="109" t="s">
        <v>48</v>
      </c>
      <c r="AB351" s="109" t="s">
        <v>48</v>
      </c>
      <c r="AC351" s="109" t="s">
        <v>48</v>
      </c>
      <c r="AD351" s="166" t="s">
        <v>48</v>
      </c>
      <c r="AE351" s="165" t="s">
        <v>48</v>
      </c>
      <c r="AF351" s="109" t="s">
        <v>48</v>
      </c>
      <c r="AG351" s="109" t="s">
        <v>48</v>
      </c>
      <c r="AH351" s="109" t="s">
        <v>48</v>
      </c>
      <c r="AI351" s="109" t="s">
        <v>48</v>
      </c>
      <c r="AJ351" s="109" t="s">
        <v>48</v>
      </c>
      <c r="AK351" s="166" t="s">
        <v>48</v>
      </c>
      <c r="AL351" s="109" t="s">
        <v>127</v>
      </c>
      <c r="AM351" s="109" t="s">
        <v>127</v>
      </c>
      <c r="AN351" s="109" t="s">
        <v>48</v>
      </c>
      <c r="AO351" s="109" t="s">
        <v>48</v>
      </c>
      <c r="AP351" s="109" t="s">
        <v>48</v>
      </c>
      <c r="AQ351" s="109" t="s">
        <v>48</v>
      </c>
      <c r="AR351" s="196" t="s">
        <v>48</v>
      </c>
      <c r="AS351" s="166" t="s">
        <v>48</v>
      </c>
      <c r="AT351" s="165" t="s">
        <v>48</v>
      </c>
      <c r="AU351" s="109" t="s">
        <v>48</v>
      </c>
      <c r="AV351" s="109" t="s">
        <v>48</v>
      </c>
      <c r="AW351" s="109" t="s">
        <v>48</v>
      </c>
      <c r="AX351" s="109" t="s">
        <v>48</v>
      </c>
      <c r="AY351" s="109" t="s">
        <v>48</v>
      </c>
      <c r="AZ351" s="166" t="s">
        <v>48</v>
      </c>
      <c r="BA351" s="162" t="s">
        <v>290</v>
      </c>
      <c r="BB351" s="109" t="s">
        <v>49</v>
      </c>
      <c r="BC351" s="79"/>
    </row>
    <row r="352" spans="1:55" ht="75" hidden="1" customHeight="1">
      <c r="A352" s="109" t="s">
        <v>2336</v>
      </c>
      <c r="B352" s="109" t="s">
        <v>2010</v>
      </c>
      <c r="C352" s="109" t="s">
        <v>123</v>
      </c>
      <c r="D352" s="109" t="s">
        <v>121</v>
      </c>
      <c r="E352" s="161">
        <v>15000</v>
      </c>
      <c r="F352" s="165" t="s">
        <v>130</v>
      </c>
      <c r="G352" s="109" t="s">
        <v>130</v>
      </c>
      <c r="H352" s="109" t="s">
        <v>1929</v>
      </c>
      <c r="I352" s="109" t="s">
        <v>2061</v>
      </c>
      <c r="J352" s="109" t="s">
        <v>629</v>
      </c>
      <c r="K352" s="109" t="s">
        <v>627</v>
      </c>
      <c r="L352" s="109" t="s">
        <v>1979</v>
      </c>
      <c r="M352" s="166" t="s">
        <v>704</v>
      </c>
      <c r="N352" s="108" t="s">
        <v>48</v>
      </c>
      <c r="O352" s="109" t="s">
        <v>48</v>
      </c>
      <c r="P352" s="162" t="s">
        <v>105</v>
      </c>
      <c r="Q352" s="109" t="s">
        <v>129</v>
      </c>
      <c r="R352" s="109" t="s">
        <v>126</v>
      </c>
      <c r="S352" s="109" t="s">
        <v>48</v>
      </c>
      <c r="T352" s="109" t="s">
        <v>580</v>
      </c>
      <c r="U352" s="109">
        <v>5442528</v>
      </c>
      <c r="V352" s="166" t="s">
        <v>485</v>
      </c>
      <c r="W352" s="165" t="s">
        <v>121</v>
      </c>
      <c r="X352" s="109" t="s">
        <v>121</v>
      </c>
      <c r="Y352" s="109" t="s">
        <v>48</v>
      </c>
      <c r="Z352" s="109" t="s">
        <v>48</v>
      </c>
      <c r="AA352" s="109" t="s">
        <v>48</v>
      </c>
      <c r="AB352" s="109" t="s">
        <v>48</v>
      </c>
      <c r="AC352" s="109" t="s">
        <v>48</v>
      </c>
      <c r="AD352" s="166" t="s">
        <v>48</v>
      </c>
      <c r="AE352" s="165" t="s">
        <v>48</v>
      </c>
      <c r="AF352" s="109" t="s">
        <v>48</v>
      </c>
      <c r="AG352" s="109" t="s">
        <v>48</v>
      </c>
      <c r="AH352" s="109" t="s">
        <v>48</v>
      </c>
      <c r="AI352" s="109" t="s">
        <v>48</v>
      </c>
      <c r="AJ352" s="109" t="s">
        <v>48</v>
      </c>
      <c r="AK352" s="166" t="s">
        <v>48</v>
      </c>
      <c r="AL352" s="165" t="s">
        <v>121</v>
      </c>
      <c r="AM352" s="109" t="s">
        <v>121</v>
      </c>
      <c r="AN352" s="109" t="s">
        <v>48</v>
      </c>
      <c r="AO352" s="109" t="s">
        <v>48</v>
      </c>
      <c r="AP352" s="109" t="s">
        <v>48</v>
      </c>
      <c r="AQ352" s="109" t="s">
        <v>48</v>
      </c>
      <c r="AR352" s="109" t="s">
        <v>48</v>
      </c>
      <c r="AS352" s="166" t="s">
        <v>48</v>
      </c>
      <c r="AT352" s="165" t="s">
        <v>48</v>
      </c>
      <c r="AU352" s="109" t="s">
        <v>48</v>
      </c>
      <c r="AV352" s="109" t="s">
        <v>48</v>
      </c>
      <c r="AW352" s="109" t="s">
        <v>48</v>
      </c>
      <c r="AX352" s="109" t="s">
        <v>48</v>
      </c>
      <c r="AY352" s="109" t="s">
        <v>48</v>
      </c>
      <c r="AZ352" s="166" t="s">
        <v>48</v>
      </c>
      <c r="BA352" s="162" t="s">
        <v>290</v>
      </c>
      <c r="BB352" s="109" t="s">
        <v>49</v>
      </c>
      <c r="BC352" s="79"/>
    </row>
    <row r="353" spans="1:55" ht="75" hidden="1" customHeight="1">
      <c r="A353" s="109" t="s">
        <v>2336</v>
      </c>
      <c r="B353" s="109" t="s">
        <v>2010</v>
      </c>
      <c r="C353" s="109" t="s">
        <v>123</v>
      </c>
      <c r="D353" s="109" t="s">
        <v>121</v>
      </c>
      <c r="E353" s="161">
        <v>15000</v>
      </c>
      <c r="F353" s="165" t="s">
        <v>130</v>
      </c>
      <c r="G353" s="109" t="s">
        <v>130</v>
      </c>
      <c r="H353" s="109" t="s">
        <v>1930</v>
      </c>
      <c r="I353" s="109" t="s">
        <v>2042</v>
      </c>
      <c r="J353" s="109" t="s">
        <v>629</v>
      </c>
      <c r="K353" s="109" t="s">
        <v>627</v>
      </c>
      <c r="L353" s="109" t="s">
        <v>1980</v>
      </c>
      <c r="M353" s="166" t="s">
        <v>704</v>
      </c>
      <c r="N353" s="108" t="s">
        <v>48</v>
      </c>
      <c r="O353" s="109" t="s">
        <v>48</v>
      </c>
      <c r="P353" s="162" t="s">
        <v>105</v>
      </c>
      <c r="Q353" s="109" t="s">
        <v>129</v>
      </c>
      <c r="R353" s="109" t="s">
        <v>126</v>
      </c>
      <c r="S353" s="109" t="s">
        <v>48</v>
      </c>
      <c r="T353" s="109" t="s">
        <v>580</v>
      </c>
      <c r="U353" s="109">
        <v>5442528</v>
      </c>
      <c r="V353" s="166" t="s">
        <v>485</v>
      </c>
      <c r="W353" s="165" t="s">
        <v>121</v>
      </c>
      <c r="X353" s="109" t="s">
        <v>121</v>
      </c>
      <c r="Y353" s="109" t="s">
        <v>48</v>
      </c>
      <c r="Z353" s="109" t="s">
        <v>48</v>
      </c>
      <c r="AA353" s="109" t="s">
        <v>48</v>
      </c>
      <c r="AB353" s="109" t="s">
        <v>48</v>
      </c>
      <c r="AC353" s="109" t="s">
        <v>48</v>
      </c>
      <c r="AD353" s="166" t="s">
        <v>48</v>
      </c>
      <c r="AE353" s="165" t="s">
        <v>48</v>
      </c>
      <c r="AF353" s="109" t="s">
        <v>48</v>
      </c>
      <c r="AG353" s="109" t="s">
        <v>48</v>
      </c>
      <c r="AH353" s="109" t="s">
        <v>48</v>
      </c>
      <c r="AI353" s="109" t="s">
        <v>48</v>
      </c>
      <c r="AJ353" s="109" t="s">
        <v>48</v>
      </c>
      <c r="AK353" s="166" t="s">
        <v>48</v>
      </c>
      <c r="AL353" s="165" t="s">
        <v>121</v>
      </c>
      <c r="AM353" s="109" t="s">
        <v>121</v>
      </c>
      <c r="AN353" s="109" t="s">
        <v>48</v>
      </c>
      <c r="AO353" s="109" t="s">
        <v>48</v>
      </c>
      <c r="AP353" s="109" t="s">
        <v>48</v>
      </c>
      <c r="AQ353" s="109" t="s">
        <v>48</v>
      </c>
      <c r="AR353" s="109" t="s">
        <v>48</v>
      </c>
      <c r="AS353" s="166" t="s">
        <v>48</v>
      </c>
      <c r="AT353" s="165" t="s">
        <v>48</v>
      </c>
      <c r="AU353" s="109" t="s">
        <v>48</v>
      </c>
      <c r="AV353" s="109" t="s">
        <v>48</v>
      </c>
      <c r="AW353" s="109" t="s">
        <v>48</v>
      </c>
      <c r="AX353" s="109" t="s">
        <v>48</v>
      </c>
      <c r="AY353" s="109" t="s">
        <v>48</v>
      </c>
      <c r="AZ353" s="166" t="s">
        <v>48</v>
      </c>
      <c r="BA353" s="162" t="s">
        <v>290</v>
      </c>
      <c r="BB353" s="109" t="s">
        <v>49</v>
      </c>
      <c r="BC353" s="79"/>
    </row>
    <row r="354" spans="1:55" ht="75" hidden="1" customHeight="1">
      <c r="A354" s="109" t="s">
        <v>2336</v>
      </c>
      <c r="B354" s="109" t="s">
        <v>2010</v>
      </c>
      <c r="C354" s="109" t="s">
        <v>123</v>
      </c>
      <c r="D354" s="109" t="s">
        <v>121</v>
      </c>
      <c r="E354" s="161">
        <v>15000</v>
      </c>
      <c r="F354" s="165" t="s">
        <v>130</v>
      </c>
      <c r="G354" s="109" t="s">
        <v>130</v>
      </c>
      <c r="H354" s="109" t="s">
        <v>1931</v>
      </c>
      <c r="I354" s="109" t="s">
        <v>2062</v>
      </c>
      <c r="J354" s="109" t="s">
        <v>629</v>
      </c>
      <c r="K354" s="109" t="s">
        <v>627</v>
      </c>
      <c r="L354" s="109" t="s">
        <v>1981</v>
      </c>
      <c r="M354" s="166" t="s">
        <v>704</v>
      </c>
      <c r="N354" s="108" t="s">
        <v>48</v>
      </c>
      <c r="O354" s="109" t="s">
        <v>48</v>
      </c>
      <c r="P354" s="162" t="s">
        <v>105</v>
      </c>
      <c r="Q354" s="109" t="s">
        <v>129</v>
      </c>
      <c r="R354" s="109" t="s">
        <v>126</v>
      </c>
      <c r="S354" s="109" t="s">
        <v>48</v>
      </c>
      <c r="T354" s="109" t="s">
        <v>580</v>
      </c>
      <c r="U354" s="109">
        <v>5442528</v>
      </c>
      <c r="V354" s="166" t="s">
        <v>485</v>
      </c>
      <c r="W354" s="165" t="s">
        <v>121</v>
      </c>
      <c r="X354" s="109" t="s">
        <v>121</v>
      </c>
      <c r="Y354" s="109" t="s">
        <v>48</v>
      </c>
      <c r="Z354" s="109" t="s">
        <v>48</v>
      </c>
      <c r="AA354" s="109" t="s">
        <v>48</v>
      </c>
      <c r="AB354" s="109" t="s">
        <v>48</v>
      </c>
      <c r="AC354" s="109" t="s">
        <v>48</v>
      </c>
      <c r="AD354" s="166" t="s">
        <v>48</v>
      </c>
      <c r="AE354" s="165" t="s">
        <v>48</v>
      </c>
      <c r="AF354" s="109" t="s">
        <v>48</v>
      </c>
      <c r="AG354" s="109" t="s">
        <v>48</v>
      </c>
      <c r="AH354" s="109" t="s">
        <v>48</v>
      </c>
      <c r="AI354" s="109" t="s">
        <v>48</v>
      </c>
      <c r="AJ354" s="109" t="s">
        <v>48</v>
      </c>
      <c r="AK354" s="166" t="s">
        <v>48</v>
      </c>
      <c r="AL354" s="165" t="s">
        <v>121</v>
      </c>
      <c r="AM354" s="109" t="s">
        <v>121</v>
      </c>
      <c r="AN354" s="109" t="s">
        <v>48</v>
      </c>
      <c r="AO354" s="109" t="s">
        <v>48</v>
      </c>
      <c r="AP354" s="109" t="s">
        <v>48</v>
      </c>
      <c r="AQ354" s="109" t="s">
        <v>48</v>
      </c>
      <c r="AR354" s="109" t="s">
        <v>48</v>
      </c>
      <c r="AS354" s="166" t="s">
        <v>48</v>
      </c>
      <c r="AT354" s="165" t="s">
        <v>48</v>
      </c>
      <c r="AU354" s="109" t="s">
        <v>48</v>
      </c>
      <c r="AV354" s="109" t="s">
        <v>48</v>
      </c>
      <c r="AW354" s="109" t="s">
        <v>48</v>
      </c>
      <c r="AX354" s="109" t="s">
        <v>48</v>
      </c>
      <c r="AY354" s="109" t="s">
        <v>48</v>
      </c>
      <c r="AZ354" s="166" t="s">
        <v>48</v>
      </c>
      <c r="BA354" s="162" t="s">
        <v>290</v>
      </c>
      <c r="BB354" s="109" t="s">
        <v>49</v>
      </c>
      <c r="BC354" s="79"/>
    </row>
    <row r="355" spans="1:55" ht="75" hidden="1" customHeight="1">
      <c r="A355" s="109" t="s">
        <v>2336</v>
      </c>
      <c r="B355" s="109" t="s">
        <v>2709</v>
      </c>
      <c r="C355" s="117" t="s">
        <v>123</v>
      </c>
      <c r="D355" s="109" t="s">
        <v>121</v>
      </c>
      <c r="E355" s="161">
        <v>30000</v>
      </c>
      <c r="F355" s="165" t="s">
        <v>130</v>
      </c>
      <c r="G355" s="109" t="s">
        <v>130</v>
      </c>
      <c r="H355" s="109" t="s">
        <v>131</v>
      </c>
      <c r="I355" s="109" t="s">
        <v>1908</v>
      </c>
      <c r="J355" s="109" t="s">
        <v>628</v>
      </c>
      <c r="K355" s="109" t="s">
        <v>628</v>
      </c>
      <c r="L355" s="109">
        <v>5761714</v>
      </c>
      <c r="M355" s="166" t="s">
        <v>513</v>
      </c>
      <c r="N355" s="108" t="s">
        <v>48</v>
      </c>
      <c r="O355" s="109" t="s">
        <v>48</v>
      </c>
      <c r="P355" s="187" t="s">
        <v>105</v>
      </c>
      <c r="Q355" s="117" t="s">
        <v>129</v>
      </c>
      <c r="R355" s="109" t="s">
        <v>126</v>
      </c>
      <c r="S355" s="109" t="s">
        <v>48</v>
      </c>
      <c r="T355" s="109" t="s">
        <v>580</v>
      </c>
      <c r="U355" s="109">
        <v>5442528</v>
      </c>
      <c r="V355" s="166" t="s">
        <v>485</v>
      </c>
      <c r="W355" s="165" t="s">
        <v>121</v>
      </c>
      <c r="X355" s="109" t="s">
        <v>121</v>
      </c>
      <c r="Y355" s="109" t="s">
        <v>48</v>
      </c>
      <c r="Z355" s="109" t="s">
        <v>48</v>
      </c>
      <c r="AA355" s="109" t="s">
        <v>48</v>
      </c>
      <c r="AB355" s="109" t="s">
        <v>48</v>
      </c>
      <c r="AC355" s="109" t="s">
        <v>48</v>
      </c>
      <c r="AD355" s="166" t="s">
        <v>48</v>
      </c>
      <c r="AE355" s="174" t="s">
        <v>48</v>
      </c>
      <c r="AF355" s="117" t="s">
        <v>48</v>
      </c>
      <c r="AG355" s="117" t="s">
        <v>48</v>
      </c>
      <c r="AH355" s="109" t="s">
        <v>48</v>
      </c>
      <c r="AI355" s="109" t="s">
        <v>48</v>
      </c>
      <c r="AJ355" s="117" t="s">
        <v>48</v>
      </c>
      <c r="AK355" s="182" t="s">
        <v>48</v>
      </c>
      <c r="AL355" s="165" t="s">
        <v>121</v>
      </c>
      <c r="AM355" s="109" t="s">
        <v>121</v>
      </c>
      <c r="AN355" s="109" t="s">
        <v>48</v>
      </c>
      <c r="AO355" s="109" t="s">
        <v>48</v>
      </c>
      <c r="AP355" s="109" t="s">
        <v>48</v>
      </c>
      <c r="AQ355" s="109" t="s">
        <v>48</v>
      </c>
      <c r="AR355" s="109" t="s">
        <v>48</v>
      </c>
      <c r="AS355" s="166" t="s">
        <v>48</v>
      </c>
      <c r="AT355" s="174" t="s">
        <v>48</v>
      </c>
      <c r="AU355" s="117" t="s">
        <v>48</v>
      </c>
      <c r="AV355" s="117" t="s">
        <v>48</v>
      </c>
      <c r="AW355" s="109" t="s">
        <v>48</v>
      </c>
      <c r="AX355" s="109" t="s">
        <v>48</v>
      </c>
      <c r="AY355" s="117" t="s">
        <v>48</v>
      </c>
      <c r="AZ355" s="166" t="s">
        <v>48</v>
      </c>
      <c r="BA355" s="162" t="s">
        <v>290</v>
      </c>
      <c r="BB355" s="109" t="s">
        <v>49</v>
      </c>
      <c r="BC355" s="79"/>
    </row>
    <row r="356" spans="1:55" ht="75" hidden="1" customHeight="1">
      <c r="A356" s="109" t="s">
        <v>2337</v>
      </c>
      <c r="B356" s="109" t="s">
        <v>2011</v>
      </c>
      <c r="C356" s="109" t="s">
        <v>123</v>
      </c>
      <c r="D356" s="109" t="s">
        <v>121</v>
      </c>
      <c r="E356" s="161">
        <v>15000</v>
      </c>
      <c r="F356" s="165" t="s">
        <v>130</v>
      </c>
      <c r="G356" s="109" t="s">
        <v>130</v>
      </c>
      <c r="H356" s="109" t="s">
        <v>1929</v>
      </c>
      <c r="I356" s="109" t="s">
        <v>2061</v>
      </c>
      <c r="J356" s="109" t="s">
        <v>629</v>
      </c>
      <c r="K356" s="109" t="s">
        <v>627</v>
      </c>
      <c r="L356" s="109" t="s">
        <v>1979</v>
      </c>
      <c r="M356" s="166" t="s">
        <v>704</v>
      </c>
      <c r="N356" s="108" t="s">
        <v>48</v>
      </c>
      <c r="O356" s="109" t="s">
        <v>48</v>
      </c>
      <c r="P356" s="162" t="s">
        <v>105</v>
      </c>
      <c r="Q356" s="109" t="s">
        <v>129</v>
      </c>
      <c r="R356" s="109" t="s">
        <v>126</v>
      </c>
      <c r="S356" s="109" t="s">
        <v>48</v>
      </c>
      <c r="T356" s="109" t="s">
        <v>580</v>
      </c>
      <c r="U356" s="109">
        <v>5442528</v>
      </c>
      <c r="V356" s="166" t="s">
        <v>485</v>
      </c>
      <c r="W356" s="165" t="s">
        <v>121</v>
      </c>
      <c r="X356" s="109" t="s">
        <v>121</v>
      </c>
      <c r="Y356" s="109" t="s">
        <v>48</v>
      </c>
      <c r="Z356" s="109" t="s">
        <v>48</v>
      </c>
      <c r="AA356" s="109" t="s">
        <v>48</v>
      </c>
      <c r="AB356" s="109" t="s">
        <v>48</v>
      </c>
      <c r="AC356" s="109" t="s">
        <v>48</v>
      </c>
      <c r="AD356" s="166" t="s">
        <v>48</v>
      </c>
      <c r="AE356" s="165" t="s">
        <v>48</v>
      </c>
      <c r="AF356" s="109" t="s">
        <v>48</v>
      </c>
      <c r="AG356" s="109" t="s">
        <v>48</v>
      </c>
      <c r="AH356" s="109" t="s">
        <v>48</v>
      </c>
      <c r="AI356" s="109" t="s">
        <v>48</v>
      </c>
      <c r="AJ356" s="109" t="s">
        <v>48</v>
      </c>
      <c r="AK356" s="166" t="s">
        <v>48</v>
      </c>
      <c r="AL356" s="165" t="s">
        <v>121</v>
      </c>
      <c r="AM356" s="109" t="s">
        <v>121</v>
      </c>
      <c r="AN356" s="109" t="s">
        <v>48</v>
      </c>
      <c r="AO356" s="109" t="s">
        <v>48</v>
      </c>
      <c r="AP356" s="109" t="s">
        <v>48</v>
      </c>
      <c r="AQ356" s="109" t="s">
        <v>48</v>
      </c>
      <c r="AR356" s="109" t="s">
        <v>48</v>
      </c>
      <c r="AS356" s="166" t="s">
        <v>48</v>
      </c>
      <c r="AT356" s="165" t="s">
        <v>48</v>
      </c>
      <c r="AU356" s="109" t="s">
        <v>48</v>
      </c>
      <c r="AV356" s="109" t="s">
        <v>48</v>
      </c>
      <c r="AW356" s="109" t="s">
        <v>48</v>
      </c>
      <c r="AX356" s="109" t="s">
        <v>48</v>
      </c>
      <c r="AY356" s="109" t="s">
        <v>48</v>
      </c>
      <c r="AZ356" s="166" t="s">
        <v>48</v>
      </c>
      <c r="BA356" s="162" t="s">
        <v>290</v>
      </c>
      <c r="BB356" s="109" t="s">
        <v>49</v>
      </c>
      <c r="BC356" s="79"/>
    </row>
    <row r="357" spans="1:55" ht="75" hidden="1" customHeight="1">
      <c r="A357" s="109" t="s">
        <v>2337</v>
      </c>
      <c r="B357" s="109" t="s">
        <v>2011</v>
      </c>
      <c r="C357" s="109" t="s">
        <v>123</v>
      </c>
      <c r="D357" s="109" t="s">
        <v>121</v>
      </c>
      <c r="E357" s="161">
        <v>15000</v>
      </c>
      <c r="F357" s="165" t="s">
        <v>130</v>
      </c>
      <c r="G357" s="109" t="s">
        <v>130</v>
      </c>
      <c r="H357" s="109" t="s">
        <v>1930</v>
      </c>
      <c r="I357" s="109" t="s">
        <v>2042</v>
      </c>
      <c r="J357" s="109" t="s">
        <v>629</v>
      </c>
      <c r="K357" s="109" t="s">
        <v>627</v>
      </c>
      <c r="L357" s="109" t="s">
        <v>1980</v>
      </c>
      <c r="M357" s="166" t="s">
        <v>704</v>
      </c>
      <c r="N357" s="108" t="s">
        <v>48</v>
      </c>
      <c r="O357" s="109" t="s">
        <v>48</v>
      </c>
      <c r="P357" s="162" t="s">
        <v>105</v>
      </c>
      <c r="Q357" s="109" t="s">
        <v>129</v>
      </c>
      <c r="R357" s="109" t="s">
        <v>126</v>
      </c>
      <c r="S357" s="109" t="s">
        <v>48</v>
      </c>
      <c r="T357" s="109" t="s">
        <v>580</v>
      </c>
      <c r="U357" s="109">
        <v>5442528</v>
      </c>
      <c r="V357" s="166" t="s">
        <v>485</v>
      </c>
      <c r="W357" s="165" t="s">
        <v>121</v>
      </c>
      <c r="X357" s="109" t="s">
        <v>121</v>
      </c>
      <c r="Y357" s="109" t="s">
        <v>48</v>
      </c>
      <c r="Z357" s="109" t="s">
        <v>48</v>
      </c>
      <c r="AA357" s="109" t="s">
        <v>48</v>
      </c>
      <c r="AB357" s="109" t="s">
        <v>48</v>
      </c>
      <c r="AC357" s="109" t="s">
        <v>48</v>
      </c>
      <c r="AD357" s="166" t="s">
        <v>48</v>
      </c>
      <c r="AE357" s="165" t="s">
        <v>48</v>
      </c>
      <c r="AF357" s="109" t="s">
        <v>48</v>
      </c>
      <c r="AG357" s="109" t="s">
        <v>48</v>
      </c>
      <c r="AH357" s="109" t="s">
        <v>48</v>
      </c>
      <c r="AI357" s="109" t="s">
        <v>48</v>
      </c>
      <c r="AJ357" s="109" t="s">
        <v>48</v>
      </c>
      <c r="AK357" s="166" t="s">
        <v>48</v>
      </c>
      <c r="AL357" s="165" t="s">
        <v>121</v>
      </c>
      <c r="AM357" s="109" t="s">
        <v>121</v>
      </c>
      <c r="AN357" s="109" t="s">
        <v>48</v>
      </c>
      <c r="AO357" s="109" t="s">
        <v>48</v>
      </c>
      <c r="AP357" s="109" t="s">
        <v>48</v>
      </c>
      <c r="AQ357" s="109" t="s">
        <v>48</v>
      </c>
      <c r="AR357" s="109" t="s">
        <v>48</v>
      </c>
      <c r="AS357" s="166" t="s">
        <v>48</v>
      </c>
      <c r="AT357" s="165" t="s">
        <v>48</v>
      </c>
      <c r="AU357" s="109" t="s">
        <v>48</v>
      </c>
      <c r="AV357" s="109" t="s">
        <v>48</v>
      </c>
      <c r="AW357" s="109" t="s">
        <v>48</v>
      </c>
      <c r="AX357" s="109" t="s">
        <v>48</v>
      </c>
      <c r="AY357" s="109" t="s">
        <v>48</v>
      </c>
      <c r="AZ357" s="166" t="s">
        <v>48</v>
      </c>
      <c r="BA357" s="162" t="s">
        <v>290</v>
      </c>
      <c r="BB357" s="109" t="s">
        <v>49</v>
      </c>
      <c r="BC357" s="79"/>
    </row>
    <row r="358" spans="1:55" ht="75" hidden="1" customHeight="1">
      <c r="A358" s="109" t="s">
        <v>2337</v>
      </c>
      <c r="B358" s="109" t="s">
        <v>2011</v>
      </c>
      <c r="C358" s="109" t="s">
        <v>123</v>
      </c>
      <c r="D358" s="109" t="s">
        <v>121</v>
      </c>
      <c r="E358" s="161">
        <v>15000</v>
      </c>
      <c r="F358" s="165" t="s">
        <v>130</v>
      </c>
      <c r="G358" s="109" t="s">
        <v>130</v>
      </c>
      <c r="H358" s="109" t="s">
        <v>1931</v>
      </c>
      <c r="I358" s="109" t="s">
        <v>2062</v>
      </c>
      <c r="J358" s="109" t="s">
        <v>629</v>
      </c>
      <c r="K358" s="109" t="s">
        <v>627</v>
      </c>
      <c r="L358" s="109" t="s">
        <v>1981</v>
      </c>
      <c r="M358" s="166" t="s">
        <v>704</v>
      </c>
      <c r="N358" s="108" t="s">
        <v>48</v>
      </c>
      <c r="O358" s="109" t="s">
        <v>48</v>
      </c>
      <c r="P358" s="162" t="s">
        <v>105</v>
      </c>
      <c r="Q358" s="109" t="s">
        <v>129</v>
      </c>
      <c r="R358" s="109" t="s">
        <v>126</v>
      </c>
      <c r="S358" s="109" t="s">
        <v>48</v>
      </c>
      <c r="T358" s="109" t="s">
        <v>580</v>
      </c>
      <c r="U358" s="109">
        <v>5442528</v>
      </c>
      <c r="V358" s="166" t="s">
        <v>485</v>
      </c>
      <c r="W358" s="165" t="s">
        <v>121</v>
      </c>
      <c r="X358" s="109" t="s">
        <v>121</v>
      </c>
      <c r="Y358" s="109" t="s">
        <v>48</v>
      </c>
      <c r="Z358" s="109" t="s">
        <v>48</v>
      </c>
      <c r="AA358" s="109" t="s">
        <v>48</v>
      </c>
      <c r="AB358" s="109" t="s">
        <v>48</v>
      </c>
      <c r="AC358" s="109" t="s">
        <v>48</v>
      </c>
      <c r="AD358" s="166" t="s">
        <v>48</v>
      </c>
      <c r="AE358" s="165" t="s">
        <v>48</v>
      </c>
      <c r="AF358" s="109" t="s">
        <v>48</v>
      </c>
      <c r="AG358" s="109" t="s">
        <v>48</v>
      </c>
      <c r="AH358" s="109" t="s">
        <v>48</v>
      </c>
      <c r="AI358" s="109" t="s">
        <v>48</v>
      </c>
      <c r="AJ358" s="109" t="s">
        <v>48</v>
      </c>
      <c r="AK358" s="166" t="s">
        <v>48</v>
      </c>
      <c r="AL358" s="165" t="s">
        <v>121</v>
      </c>
      <c r="AM358" s="109" t="s">
        <v>121</v>
      </c>
      <c r="AN358" s="109" t="s">
        <v>48</v>
      </c>
      <c r="AO358" s="109" t="s">
        <v>48</v>
      </c>
      <c r="AP358" s="109" t="s">
        <v>48</v>
      </c>
      <c r="AQ358" s="109" t="s">
        <v>48</v>
      </c>
      <c r="AR358" s="109" t="s">
        <v>48</v>
      </c>
      <c r="AS358" s="166" t="s">
        <v>48</v>
      </c>
      <c r="AT358" s="165" t="s">
        <v>48</v>
      </c>
      <c r="AU358" s="109" t="s">
        <v>48</v>
      </c>
      <c r="AV358" s="109" t="s">
        <v>48</v>
      </c>
      <c r="AW358" s="109" t="s">
        <v>48</v>
      </c>
      <c r="AX358" s="109" t="s">
        <v>48</v>
      </c>
      <c r="AY358" s="109" t="s">
        <v>48</v>
      </c>
      <c r="AZ358" s="166" t="s">
        <v>48</v>
      </c>
      <c r="BA358" s="162" t="s">
        <v>290</v>
      </c>
      <c r="BB358" s="109" t="s">
        <v>49</v>
      </c>
      <c r="BC358" s="79"/>
    </row>
    <row r="359" spans="1:55" ht="75" hidden="1" customHeight="1">
      <c r="A359" s="109" t="s">
        <v>2338</v>
      </c>
      <c r="B359" s="109" t="s">
        <v>2012</v>
      </c>
      <c r="C359" s="109" t="s">
        <v>123</v>
      </c>
      <c r="D359" s="109" t="s">
        <v>121</v>
      </c>
      <c r="E359" s="161">
        <v>15000</v>
      </c>
      <c r="F359" s="165" t="s">
        <v>130</v>
      </c>
      <c r="G359" s="109" t="s">
        <v>130</v>
      </c>
      <c r="H359" s="109" t="s">
        <v>1929</v>
      </c>
      <c r="I359" s="109" t="s">
        <v>2061</v>
      </c>
      <c r="J359" s="109" t="s">
        <v>629</v>
      </c>
      <c r="K359" s="109" t="s">
        <v>627</v>
      </c>
      <c r="L359" s="109" t="s">
        <v>1979</v>
      </c>
      <c r="M359" s="166" t="s">
        <v>704</v>
      </c>
      <c r="N359" s="108" t="s">
        <v>48</v>
      </c>
      <c r="O359" s="109" t="s">
        <v>48</v>
      </c>
      <c r="P359" s="162" t="s">
        <v>105</v>
      </c>
      <c r="Q359" s="109" t="s">
        <v>129</v>
      </c>
      <c r="R359" s="109" t="s">
        <v>126</v>
      </c>
      <c r="S359" s="109" t="s">
        <v>48</v>
      </c>
      <c r="T359" s="109" t="s">
        <v>580</v>
      </c>
      <c r="U359" s="109">
        <v>5442528</v>
      </c>
      <c r="V359" s="166" t="s">
        <v>485</v>
      </c>
      <c r="W359" s="165" t="s">
        <v>121</v>
      </c>
      <c r="X359" s="109" t="s">
        <v>121</v>
      </c>
      <c r="Y359" s="109" t="s">
        <v>48</v>
      </c>
      <c r="Z359" s="109" t="s">
        <v>48</v>
      </c>
      <c r="AA359" s="109" t="s">
        <v>48</v>
      </c>
      <c r="AB359" s="109" t="s">
        <v>48</v>
      </c>
      <c r="AC359" s="109" t="s">
        <v>48</v>
      </c>
      <c r="AD359" s="166" t="s">
        <v>48</v>
      </c>
      <c r="AE359" s="165" t="s">
        <v>48</v>
      </c>
      <c r="AF359" s="109" t="s">
        <v>48</v>
      </c>
      <c r="AG359" s="109" t="s">
        <v>48</v>
      </c>
      <c r="AH359" s="109" t="s">
        <v>48</v>
      </c>
      <c r="AI359" s="109" t="s">
        <v>48</v>
      </c>
      <c r="AJ359" s="109" t="s">
        <v>48</v>
      </c>
      <c r="AK359" s="166" t="s">
        <v>48</v>
      </c>
      <c r="AL359" s="165" t="s">
        <v>121</v>
      </c>
      <c r="AM359" s="109" t="s">
        <v>121</v>
      </c>
      <c r="AN359" s="109" t="s">
        <v>48</v>
      </c>
      <c r="AO359" s="109" t="s">
        <v>48</v>
      </c>
      <c r="AP359" s="109" t="s">
        <v>48</v>
      </c>
      <c r="AQ359" s="109" t="s">
        <v>48</v>
      </c>
      <c r="AR359" s="109" t="s">
        <v>48</v>
      </c>
      <c r="AS359" s="166" t="s">
        <v>48</v>
      </c>
      <c r="AT359" s="165" t="s">
        <v>48</v>
      </c>
      <c r="AU359" s="109" t="s">
        <v>48</v>
      </c>
      <c r="AV359" s="109" t="s">
        <v>48</v>
      </c>
      <c r="AW359" s="109" t="s">
        <v>48</v>
      </c>
      <c r="AX359" s="109" t="s">
        <v>48</v>
      </c>
      <c r="AY359" s="109" t="s">
        <v>48</v>
      </c>
      <c r="AZ359" s="166" t="s">
        <v>48</v>
      </c>
      <c r="BA359" s="162" t="s">
        <v>290</v>
      </c>
      <c r="BB359" s="109" t="s">
        <v>49</v>
      </c>
      <c r="BC359" s="79"/>
    </row>
    <row r="360" spans="1:55" ht="75" hidden="1" customHeight="1">
      <c r="A360" s="109" t="s">
        <v>2338</v>
      </c>
      <c r="B360" s="109" t="s">
        <v>2012</v>
      </c>
      <c r="C360" s="109" t="s">
        <v>123</v>
      </c>
      <c r="D360" s="109" t="s">
        <v>121</v>
      </c>
      <c r="E360" s="161">
        <v>15000</v>
      </c>
      <c r="F360" s="165" t="s">
        <v>130</v>
      </c>
      <c r="G360" s="109" t="s">
        <v>130</v>
      </c>
      <c r="H360" s="109" t="s">
        <v>1930</v>
      </c>
      <c r="I360" s="109" t="s">
        <v>2042</v>
      </c>
      <c r="J360" s="109" t="s">
        <v>629</v>
      </c>
      <c r="K360" s="109" t="s">
        <v>627</v>
      </c>
      <c r="L360" s="109" t="s">
        <v>1980</v>
      </c>
      <c r="M360" s="166" t="s">
        <v>704</v>
      </c>
      <c r="N360" s="108" t="s">
        <v>48</v>
      </c>
      <c r="O360" s="109" t="s">
        <v>48</v>
      </c>
      <c r="P360" s="162" t="s">
        <v>105</v>
      </c>
      <c r="Q360" s="109" t="s">
        <v>129</v>
      </c>
      <c r="R360" s="109" t="s">
        <v>126</v>
      </c>
      <c r="S360" s="109" t="s">
        <v>48</v>
      </c>
      <c r="T360" s="109" t="s">
        <v>580</v>
      </c>
      <c r="U360" s="109">
        <v>5442528</v>
      </c>
      <c r="V360" s="166" t="s">
        <v>485</v>
      </c>
      <c r="W360" s="165" t="s">
        <v>121</v>
      </c>
      <c r="X360" s="109" t="s">
        <v>121</v>
      </c>
      <c r="Y360" s="109" t="s">
        <v>48</v>
      </c>
      <c r="Z360" s="109" t="s">
        <v>48</v>
      </c>
      <c r="AA360" s="109" t="s">
        <v>48</v>
      </c>
      <c r="AB360" s="109" t="s">
        <v>48</v>
      </c>
      <c r="AC360" s="109" t="s">
        <v>48</v>
      </c>
      <c r="AD360" s="166" t="s">
        <v>48</v>
      </c>
      <c r="AE360" s="165" t="s">
        <v>48</v>
      </c>
      <c r="AF360" s="109" t="s">
        <v>48</v>
      </c>
      <c r="AG360" s="109" t="s">
        <v>48</v>
      </c>
      <c r="AH360" s="109" t="s">
        <v>48</v>
      </c>
      <c r="AI360" s="109" t="s">
        <v>48</v>
      </c>
      <c r="AJ360" s="109" t="s">
        <v>48</v>
      </c>
      <c r="AK360" s="166" t="s">
        <v>48</v>
      </c>
      <c r="AL360" s="165" t="s">
        <v>121</v>
      </c>
      <c r="AM360" s="109" t="s">
        <v>121</v>
      </c>
      <c r="AN360" s="109" t="s">
        <v>48</v>
      </c>
      <c r="AO360" s="109" t="s">
        <v>48</v>
      </c>
      <c r="AP360" s="109" t="s">
        <v>48</v>
      </c>
      <c r="AQ360" s="109" t="s">
        <v>48</v>
      </c>
      <c r="AR360" s="109" t="s">
        <v>48</v>
      </c>
      <c r="AS360" s="166" t="s">
        <v>48</v>
      </c>
      <c r="AT360" s="165" t="s">
        <v>48</v>
      </c>
      <c r="AU360" s="109" t="s">
        <v>48</v>
      </c>
      <c r="AV360" s="109" t="s">
        <v>48</v>
      </c>
      <c r="AW360" s="109" t="s">
        <v>48</v>
      </c>
      <c r="AX360" s="109" t="s">
        <v>48</v>
      </c>
      <c r="AY360" s="109" t="s">
        <v>48</v>
      </c>
      <c r="AZ360" s="166" t="s">
        <v>48</v>
      </c>
      <c r="BA360" s="162" t="s">
        <v>290</v>
      </c>
      <c r="BB360" s="109" t="s">
        <v>49</v>
      </c>
      <c r="BC360" s="79"/>
    </row>
    <row r="361" spans="1:55" ht="75" hidden="1" customHeight="1">
      <c r="A361" s="109" t="s">
        <v>2338</v>
      </c>
      <c r="B361" s="109" t="s">
        <v>2012</v>
      </c>
      <c r="C361" s="109" t="s">
        <v>123</v>
      </c>
      <c r="D361" s="109" t="s">
        <v>121</v>
      </c>
      <c r="E361" s="161">
        <v>15000</v>
      </c>
      <c r="F361" s="165" t="s">
        <v>130</v>
      </c>
      <c r="G361" s="109" t="s">
        <v>130</v>
      </c>
      <c r="H361" s="109" t="s">
        <v>1931</v>
      </c>
      <c r="I361" s="109" t="s">
        <v>2062</v>
      </c>
      <c r="J361" s="109" t="s">
        <v>629</v>
      </c>
      <c r="K361" s="109" t="s">
        <v>627</v>
      </c>
      <c r="L361" s="109" t="s">
        <v>1981</v>
      </c>
      <c r="M361" s="166" t="s">
        <v>704</v>
      </c>
      <c r="N361" s="108" t="s">
        <v>48</v>
      </c>
      <c r="O361" s="109" t="s">
        <v>48</v>
      </c>
      <c r="P361" s="162" t="s">
        <v>105</v>
      </c>
      <c r="Q361" s="109" t="s">
        <v>129</v>
      </c>
      <c r="R361" s="109" t="s">
        <v>126</v>
      </c>
      <c r="S361" s="109" t="s">
        <v>48</v>
      </c>
      <c r="T361" s="109" t="s">
        <v>580</v>
      </c>
      <c r="U361" s="109">
        <v>5442528</v>
      </c>
      <c r="V361" s="166" t="s">
        <v>485</v>
      </c>
      <c r="W361" s="165" t="s">
        <v>121</v>
      </c>
      <c r="X361" s="109" t="s">
        <v>121</v>
      </c>
      <c r="Y361" s="109" t="s">
        <v>48</v>
      </c>
      <c r="Z361" s="109" t="s">
        <v>48</v>
      </c>
      <c r="AA361" s="109" t="s">
        <v>48</v>
      </c>
      <c r="AB361" s="109" t="s">
        <v>48</v>
      </c>
      <c r="AC361" s="109" t="s">
        <v>48</v>
      </c>
      <c r="AD361" s="166" t="s">
        <v>48</v>
      </c>
      <c r="AE361" s="165" t="s">
        <v>48</v>
      </c>
      <c r="AF361" s="109" t="s">
        <v>48</v>
      </c>
      <c r="AG361" s="109" t="s">
        <v>48</v>
      </c>
      <c r="AH361" s="109" t="s">
        <v>48</v>
      </c>
      <c r="AI361" s="109" t="s">
        <v>48</v>
      </c>
      <c r="AJ361" s="109" t="s">
        <v>48</v>
      </c>
      <c r="AK361" s="166" t="s">
        <v>48</v>
      </c>
      <c r="AL361" s="165" t="s">
        <v>121</v>
      </c>
      <c r="AM361" s="109" t="s">
        <v>121</v>
      </c>
      <c r="AN361" s="109" t="s">
        <v>48</v>
      </c>
      <c r="AO361" s="109" t="s">
        <v>48</v>
      </c>
      <c r="AP361" s="109" t="s">
        <v>48</v>
      </c>
      <c r="AQ361" s="109" t="s">
        <v>48</v>
      </c>
      <c r="AR361" s="109" t="s">
        <v>48</v>
      </c>
      <c r="AS361" s="166" t="s">
        <v>48</v>
      </c>
      <c r="AT361" s="165" t="s">
        <v>48</v>
      </c>
      <c r="AU361" s="109" t="s">
        <v>48</v>
      </c>
      <c r="AV361" s="109" t="s">
        <v>48</v>
      </c>
      <c r="AW361" s="109" t="s">
        <v>48</v>
      </c>
      <c r="AX361" s="109" t="s">
        <v>48</v>
      </c>
      <c r="AY361" s="109" t="s">
        <v>48</v>
      </c>
      <c r="AZ361" s="166" t="s">
        <v>48</v>
      </c>
      <c r="BA361" s="162" t="s">
        <v>290</v>
      </c>
      <c r="BB361" s="109" t="s">
        <v>49</v>
      </c>
      <c r="BC361" s="79"/>
    </row>
    <row r="362" spans="1:55" ht="75" hidden="1" customHeight="1">
      <c r="A362" s="109" t="s">
        <v>2336</v>
      </c>
      <c r="B362" s="109" t="s">
        <v>2010</v>
      </c>
      <c r="C362" s="109" t="s">
        <v>119</v>
      </c>
      <c r="D362" s="109" t="s">
        <v>120</v>
      </c>
      <c r="E362" s="161">
        <v>15000</v>
      </c>
      <c r="F362" s="165" t="s">
        <v>130</v>
      </c>
      <c r="G362" s="109" t="s">
        <v>120</v>
      </c>
      <c r="H362" s="109" t="s">
        <v>1929</v>
      </c>
      <c r="I362" s="109" t="s">
        <v>2061</v>
      </c>
      <c r="J362" s="109" t="s">
        <v>629</v>
      </c>
      <c r="K362" s="109" t="s">
        <v>627</v>
      </c>
      <c r="L362" s="109" t="s">
        <v>1979</v>
      </c>
      <c r="M362" s="166" t="s">
        <v>711</v>
      </c>
      <c r="N362" s="108" t="s">
        <v>48</v>
      </c>
      <c r="O362" s="109" t="s">
        <v>48</v>
      </c>
      <c r="P362" s="162" t="s">
        <v>76</v>
      </c>
      <c r="Q362" s="109" t="s">
        <v>254</v>
      </c>
      <c r="R362" s="109" t="s">
        <v>256</v>
      </c>
      <c r="S362" s="109" t="s">
        <v>48</v>
      </c>
      <c r="T362" s="109" t="s">
        <v>584</v>
      </c>
      <c r="U362" s="109" t="s">
        <v>255</v>
      </c>
      <c r="V362" s="166" t="s">
        <v>484</v>
      </c>
      <c r="W362" s="165" t="s">
        <v>120</v>
      </c>
      <c r="X362" s="109" t="s">
        <v>120</v>
      </c>
      <c r="Y362" s="109" t="s">
        <v>48</v>
      </c>
      <c r="Z362" s="109" t="s">
        <v>48</v>
      </c>
      <c r="AA362" s="109" t="s">
        <v>48</v>
      </c>
      <c r="AB362" s="109" t="s">
        <v>48</v>
      </c>
      <c r="AC362" s="109" t="s">
        <v>48</v>
      </c>
      <c r="AD362" s="166" t="s">
        <v>48</v>
      </c>
      <c r="AE362" s="165" t="s">
        <v>48</v>
      </c>
      <c r="AF362" s="109" t="s">
        <v>48</v>
      </c>
      <c r="AG362" s="109" t="s">
        <v>48</v>
      </c>
      <c r="AH362" s="109" t="s">
        <v>48</v>
      </c>
      <c r="AI362" s="109" t="s">
        <v>48</v>
      </c>
      <c r="AJ362" s="109" t="s">
        <v>48</v>
      </c>
      <c r="AK362" s="166" t="s">
        <v>48</v>
      </c>
      <c r="AL362" s="165" t="s">
        <v>120</v>
      </c>
      <c r="AM362" s="109" t="s">
        <v>120</v>
      </c>
      <c r="AN362" s="109" t="s">
        <v>48</v>
      </c>
      <c r="AO362" s="109" t="s">
        <v>48</v>
      </c>
      <c r="AP362" s="109" t="s">
        <v>48</v>
      </c>
      <c r="AQ362" s="109" t="s">
        <v>48</v>
      </c>
      <c r="AR362" s="109" t="s">
        <v>48</v>
      </c>
      <c r="AS362" s="166" t="s">
        <v>48</v>
      </c>
      <c r="AT362" s="165" t="s">
        <v>48</v>
      </c>
      <c r="AU362" s="109" t="s">
        <v>48</v>
      </c>
      <c r="AV362" s="109" t="s">
        <v>48</v>
      </c>
      <c r="AW362" s="109" t="s">
        <v>48</v>
      </c>
      <c r="AX362" s="109" t="s">
        <v>48</v>
      </c>
      <c r="AY362" s="109" t="s">
        <v>48</v>
      </c>
      <c r="AZ362" s="166" t="s">
        <v>48</v>
      </c>
      <c r="BA362" s="162" t="s">
        <v>276</v>
      </c>
      <c r="BB362" s="109" t="s">
        <v>49</v>
      </c>
      <c r="BC362" s="79"/>
    </row>
    <row r="363" spans="1:55" ht="75" hidden="1" customHeight="1">
      <c r="A363" s="109" t="s">
        <v>2336</v>
      </c>
      <c r="B363" s="109" t="s">
        <v>2010</v>
      </c>
      <c r="C363" s="109" t="s">
        <v>119</v>
      </c>
      <c r="D363" s="109" t="s">
        <v>120</v>
      </c>
      <c r="E363" s="161">
        <v>15000</v>
      </c>
      <c r="F363" s="165" t="s">
        <v>120</v>
      </c>
      <c r="G363" s="109" t="s">
        <v>127</v>
      </c>
      <c r="H363" s="109" t="s">
        <v>2040</v>
      </c>
      <c r="I363" s="109" t="s">
        <v>1908</v>
      </c>
      <c r="J363" s="109" t="s">
        <v>629</v>
      </c>
      <c r="K363" s="109" t="s">
        <v>627</v>
      </c>
      <c r="L363" s="109" t="s">
        <v>2041</v>
      </c>
      <c r="M363" s="166" t="s">
        <v>711</v>
      </c>
      <c r="N363" s="108" t="s">
        <v>48</v>
      </c>
      <c r="O363" s="109" t="s">
        <v>48</v>
      </c>
      <c r="P363" s="162" t="s">
        <v>48</v>
      </c>
      <c r="Q363" s="109" t="s">
        <v>48</v>
      </c>
      <c r="R363" s="109" t="s">
        <v>48</v>
      </c>
      <c r="S363" s="109" t="s">
        <v>48</v>
      </c>
      <c r="T363" s="109" t="s">
        <v>48</v>
      </c>
      <c r="U363" s="109" t="s">
        <v>48</v>
      </c>
      <c r="V363" s="166" t="s">
        <v>48</v>
      </c>
      <c r="W363" s="165" t="s">
        <v>120</v>
      </c>
      <c r="X363" s="109" t="s">
        <v>120</v>
      </c>
      <c r="Y363" s="109" t="s">
        <v>48</v>
      </c>
      <c r="Z363" s="109" t="s">
        <v>48</v>
      </c>
      <c r="AA363" s="109" t="s">
        <v>48</v>
      </c>
      <c r="AB363" s="109" t="s">
        <v>48</v>
      </c>
      <c r="AC363" s="109" t="s">
        <v>48</v>
      </c>
      <c r="AD363" s="166" t="s">
        <v>48</v>
      </c>
      <c r="AE363" s="165" t="s">
        <v>48</v>
      </c>
      <c r="AF363" s="109" t="s">
        <v>48</v>
      </c>
      <c r="AG363" s="109" t="s">
        <v>48</v>
      </c>
      <c r="AH363" s="109" t="s">
        <v>48</v>
      </c>
      <c r="AI363" s="109" t="s">
        <v>48</v>
      </c>
      <c r="AJ363" s="109" t="s">
        <v>48</v>
      </c>
      <c r="AK363" s="166" t="s">
        <v>48</v>
      </c>
      <c r="AL363" s="165" t="s">
        <v>120</v>
      </c>
      <c r="AM363" s="109" t="s">
        <v>120</v>
      </c>
      <c r="AN363" s="109" t="s">
        <v>48</v>
      </c>
      <c r="AO363" s="109" t="s">
        <v>48</v>
      </c>
      <c r="AP363" s="109" t="s">
        <v>48</v>
      </c>
      <c r="AQ363" s="109" t="s">
        <v>48</v>
      </c>
      <c r="AR363" s="109" t="s">
        <v>48</v>
      </c>
      <c r="AS363" s="166" t="s">
        <v>48</v>
      </c>
      <c r="AT363" s="165" t="s">
        <v>48</v>
      </c>
      <c r="AU363" s="109" t="s">
        <v>48</v>
      </c>
      <c r="AV363" s="109" t="s">
        <v>48</v>
      </c>
      <c r="AW363" s="109" t="s">
        <v>48</v>
      </c>
      <c r="AX363" s="109" t="s">
        <v>48</v>
      </c>
      <c r="AY363" s="109" t="s">
        <v>48</v>
      </c>
      <c r="AZ363" s="166" t="s">
        <v>48</v>
      </c>
      <c r="BA363" s="162" t="s">
        <v>276</v>
      </c>
      <c r="BB363" s="109" t="s">
        <v>49</v>
      </c>
      <c r="BC363" s="79"/>
    </row>
    <row r="364" spans="1:55" ht="75" hidden="1" customHeight="1">
      <c r="A364" s="109" t="s">
        <v>2336</v>
      </c>
      <c r="B364" s="109" t="s">
        <v>2010</v>
      </c>
      <c r="C364" s="109" t="s">
        <v>119</v>
      </c>
      <c r="D364" s="109" t="s">
        <v>120</v>
      </c>
      <c r="E364" s="161">
        <v>15000</v>
      </c>
      <c r="F364" s="165" t="s">
        <v>130</v>
      </c>
      <c r="G364" s="109" t="s">
        <v>120</v>
      </c>
      <c r="H364" s="109" t="s">
        <v>1930</v>
      </c>
      <c r="I364" s="109" t="s">
        <v>2042</v>
      </c>
      <c r="J364" s="109" t="s">
        <v>629</v>
      </c>
      <c r="K364" s="109" t="s">
        <v>627</v>
      </c>
      <c r="L364" s="109" t="s">
        <v>1980</v>
      </c>
      <c r="M364" s="166" t="s">
        <v>711</v>
      </c>
      <c r="N364" s="108" t="s">
        <v>48</v>
      </c>
      <c r="O364" s="109" t="s">
        <v>48</v>
      </c>
      <c r="P364" s="162" t="s">
        <v>76</v>
      </c>
      <c r="Q364" s="109" t="s">
        <v>254</v>
      </c>
      <c r="R364" s="109" t="s">
        <v>256</v>
      </c>
      <c r="S364" s="109" t="s">
        <v>48</v>
      </c>
      <c r="T364" s="109" t="s">
        <v>584</v>
      </c>
      <c r="U364" s="109" t="s">
        <v>255</v>
      </c>
      <c r="V364" s="166" t="s">
        <v>484</v>
      </c>
      <c r="W364" s="165" t="s">
        <v>120</v>
      </c>
      <c r="X364" s="109" t="s">
        <v>120</v>
      </c>
      <c r="Y364" s="109" t="s">
        <v>48</v>
      </c>
      <c r="Z364" s="109" t="s">
        <v>48</v>
      </c>
      <c r="AA364" s="109" t="s">
        <v>48</v>
      </c>
      <c r="AB364" s="109" t="s">
        <v>48</v>
      </c>
      <c r="AC364" s="109" t="s">
        <v>48</v>
      </c>
      <c r="AD364" s="166" t="s">
        <v>48</v>
      </c>
      <c r="AE364" s="165" t="s">
        <v>48</v>
      </c>
      <c r="AF364" s="109" t="s">
        <v>48</v>
      </c>
      <c r="AG364" s="109" t="s">
        <v>48</v>
      </c>
      <c r="AH364" s="109" t="s">
        <v>48</v>
      </c>
      <c r="AI364" s="109" t="s">
        <v>48</v>
      </c>
      <c r="AJ364" s="109" t="s">
        <v>48</v>
      </c>
      <c r="AK364" s="166" t="s">
        <v>48</v>
      </c>
      <c r="AL364" s="165" t="s">
        <v>120</v>
      </c>
      <c r="AM364" s="109" t="s">
        <v>120</v>
      </c>
      <c r="AN364" s="109" t="s">
        <v>48</v>
      </c>
      <c r="AO364" s="109" t="s">
        <v>48</v>
      </c>
      <c r="AP364" s="109" t="s">
        <v>48</v>
      </c>
      <c r="AQ364" s="109" t="s">
        <v>48</v>
      </c>
      <c r="AR364" s="109" t="s">
        <v>48</v>
      </c>
      <c r="AS364" s="166" t="s">
        <v>48</v>
      </c>
      <c r="AT364" s="165" t="s">
        <v>48</v>
      </c>
      <c r="AU364" s="109" t="s">
        <v>48</v>
      </c>
      <c r="AV364" s="109" t="s">
        <v>48</v>
      </c>
      <c r="AW364" s="109" t="s">
        <v>48</v>
      </c>
      <c r="AX364" s="109" t="s">
        <v>48</v>
      </c>
      <c r="AY364" s="109" t="s">
        <v>48</v>
      </c>
      <c r="AZ364" s="166" t="s">
        <v>48</v>
      </c>
      <c r="BA364" s="162" t="s">
        <v>276</v>
      </c>
      <c r="BB364" s="109" t="s">
        <v>49</v>
      </c>
      <c r="BC364" s="79"/>
    </row>
    <row r="365" spans="1:55" ht="75" hidden="1" customHeight="1">
      <c r="A365" s="109" t="s">
        <v>2336</v>
      </c>
      <c r="B365" s="109" t="s">
        <v>2010</v>
      </c>
      <c r="C365" s="109" t="s">
        <v>119</v>
      </c>
      <c r="D365" s="109" t="s">
        <v>120</v>
      </c>
      <c r="E365" s="161">
        <v>15000</v>
      </c>
      <c r="F365" s="165" t="s">
        <v>130</v>
      </c>
      <c r="G365" s="109" t="s">
        <v>120</v>
      </c>
      <c r="H365" s="109" t="s">
        <v>1931</v>
      </c>
      <c r="I365" s="109" t="s">
        <v>2062</v>
      </c>
      <c r="J365" s="109" t="s">
        <v>629</v>
      </c>
      <c r="K365" s="109" t="s">
        <v>627</v>
      </c>
      <c r="L365" s="109" t="s">
        <v>1981</v>
      </c>
      <c r="M365" s="166" t="s">
        <v>711</v>
      </c>
      <c r="N365" s="108" t="s">
        <v>48</v>
      </c>
      <c r="O365" s="109" t="s">
        <v>48</v>
      </c>
      <c r="P365" s="162" t="s">
        <v>76</v>
      </c>
      <c r="Q365" s="109" t="s">
        <v>254</v>
      </c>
      <c r="R365" s="109" t="s">
        <v>256</v>
      </c>
      <c r="S365" s="109" t="s">
        <v>48</v>
      </c>
      <c r="T365" s="109" t="s">
        <v>584</v>
      </c>
      <c r="U365" s="109" t="s">
        <v>255</v>
      </c>
      <c r="V365" s="166" t="s">
        <v>484</v>
      </c>
      <c r="W365" s="165" t="s">
        <v>120</v>
      </c>
      <c r="X365" s="109" t="s">
        <v>120</v>
      </c>
      <c r="Y365" s="109" t="s">
        <v>48</v>
      </c>
      <c r="Z365" s="109" t="s">
        <v>48</v>
      </c>
      <c r="AA365" s="109" t="s">
        <v>48</v>
      </c>
      <c r="AB365" s="109" t="s">
        <v>48</v>
      </c>
      <c r="AC365" s="109" t="s">
        <v>48</v>
      </c>
      <c r="AD365" s="166" t="s">
        <v>48</v>
      </c>
      <c r="AE365" s="165" t="s">
        <v>48</v>
      </c>
      <c r="AF365" s="109" t="s">
        <v>48</v>
      </c>
      <c r="AG365" s="109" t="s">
        <v>48</v>
      </c>
      <c r="AH365" s="109" t="s">
        <v>48</v>
      </c>
      <c r="AI365" s="109" t="s">
        <v>48</v>
      </c>
      <c r="AJ365" s="109" t="s">
        <v>48</v>
      </c>
      <c r="AK365" s="166" t="s">
        <v>48</v>
      </c>
      <c r="AL365" s="165" t="s">
        <v>120</v>
      </c>
      <c r="AM365" s="109" t="s">
        <v>120</v>
      </c>
      <c r="AN365" s="109" t="s">
        <v>48</v>
      </c>
      <c r="AO365" s="109" t="s">
        <v>48</v>
      </c>
      <c r="AP365" s="109" t="s">
        <v>48</v>
      </c>
      <c r="AQ365" s="109" t="s">
        <v>48</v>
      </c>
      <c r="AR365" s="109" t="s">
        <v>48</v>
      </c>
      <c r="AS365" s="166" t="s">
        <v>48</v>
      </c>
      <c r="AT365" s="165" t="s">
        <v>48</v>
      </c>
      <c r="AU365" s="109" t="s">
        <v>48</v>
      </c>
      <c r="AV365" s="109" t="s">
        <v>48</v>
      </c>
      <c r="AW365" s="109" t="s">
        <v>48</v>
      </c>
      <c r="AX365" s="109" t="s">
        <v>48</v>
      </c>
      <c r="AY365" s="109" t="s">
        <v>48</v>
      </c>
      <c r="AZ365" s="166" t="s">
        <v>48</v>
      </c>
      <c r="BA365" s="162" t="s">
        <v>276</v>
      </c>
      <c r="BB365" s="109" t="s">
        <v>49</v>
      </c>
      <c r="BC365" s="79"/>
    </row>
    <row r="366" spans="1:55" ht="75" hidden="1" customHeight="1">
      <c r="A366" s="109" t="s">
        <v>2336</v>
      </c>
      <c r="B366" s="109" t="s">
        <v>2709</v>
      </c>
      <c r="C366" s="109" t="s">
        <v>119</v>
      </c>
      <c r="D366" s="109" t="s">
        <v>120</v>
      </c>
      <c r="E366" s="161">
        <v>30000</v>
      </c>
      <c r="F366" s="165" t="s">
        <v>130</v>
      </c>
      <c r="G366" s="109" t="s">
        <v>130</v>
      </c>
      <c r="H366" s="109" t="s">
        <v>131</v>
      </c>
      <c r="I366" s="109" t="s">
        <v>1908</v>
      </c>
      <c r="J366" s="109" t="s">
        <v>628</v>
      </c>
      <c r="K366" s="109" t="s">
        <v>628</v>
      </c>
      <c r="L366" s="109">
        <v>5761714</v>
      </c>
      <c r="M366" s="166" t="s">
        <v>513</v>
      </c>
      <c r="N366" s="108" t="s">
        <v>48</v>
      </c>
      <c r="O366" s="109" t="s">
        <v>48</v>
      </c>
      <c r="P366" s="162" t="s">
        <v>76</v>
      </c>
      <c r="Q366" s="109" t="s">
        <v>254</v>
      </c>
      <c r="R366" s="109" t="s">
        <v>256</v>
      </c>
      <c r="S366" s="109" t="s">
        <v>48</v>
      </c>
      <c r="T366" s="109" t="s">
        <v>586</v>
      </c>
      <c r="U366" s="109" t="s">
        <v>255</v>
      </c>
      <c r="V366" s="166" t="s">
        <v>484</v>
      </c>
      <c r="W366" s="165" t="s">
        <v>120</v>
      </c>
      <c r="X366" s="109" t="s">
        <v>120</v>
      </c>
      <c r="Y366" s="109" t="s">
        <v>48</v>
      </c>
      <c r="Z366" s="109" t="s">
        <v>48</v>
      </c>
      <c r="AA366" s="109" t="s">
        <v>48</v>
      </c>
      <c r="AB366" s="109" t="s">
        <v>48</v>
      </c>
      <c r="AC366" s="109" t="s">
        <v>48</v>
      </c>
      <c r="AD366" s="166" t="s">
        <v>48</v>
      </c>
      <c r="AE366" s="165" t="s">
        <v>48</v>
      </c>
      <c r="AF366" s="109" t="s">
        <v>48</v>
      </c>
      <c r="AG366" s="109" t="s">
        <v>48</v>
      </c>
      <c r="AH366" s="109" t="s">
        <v>48</v>
      </c>
      <c r="AI366" s="109" t="s">
        <v>48</v>
      </c>
      <c r="AJ366" s="109" t="s">
        <v>48</v>
      </c>
      <c r="AK366" s="166" t="s">
        <v>48</v>
      </c>
      <c r="AL366" s="165" t="s">
        <v>120</v>
      </c>
      <c r="AM366" s="109" t="s">
        <v>120</v>
      </c>
      <c r="AN366" s="109" t="s">
        <v>48</v>
      </c>
      <c r="AO366" s="109" t="s">
        <v>48</v>
      </c>
      <c r="AP366" s="109" t="s">
        <v>48</v>
      </c>
      <c r="AQ366" s="109" t="s">
        <v>48</v>
      </c>
      <c r="AR366" s="109" t="s">
        <v>48</v>
      </c>
      <c r="AS366" s="166" t="s">
        <v>48</v>
      </c>
      <c r="AT366" s="165" t="s">
        <v>48</v>
      </c>
      <c r="AU366" s="109" t="s">
        <v>48</v>
      </c>
      <c r="AV366" s="109" t="s">
        <v>48</v>
      </c>
      <c r="AW366" s="109" t="s">
        <v>48</v>
      </c>
      <c r="AX366" s="109" t="s">
        <v>48</v>
      </c>
      <c r="AY366" s="109" t="s">
        <v>48</v>
      </c>
      <c r="AZ366" s="166" t="s">
        <v>48</v>
      </c>
      <c r="BA366" s="162" t="s">
        <v>290</v>
      </c>
      <c r="BB366" s="109" t="s">
        <v>49</v>
      </c>
      <c r="BC366" s="79"/>
    </row>
    <row r="367" spans="1:55" ht="75" hidden="1" customHeight="1">
      <c r="A367" s="109" t="s">
        <v>2337</v>
      </c>
      <c r="B367" s="109" t="s">
        <v>2011</v>
      </c>
      <c r="C367" s="109" t="s">
        <v>119</v>
      </c>
      <c r="D367" s="109" t="s">
        <v>120</v>
      </c>
      <c r="E367" s="161">
        <v>15000</v>
      </c>
      <c r="F367" s="165" t="s">
        <v>130</v>
      </c>
      <c r="G367" s="109" t="s">
        <v>120</v>
      </c>
      <c r="H367" s="109" t="s">
        <v>1929</v>
      </c>
      <c r="I367" s="109" t="s">
        <v>2061</v>
      </c>
      <c r="J367" s="109" t="s">
        <v>629</v>
      </c>
      <c r="K367" s="109" t="s">
        <v>627</v>
      </c>
      <c r="L367" s="109" t="s">
        <v>1979</v>
      </c>
      <c r="M367" s="166" t="s">
        <v>711</v>
      </c>
      <c r="N367" s="108" t="s">
        <v>48</v>
      </c>
      <c r="O367" s="109" t="s">
        <v>48</v>
      </c>
      <c r="P367" s="162" t="s">
        <v>76</v>
      </c>
      <c r="Q367" s="109" t="s">
        <v>254</v>
      </c>
      <c r="R367" s="109" t="s">
        <v>256</v>
      </c>
      <c r="S367" s="109" t="s">
        <v>48</v>
      </c>
      <c r="T367" s="109" t="s">
        <v>584</v>
      </c>
      <c r="U367" s="109" t="s">
        <v>255</v>
      </c>
      <c r="V367" s="166" t="s">
        <v>484</v>
      </c>
      <c r="W367" s="165" t="s">
        <v>120</v>
      </c>
      <c r="X367" s="109" t="s">
        <v>120</v>
      </c>
      <c r="Y367" s="109" t="s">
        <v>48</v>
      </c>
      <c r="Z367" s="109" t="s">
        <v>48</v>
      </c>
      <c r="AA367" s="109" t="s">
        <v>48</v>
      </c>
      <c r="AB367" s="109" t="s">
        <v>48</v>
      </c>
      <c r="AC367" s="109" t="s">
        <v>48</v>
      </c>
      <c r="AD367" s="166" t="s">
        <v>48</v>
      </c>
      <c r="AE367" s="165" t="s">
        <v>48</v>
      </c>
      <c r="AF367" s="109" t="s">
        <v>48</v>
      </c>
      <c r="AG367" s="109" t="s">
        <v>48</v>
      </c>
      <c r="AH367" s="109" t="s">
        <v>48</v>
      </c>
      <c r="AI367" s="109" t="s">
        <v>48</v>
      </c>
      <c r="AJ367" s="109" t="s">
        <v>48</v>
      </c>
      <c r="AK367" s="166" t="s">
        <v>48</v>
      </c>
      <c r="AL367" s="165" t="s">
        <v>120</v>
      </c>
      <c r="AM367" s="109" t="s">
        <v>120</v>
      </c>
      <c r="AN367" s="109" t="s">
        <v>48</v>
      </c>
      <c r="AO367" s="109" t="s">
        <v>48</v>
      </c>
      <c r="AP367" s="109" t="s">
        <v>48</v>
      </c>
      <c r="AQ367" s="109" t="s">
        <v>48</v>
      </c>
      <c r="AR367" s="109" t="s">
        <v>48</v>
      </c>
      <c r="AS367" s="166" t="s">
        <v>48</v>
      </c>
      <c r="AT367" s="165" t="s">
        <v>48</v>
      </c>
      <c r="AU367" s="109" t="s">
        <v>48</v>
      </c>
      <c r="AV367" s="109" t="s">
        <v>48</v>
      </c>
      <c r="AW367" s="109" t="s">
        <v>48</v>
      </c>
      <c r="AX367" s="109" t="s">
        <v>48</v>
      </c>
      <c r="AY367" s="109" t="s">
        <v>48</v>
      </c>
      <c r="AZ367" s="166" t="s">
        <v>48</v>
      </c>
      <c r="BA367" s="162" t="s">
        <v>276</v>
      </c>
      <c r="BB367" s="109" t="s">
        <v>49</v>
      </c>
      <c r="BC367" s="79"/>
    </row>
    <row r="368" spans="1:55" ht="75" hidden="1" customHeight="1">
      <c r="A368" s="109" t="s">
        <v>2337</v>
      </c>
      <c r="B368" s="109" t="s">
        <v>2011</v>
      </c>
      <c r="C368" s="109" t="s">
        <v>119</v>
      </c>
      <c r="D368" s="109" t="s">
        <v>120</v>
      </c>
      <c r="E368" s="161">
        <v>15000</v>
      </c>
      <c r="F368" s="165" t="s">
        <v>122</v>
      </c>
      <c r="G368" s="109" t="s">
        <v>127</v>
      </c>
      <c r="H368" s="109" t="s">
        <v>2040</v>
      </c>
      <c r="I368" s="109" t="s">
        <v>1908</v>
      </c>
      <c r="J368" s="109" t="s">
        <v>629</v>
      </c>
      <c r="K368" s="109" t="s">
        <v>627</v>
      </c>
      <c r="L368" s="109" t="s">
        <v>2041</v>
      </c>
      <c r="M368" s="166" t="s">
        <v>711</v>
      </c>
      <c r="N368" s="108" t="s">
        <v>48</v>
      </c>
      <c r="O368" s="109" t="s">
        <v>48</v>
      </c>
      <c r="P368" s="162" t="s">
        <v>48</v>
      </c>
      <c r="Q368" s="109" t="s">
        <v>48</v>
      </c>
      <c r="R368" s="109" t="s">
        <v>48</v>
      </c>
      <c r="S368" s="109" t="s">
        <v>48</v>
      </c>
      <c r="T368" s="109" t="s">
        <v>48</v>
      </c>
      <c r="U368" s="109" t="s">
        <v>48</v>
      </c>
      <c r="V368" s="166" t="s">
        <v>48</v>
      </c>
      <c r="W368" s="165" t="s">
        <v>120</v>
      </c>
      <c r="X368" s="109" t="s">
        <v>120</v>
      </c>
      <c r="Y368" s="109" t="s">
        <v>48</v>
      </c>
      <c r="Z368" s="109" t="s">
        <v>48</v>
      </c>
      <c r="AA368" s="109" t="s">
        <v>48</v>
      </c>
      <c r="AB368" s="109" t="s">
        <v>48</v>
      </c>
      <c r="AC368" s="109" t="s">
        <v>48</v>
      </c>
      <c r="AD368" s="166" t="s">
        <v>48</v>
      </c>
      <c r="AE368" s="165" t="s">
        <v>48</v>
      </c>
      <c r="AF368" s="109" t="s">
        <v>48</v>
      </c>
      <c r="AG368" s="109" t="s">
        <v>48</v>
      </c>
      <c r="AH368" s="109" t="s">
        <v>48</v>
      </c>
      <c r="AI368" s="109" t="s">
        <v>48</v>
      </c>
      <c r="AJ368" s="109" t="s">
        <v>48</v>
      </c>
      <c r="AK368" s="166" t="s">
        <v>48</v>
      </c>
      <c r="AL368" s="165" t="s">
        <v>120</v>
      </c>
      <c r="AM368" s="109" t="s">
        <v>120</v>
      </c>
      <c r="AN368" s="109" t="s">
        <v>48</v>
      </c>
      <c r="AO368" s="109" t="s">
        <v>48</v>
      </c>
      <c r="AP368" s="109" t="s">
        <v>48</v>
      </c>
      <c r="AQ368" s="109" t="s">
        <v>48</v>
      </c>
      <c r="AR368" s="109" t="s">
        <v>48</v>
      </c>
      <c r="AS368" s="166" t="s">
        <v>48</v>
      </c>
      <c r="AT368" s="165" t="s">
        <v>48</v>
      </c>
      <c r="AU368" s="109" t="s">
        <v>48</v>
      </c>
      <c r="AV368" s="109" t="s">
        <v>48</v>
      </c>
      <c r="AW368" s="109" t="s">
        <v>48</v>
      </c>
      <c r="AX368" s="109" t="s">
        <v>48</v>
      </c>
      <c r="AY368" s="109" t="s">
        <v>48</v>
      </c>
      <c r="AZ368" s="166" t="s">
        <v>48</v>
      </c>
      <c r="BA368" s="162" t="s">
        <v>276</v>
      </c>
      <c r="BB368" s="109" t="s">
        <v>49</v>
      </c>
      <c r="BC368" s="79"/>
    </row>
    <row r="369" spans="1:55" ht="75" hidden="1" customHeight="1">
      <c r="A369" s="109" t="s">
        <v>2337</v>
      </c>
      <c r="B369" s="109" t="s">
        <v>2011</v>
      </c>
      <c r="C369" s="109" t="s">
        <v>119</v>
      </c>
      <c r="D369" s="109" t="s">
        <v>120</v>
      </c>
      <c r="E369" s="161">
        <v>15000</v>
      </c>
      <c r="F369" s="165" t="s">
        <v>130</v>
      </c>
      <c r="G369" s="109" t="s">
        <v>120</v>
      </c>
      <c r="H369" s="109" t="s">
        <v>1930</v>
      </c>
      <c r="I369" s="109" t="s">
        <v>2042</v>
      </c>
      <c r="J369" s="109" t="s">
        <v>629</v>
      </c>
      <c r="K369" s="109" t="s">
        <v>627</v>
      </c>
      <c r="L369" s="109" t="s">
        <v>1980</v>
      </c>
      <c r="M369" s="166" t="s">
        <v>711</v>
      </c>
      <c r="N369" s="108" t="s">
        <v>48</v>
      </c>
      <c r="O369" s="109" t="s">
        <v>48</v>
      </c>
      <c r="P369" s="162" t="s">
        <v>76</v>
      </c>
      <c r="Q369" s="109" t="s">
        <v>254</v>
      </c>
      <c r="R369" s="109" t="s">
        <v>256</v>
      </c>
      <c r="S369" s="109" t="s">
        <v>48</v>
      </c>
      <c r="T369" s="109" t="s">
        <v>584</v>
      </c>
      <c r="U369" s="109" t="s">
        <v>255</v>
      </c>
      <c r="V369" s="166" t="s">
        <v>484</v>
      </c>
      <c r="W369" s="165" t="s">
        <v>120</v>
      </c>
      <c r="X369" s="109" t="s">
        <v>120</v>
      </c>
      <c r="Y369" s="109" t="s">
        <v>48</v>
      </c>
      <c r="Z369" s="109" t="s">
        <v>48</v>
      </c>
      <c r="AA369" s="109" t="s">
        <v>48</v>
      </c>
      <c r="AB369" s="109" t="s">
        <v>48</v>
      </c>
      <c r="AC369" s="109" t="s">
        <v>48</v>
      </c>
      <c r="AD369" s="166" t="s">
        <v>48</v>
      </c>
      <c r="AE369" s="165" t="s">
        <v>48</v>
      </c>
      <c r="AF369" s="109" t="s">
        <v>48</v>
      </c>
      <c r="AG369" s="109" t="s">
        <v>48</v>
      </c>
      <c r="AH369" s="109" t="s">
        <v>48</v>
      </c>
      <c r="AI369" s="109" t="s">
        <v>48</v>
      </c>
      <c r="AJ369" s="109" t="s">
        <v>48</v>
      </c>
      <c r="AK369" s="166" t="s">
        <v>48</v>
      </c>
      <c r="AL369" s="165" t="s">
        <v>120</v>
      </c>
      <c r="AM369" s="109" t="s">
        <v>120</v>
      </c>
      <c r="AN369" s="109" t="s">
        <v>48</v>
      </c>
      <c r="AO369" s="109" t="s">
        <v>48</v>
      </c>
      <c r="AP369" s="109" t="s">
        <v>48</v>
      </c>
      <c r="AQ369" s="109" t="s">
        <v>48</v>
      </c>
      <c r="AR369" s="109" t="s">
        <v>48</v>
      </c>
      <c r="AS369" s="166" t="s">
        <v>48</v>
      </c>
      <c r="AT369" s="165" t="s">
        <v>48</v>
      </c>
      <c r="AU369" s="109" t="s">
        <v>48</v>
      </c>
      <c r="AV369" s="109" t="s">
        <v>48</v>
      </c>
      <c r="AW369" s="109" t="s">
        <v>48</v>
      </c>
      <c r="AX369" s="109" t="s">
        <v>48</v>
      </c>
      <c r="AY369" s="109" t="s">
        <v>48</v>
      </c>
      <c r="AZ369" s="166" t="s">
        <v>48</v>
      </c>
      <c r="BA369" s="162" t="s">
        <v>276</v>
      </c>
      <c r="BB369" s="109" t="s">
        <v>49</v>
      </c>
      <c r="BC369" s="79"/>
    </row>
    <row r="370" spans="1:55" ht="75" hidden="1" customHeight="1">
      <c r="A370" s="109" t="s">
        <v>2337</v>
      </c>
      <c r="B370" s="109" t="s">
        <v>2011</v>
      </c>
      <c r="C370" s="109" t="s">
        <v>119</v>
      </c>
      <c r="D370" s="109" t="s">
        <v>120</v>
      </c>
      <c r="E370" s="161">
        <v>15000</v>
      </c>
      <c r="F370" s="165" t="s">
        <v>130</v>
      </c>
      <c r="G370" s="109" t="s">
        <v>120</v>
      </c>
      <c r="H370" s="109" t="s">
        <v>1931</v>
      </c>
      <c r="I370" s="109" t="s">
        <v>2062</v>
      </c>
      <c r="J370" s="109" t="s">
        <v>629</v>
      </c>
      <c r="K370" s="109" t="s">
        <v>627</v>
      </c>
      <c r="L370" s="109" t="s">
        <v>1981</v>
      </c>
      <c r="M370" s="166" t="s">
        <v>711</v>
      </c>
      <c r="N370" s="108" t="s">
        <v>48</v>
      </c>
      <c r="O370" s="109" t="s">
        <v>48</v>
      </c>
      <c r="P370" s="162" t="s">
        <v>76</v>
      </c>
      <c r="Q370" s="109" t="s">
        <v>254</v>
      </c>
      <c r="R370" s="109" t="s">
        <v>256</v>
      </c>
      <c r="S370" s="109" t="s">
        <v>48</v>
      </c>
      <c r="T370" s="109" t="s">
        <v>584</v>
      </c>
      <c r="U370" s="109" t="s">
        <v>255</v>
      </c>
      <c r="V370" s="166" t="s">
        <v>484</v>
      </c>
      <c r="W370" s="165" t="s">
        <v>120</v>
      </c>
      <c r="X370" s="109" t="s">
        <v>120</v>
      </c>
      <c r="Y370" s="109" t="s">
        <v>48</v>
      </c>
      <c r="Z370" s="109" t="s">
        <v>48</v>
      </c>
      <c r="AA370" s="109" t="s">
        <v>48</v>
      </c>
      <c r="AB370" s="109" t="s">
        <v>48</v>
      </c>
      <c r="AC370" s="109" t="s">
        <v>48</v>
      </c>
      <c r="AD370" s="166" t="s">
        <v>48</v>
      </c>
      <c r="AE370" s="165" t="s">
        <v>48</v>
      </c>
      <c r="AF370" s="109" t="s">
        <v>48</v>
      </c>
      <c r="AG370" s="109" t="s">
        <v>48</v>
      </c>
      <c r="AH370" s="109" t="s">
        <v>48</v>
      </c>
      <c r="AI370" s="109" t="s">
        <v>48</v>
      </c>
      <c r="AJ370" s="109" t="s">
        <v>48</v>
      </c>
      <c r="AK370" s="166" t="s">
        <v>48</v>
      </c>
      <c r="AL370" s="165" t="s">
        <v>120</v>
      </c>
      <c r="AM370" s="109" t="s">
        <v>120</v>
      </c>
      <c r="AN370" s="109" t="s">
        <v>48</v>
      </c>
      <c r="AO370" s="109" t="s">
        <v>48</v>
      </c>
      <c r="AP370" s="109" t="s">
        <v>48</v>
      </c>
      <c r="AQ370" s="109" t="s">
        <v>48</v>
      </c>
      <c r="AR370" s="109" t="s">
        <v>48</v>
      </c>
      <c r="AS370" s="166" t="s">
        <v>48</v>
      </c>
      <c r="AT370" s="165" t="s">
        <v>48</v>
      </c>
      <c r="AU370" s="109" t="s">
        <v>48</v>
      </c>
      <c r="AV370" s="109" t="s">
        <v>48</v>
      </c>
      <c r="AW370" s="109" t="s">
        <v>48</v>
      </c>
      <c r="AX370" s="109" t="s">
        <v>48</v>
      </c>
      <c r="AY370" s="109" t="s">
        <v>48</v>
      </c>
      <c r="AZ370" s="166" t="s">
        <v>48</v>
      </c>
      <c r="BA370" s="162" t="s">
        <v>276</v>
      </c>
      <c r="BB370" s="109" t="s">
        <v>49</v>
      </c>
      <c r="BC370" s="79"/>
    </row>
    <row r="371" spans="1:55" ht="75" hidden="1" customHeight="1">
      <c r="A371" s="109" t="s">
        <v>2338</v>
      </c>
      <c r="B371" s="109" t="s">
        <v>2012</v>
      </c>
      <c r="C371" s="109" t="s">
        <v>119</v>
      </c>
      <c r="D371" s="109" t="s">
        <v>120</v>
      </c>
      <c r="E371" s="161">
        <v>15000</v>
      </c>
      <c r="F371" s="165" t="s">
        <v>130</v>
      </c>
      <c r="G371" s="109" t="s">
        <v>130</v>
      </c>
      <c r="H371" s="109" t="s">
        <v>1929</v>
      </c>
      <c r="I371" s="109" t="s">
        <v>2061</v>
      </c>
      <c r="J371" s="109" t="s">
        <v>629</v>
      </c>
      <c r="K371" s="109" t="s">
        <v>627</v>
      </c>
      <c r="L371" s="109" t="s">
        <v>1979</v>
      </c>
      <c r="M371" s="166" t="s">
        <v>711</v>
      </c>
      <c r="N371" s="108" t="s">
        <v>48</v>
      </c>
      <c r="O371" s="109" t="s">
        <v>48</v>
      </c>
      <c r="P371" s="162" t="s">
        <v>76</v>
      </c>
      <c r="Q371" s="109" t="s">
        <v>254</v>
      </c>
      <c r="R371" s="109" t="s">
        <v>256</v>
      </c>
      <c r="S371" s="109" t="s">
        <v>48</v>
      </c>
      <c r="T371" s="109" t="s">
        <v>584</v>
      </c>
      <c r="U371" s="109" t="s">
        <v>255</v>
      </c>
      <c r="V371" s="166" t="s">
        <v>484</v>
      </c>
      <c r="W371" s="165" t="s">
        <v>120</v>
      </c>
      <c r="X371" s="109" t="s">
        <v>120</v>
      </c>
      <c r="Y371" s="109" t="s">
        <v>48</v>
      </c>
      <c r="Z371" s="109" t="s">
        <v>48</v>
      </c>
      <c r="AA371" s="109" t="s">
        <v>48</v>
      </c>
      <c r="AB371" s="109" t="s">
        <v>48</v>
      </c>
      <c r="AC371" s="109" t="s">
        <v>48</v>
      </c>
      <c r="AD371" s="166" t="s">
        <v>48</v>
      </c>
      <c r="AE371" s="165" t="s">
        <v>48</v>
      </c>
      <c r="AF371" s="109" t="s">
        <v>48</v>
      </c>
      <c r="AG371" s="109" t="s">
        <v>48</v>
      </c>
      <c r="AH371" s="109" t="s">
        <v>48</v>
      </c>
      <c r="AI371" s="109" t="s">
        <v>48</v>
      </c>
      <c r="AJ371" s="109" t="s">
        <v>48</v>
      </c>
      <c r="AK371" s="166" t="s">
        <v>48</v>
      </c>
      <c r="AL371" s="165" t="s">
        <v>120</v>
      </c>
      <c r="AM371" s="109" t="s">
        <v>120</v>
      </c>
      <c r="AN371" s="109" t="s">
        <v>48</v>
      </c>
      <c r="AO371" s="109" t="s">
        <v>48</v>
      </c>
      <c r="AP371" s="109" t="s">
        <v>48</v>
      </c>
      <c r="AQ371" s="109" t="s">
        <v>48</v>
      </c>
      <c r="AR371" s="109" t="s">
        <v>48</v>
      </c>
      <c r="AS371" s="166" t="s">
        <v>48</v>
      </c>
      <c r="AT371" s="165" t="s">
        <v>48</v>
      </c>
      <c r="AU371" s="109" t="s">
        <v>48</v>
      </c>
      <c r="AV371" s="109" t="s">
        <v>48</v>
      </c>
      <c r="AW371" s="109" t="s">
        <v>48</v>
      </c>
      <c r="AX371" s="109" t="s">
        <v>48</v>
      </c>
      <c r="AY371" s="109" t="s">
        <v>48</v>
      </c>
      <c r="AZ371" s="166" t="s">
        <v>48</v>
      </c>
      <c r="BA371" s="162" t="s">
        <v>276</v>
      </c>
      <c r="BB371" s="109" t="s">
        <v>49</v>
      </c>
      <c r="BC371" s="79"/>
    </row>
    <row r="372" spans="1:55" ht="75" hidden="1" customHeight="1">
      <c r="A372" s="109" t="s">
        <v>2338</v>
      </c>
      <c r="B372" s="109" t="s">
        <v>2012</v>
      </c>
      <c r="C372" s="109" t="s">
        <v>119</v>
      </c>
      <c r="D372" s="109" t="s">
        <v>120</v>
      </c>
      <c r="E372" s="161">
        <v>15000</v>
      </c>
      <c r="F372" s="165" t="s">
        <v>127</v>
      </c>
      <c r="G372" s="109" t="s">
        <v>127</v>
      </c>
      <c r="H372" s="109" t="s">
        <v>2040</v>
      </c>
      <c r="I372" s="109" t="s">
        <v>1908</v>
      </c>
      <c r="J372" s="109" t="s">
        <v>629</v>
      </c>
      <c r="K372" s="109" t="s">
        <v>627</v>
      </c>
      <c r="L372" s="109" t="s">
        <v>2041</v>
      </c>
      <c r="M372" s="166" t="s">
        <v>711</v>
      </c>
      <c r="N372" s="108" t="s">
        <v>48</v>
      </c>
      <c r="O372" s="109" t="s">
        <v>48</v>
      </c>
      <c r="P372" s="162" t="s">
        <v>48</v>
      </c>
      <c r="Q372" s="109" t="s">
        <v>48</v>
      </c>
      <c r="R372" s="109" t="s">
        <v>48</v>
      </c>
      <c r="S372" s="109" t="s">
        <v>48</v>
      </c>
      <c r="T372" s="109" t="s">
        <v>48</v>
      </c>
      <c r="U372" s="109" t="s">
        <v>48</v>
      </c>
      <c r="V372" s="166" t="s">
        <v>48</v>
      </c>
      <c r="W372" s="165" t="s">
        <v>120</v>
      </c>
      <c r="X372" s="109" t="s">
        <v>120</v>
      </c>
      <c r="Y372" s="109" t="s">
        <v>48</v>
      </c>
      <c r="Z372" s="109" t="s">
        <v>48</v>
      </c>
      <c r="AA372" s="109" t="s">
        <v>48</v>
      </c>
      <c r="AB372" s="109" t="s">
        <v>48</v>
      </c>
      <c r="AC372" s="109" t="s">
        <v>48</v>
      </c>
      <c r="AD372" s="166" t="s">
        <v>48</v>
      </c>
      <c r="AE372" s="165" t="s">
        <v>48</v>
      </c>
      <c r="AF372" s="109" t="s">
        <v>48</v>
      </c>
      <c r="AG372" s="109" t="s">
        <v>48</v>
      </c>
      <c r="AH372" s="109" t="s">
        <v>48</v>
      </c>
      <c r="AI372" s="109" t="s">
        <v>48</v>
      </c>
      <c r="AJ372" s="109" t="s">
        <v>48</v>
      </c>
      <c r="AK372" s="166" t="s">
        <v>48</v>
      </c>
      <c r="AL372" s="165" t="s">
        <v>120</v>
      </c>
      <c r="AM372" s="109" t="s">
        <v>120</v>
      </c>
      <c r="AN372" s="109" t="s">
        <v>48</v>
      </c>
      <c r="AO372" s="109" t="s">
        <v>48</v>
      </c>
      <c r="AP372" s="109" t="s">
        <v>48</v>
      </c>
      <c r="AQ372" s="109" t="s">
        <v>48</v>
      </c>
      <c r="AR372" s="109" t="s">
        <v>48</v>
      </c>
      <c r="AS372" s="166" t="s">
        <v>48</v>
      </c>
      <c r="AT372" s="165" t="s">
        <v>48</v>
      </c>
      <c r="AU372" s="109" t="s">
        <v>48</v>
      </c>
      <c r="AV372" s="109" t="s">
        <v>48</v>
      </c>
      <c r="AW372" s="109" t="s">
        <v>48</v>
      </c>
      <c r="AX372" s="109" t="s">
        <v>48</v>
      </c>
      <c r="AY372" s="109" t="s">
        <v>48</v>
      </c>
      <c r="AZ372" s="166" t="s">
        <v>48</v>
      </c>
      <c r="BA372" s="162" t="s">
        <v>276</v>
      </c>
      <c r="BB372" s="109" t="s">
        <v>49</v>
      </c>
      <c r="BC372" s="79"/>
    </row>
    <row r="373" spans="1:55" ht="75" hidden="1" customHeight="1">
      <c r="A373" s="109" t="s">
        <v>2338</v>
      </c>
      <c r="B373" s="109" t="s">
        <v>2012</v>
      </c>
      <c r="C373" s="109" t="s">
        <v>119</v>
      </c>
      <c r="D373" s="109" t="s">
        <v>120</v>
      </c>
      <c r="E373" s="161">
        <v>15000</v>
      </c>
      <c r="F373" s="165" t="s">
        <v>130</v>
      </c>
      <c r="G373" s="109" t="s">
        <v>130</v>
      </c>
      <c r="H373" s="109" t="s">
        <v>1930</v>
      </c>
      <c r="I373" s="109" t="s">
        <v>2042</v>
      </c>
      <c r="J373" s="109" t="s">
        <v>629</v>
      </c>
      <c r="K373" s="109" t="s">
        <v>629</v>
      </c>
      <c r="L373" s="109" t="s">
        <v>1980</v>
      </c>
      <c r="M373" s="166" t="s">
        <v>711</v>
      </c>
      <c r="N373" s="108" t="s">
        <v>48</v>
      </c>
      <c r="O373" s="109" t="s">
        <v>48</v>
      </c>
      <c r="P373" s="162" t="s">
        <v>76</v>
      </c>
      <c r="Q373" s="109" t="s">
        <v>254</v>
      </c>
      <c r="R373" s="109" t="s">
        <v>256</v>
      </c>
      <c r="S373" s="109" t="s">
        <v>48</v>
      </c>
      <c r="T373" s="109" t="s">
        <v>584</v>
      </c>
      <c r="U373" s="109" t="s">
        <v>255</v>
      </c>
      <c r="V373" s="166" t="s">
        <v>484</v>
      </c>
      <c r="W373" s="165" t="s">
        <v>120</v>
      </c>
      <c r="X373" s="109" t="s">
        <v>120</v>
      </c>
      <c r="Y373" s="109" t="s">
        <v>48</v>
      </c>
      <c r="Z373" s="109" t="s">
        <v>48</v>
      </c>
      <c r="AA373" s="109" t="s">
        <v>48</v>
      </c>
      <c r="AB373" s="109" t="s">
        <v>48</v>
      </c>
      <c r="AC373" s="109" t="s">
        <v>48</v>
      </c>
      <c r="AD373" s="166" t="s">
        <v>48</v>
      </c>
      <c r="AE373" s="165" t="s">
        <v>48</v>
      </c>
      <c r="AF373" s="109" t="s">
        <v>48</v>
      </c>
      <c r="AG373" s="109" t="s">
        <v>48</v>
      </c>
      <c r="AH373" s="109" t="s">
        <v>48</v>
      </c>
      <c r="AI373" s="109" t="s">
        <v>48</v>
      </c>
      <c r="AJ373" s="109" t="s">
        <v>48</v>
      </c>
      <c r="AK373" s="166" t="s">
        <v>48</v>
      </c>
      <c r="AL373" s="165" t="s">
        <v>120</v>
      </c>
      <c r="AM373" s="109" t="s">
        <v>120</v>
      </c>
      <c r="AN373" s="109" t="s">
        <v>48</v>
      </c>
      <c r="AO373" s="109" t="s">
        <v>48</v>
      </c>
      <c r="AP373" s="109" t="s">
        <v>48</v>
      </c>
      <c r="AQ373" s="109" t="s">
        <v>48</v>
      </c>
      <c r="AR373" s="109" t="s">
        <v>48</v>
      </c>
      <c r="AS373" s="166" t="s">
        <v>48</v>
      </c>
      <c r="AT373" s="165" t="s">
        <v>48</v>
      </c>
      <c r="AU373" s="109" t="s">
        <v>48</v>
      </c>
      <c r="AV373" s="109" t="s">
        <v>48</v>
      </c>
      <c r="AW373" s="109" t="s">
        <v>48</v>
      </c>
      <c r="AX373" s="109" t="s">
        <v>48</v>
      </c>
      <c r="AY373" s="109" t="s">
        <v>48</v>
      </c>
      <c r="AZ373" s="166" t="s">
        <v>48</v>
      </c>
      <c r="BA373" s="162" t="s">
        <v>276</v>
      </c>
      <c r="BB373" s="109" t="s">
        <v>49</v>
      </c>
      <c r="BC373" s="79"/>
    </row>
    <row r="374" spans="1:55" ht="75" hidden="1" customHeight="1">
      <c r="A374" s="109" t="s">
        <v>2338</v>
      </c>
      <c r="B374" s="109" t="s">
        <v>2012</v>
      </c>
      <c r="C374" s="109" t="s">
        <v>119</v>
      </c>
      <c r="D374" s="109" t="s">
        <v>120</v>
      </c>
      <c r="E374" s="161">
        <v>15000</v>
      </c>
      <c r="F374" s="165" t="s">
        <v>130</v>
      </c>
      <c r="G374" s="109" t="s">
        <v>130</v>
      </c>
      <c r="H374" s="109" t="s">
        <v>1931</v>
      </c>
      <c r="I374" s="109" t="s">
        <v>2062</v>
      </c>
      <c r="J374" s="109" t="s">
        <v>629</v>
      </c>
      <c r="K374" s="109" t="s">
        <v>627</v>
      </c>
      <c r="L374" s="109" t="s">
        <v>1981</v>
      </c>
      <c r="M374" s="166" t="s">
        <v>711</v>
      </c>
      <c r="N374" s="108" t="s">
        <v>48</v>
      </c>
      <c r="O374" s="109" t="s">
        <v>48</v>
      </c>
      <c r="P374" s="162" t="s">
        <v>76</v>
      </c>
      <c r="Q374" s="109" t="s">
        <v>254</v>
      </c>
      <c r="R374" s="109" t="s">
        <v>256</v>
      </c>
      <c r="S374" s="109" t="s">
        <v>48</v>
      </c>
      <c r="T374" s="109" t="s">
        <v>584</v>
      </c>
      <c r="U374" s="109" t="s">
        <v>255</v>
      </c>
      <c r="V374" s="166" t="s">
        <v>484</v>
      </c>
      <c r="W374" s="165" t="s">
        <v>120</v>
      </c>
      <c r="X374" s="109" t="s">
        <v>120</v>
      </c>
      <c r="Y374" s="109" t="s">
        <v>48</v>
      </c>
      <c r="Z374" s="109" t="s">
        <v>48</v>
      </c>
      <c r="AA374" s="109" t="s">
        <v>48</v>
      </c>
      <c r="AB374" s="109" t="s">
        <v>48</v>
      </c>
      <c r="AC374" s="109" t="s">
        <v>48</v>
      </c>
      <c r="AD374" s="166" t="s">
        <v>48</v>
      </c>
      <c r="AE374" s="165" t="s">
        <v>48</v>
      </c>
      <c r="AF374" s="109" t="s">
        <v>48</v>
      </c>
      <c r="AG374" s="109" t="s">
        <v>48</v>
      </c>
      <c r="AH374" s="109" t="s">
        <v>48</v>
      </c>
      <c r="AI374" s="109" t="s">
        <v>48</v>
      </c>
      <c r="AJ374" s="109" t="s">
        <v>48</v>
      </c>
      <c r="AK374" s="166" t="s">
        <v>48</v>
      </c>
      <c r="AL374" s="165" t="s">
        <v>120</v>
      </c>
      <c r="AM374" s="109" t="s">
        <v>120</v>
      </c>
      <c r="AN374" s="109" t="s">
        <v>48</v>
      </c>
      <c r="AO374" s="109" t="s">
        <v>48</v>
      </c>
      <c r="AP374" s="109" t="s">
        <v>48</v>
      </c>
      <c r="AQ374" s="109" t="s">
        <v>48</v>
      </c>
      <c r="AR374" s="109" t="s">
        <v>48</v>
      </c>
      <c r="AS374" s="166" t="s">
        <v>48</v>
      </c>
      <c r="AT374" s="165" t="s">
        <v>48</v>
      </c>
      <c r="AU374" s="109" t="s">
        <v>48</v>
      </c>
      <c r="AV374" s="109" t="s">
        <v>48</v>
      </c>
      <c r="AW374" s="109" t="s">
        <v>48</v>
      </c>
      <c r="AX374" s="109" t="s">
        <v>48</v>
      </c>
      <c r="AY374" s="109" t="s">
        <v>48</v>
      </c>
      <c r="AZ374" s="166" t="s">
        <v>48</v>
      </c>
      <c r="BA374" s="162" t="s">
        <v>276</v>
      </c>
      <c r="BB374" s="109" t="s">
        <v>49</v>
      </c>
      <c r="BC374" s="79"/>
    </row>
    <row r="375" spans="1:55" ht="75" hidden="1" customHeight="1">
      <c r="A375" s="109" t="s">
        <v>2336</v>
      </c>
      <c r="B375" s="109" t="s">
        <v>2010</v>
      </c>
      <c r="C375" s="109" t="s">
        <v>119</v>
      </c>
      <c r="D375" s="109" t="s">
        <v>122</v>
      </c>
      <c r="E375" s="161">
        <v>15000</v>
      </c>
      <c r="F375" s="165" t="s">
        <v>130</v>
      </c>
      <c r="G375" s="109" t="s">
        <v>122</v>
      </c>
      <c r="H375" s="109" t="s">
        <v>1929</v>
      </c>
      <c r="I375" s="109" t="s">
        <v>2061</v>
      </c>
      <c r="J375" s="109" t="s">
        <v>629</v>
      </c>
      <c r="K375" s="109" t="s">
        <v>627</v>
      </c>
      <c r="L375" s="109" t="s">
        <v>1979</v>
      </c>
      <c r="M375" s="166" t="s">
        <v>711</v>
      </c>
      <c r="N375" s="108" t="s">
        <v>48</v>
      </c>
      <c r="O375" s="109" t="s">
        <v>48</v>
      </c>
      <c r="P375" s="162" t="s">
        <v>76</v>
      </c>
      <c r="Q375" s="109" t="s">
        <v>252</v>
      </c>
      <c r="R375" s="109" t="s">
        <v>445</v>
      </c>
      <c r="S375" s="109" t="s">
        <v>48</v>
      </c>
      <c r="T375" s="109"/>
      <c r="U375" s="109" t="s">
        <v>468</v>
      </c>
      <c r="V375" s="166" t="s">
        <v>469</v>
      </c>
      <c r="W375" s="165" t="s">
        <v>122</v>
      </c>
      <c r="X375" s="109" t="s">
        <v>122</v>
      </c>
      <c r="Y375" s="109" t="s">
        <v>48</v>
      </c>
      <c r="Z375" s="109" t="s">
        <v>48</v>
      </c>
      <c r="AA375" s="109" t="s">
        <v>48</v>
      </c>
      <c r="AB375" s="109" t="s">
        <v>48</v>
      </c>
      <c r="AC375" s="109" t="s">
        <v>48</v>
      </c>
      <c r="AD375" s="166" t="s">
        <v>48</v>
      </c>
      <c r="AE375" s="165" t="s">
        <v>48</v>
      </c>
      <c r="AF375" s="109" t="s">
        <v>48</v>
      </c>
      <c r="AG375" s="109" t="s">
        <v>48</v>
      </c>
      <c r="AH375" s="109" t="s">
        <v>48</v>
      </c>
      <c r="AI375" s="109" t="s">
        <v>48</v>
      </c>
      <c r="AJ375" s="109" t="s">
        <v>48</v>
      </c>
      <c r="AK375" s="166" t="s">
        <v>48</v>
      </c>
      <c r="AL375" s="165" t="s">
        <v>122</v>
      </c>
      <c r="AM375" s="109" t="s">
        <v>122</v>
      </c>
      <c r="AN375" s="109" t="s">
        <v>48</v>
      </c>
      <c r="AO375" s="109" t="s">
        <v>48</v>
      </c>
      <c r="AP375" s="109" t="s">
        <v>48</v>
      </c>
      <c r="AQ375" s="109" t="s">
        <v>48</v>
      </c>
      <c r="AR375" s="109" t="s">
        <v>48</v>
      </c>
      <c r="AS375" s="166" t="s">
        <v>48</v>
      </c>
      <c r="AT375" s="165" t="s">
        <v>48</v>
      </c>
      <c r="AU375" s="109" t="s">
        <v>48</v>
      </c>
      <c r="AV375" s="109" t="s">
        <v>48</v>
      </c>
      <c r="AW375" s="109" t="s">
        <v>48</v>
      </c>
      <c r="AX375" s="109" t="s">
        <v>48</v>
      </c>
      <c r="AY375" s="109" t="s">
        <v>48</v>
      </c>
      <c r="AZ375" s="166" t="s">
        <v>48</v>
      </c>
      <c r="BA375" s="162" t="s">
        <v>276</v>
      </c>
      <c r="BB375" s="109" t="s">
        <v>49</v>
      </c>
      <c r="BC375" s="79"/>
    </row>
    <row r="376" spans="1:55" ht="75" hidden="1" customHeight="1">
      <c r="A376" s="109" t="s">
        <v>2336</v>
      </c>
      <c r="B376" s="109" t="s">
        <v>2010</v>
      </c>
      <c r="C376" s="109" t="s">
        <v>119</v>
      </c>
      <c r="D376" s="109" t="s">
        <v>122</v>
      </c>
      <c r="E376" s="161">
        <v>15000</v>
      </c>
      <c r="F376" s="165" t="s">
        <v>122</v>
      </c>
      <c r="G376" s="109" t="s">
        <v>127</v>
      </c>
      <c r="H376" s="109" t="s">
        <v>2040</v>
      </c>
      <c r="I376" s="109" t="s">
        <v>1908</v>
      </c>
      <c r="J376" s="109" t="s">
        <v>629</v>
      </c>
      <c r="K376" s="109" t="s">
        <v>627</v>
      </c>
      <c r="L376" s="109" t="s">
        <v>2041</v>
      </c>
      <c r="M376" s="166" t="s">
        <v>711</v>
      </c>
      <c r="N376" s="108" t="s">
        <v>48</v>
      </c>
      <c r="O376" s="109" t="s">
        <v>48</v>
      </c>
      <c r="P376" s="162" t="s">
        <v>48</v>
      </c>
      <c r="Q376" s="109" t="s">
        <v>48</v>
      </c>
      <c r="R376" s="109" t="s">
        <v>48</v>
      </c>
      <c r="S376" s="109" t="s">
        <v>48</v>
      </c>
      <c r="T376" s="109" t="s">
        <v>48</v>
      </c>
      <c r="U376" s="109" t="s">
        <v>48</v>
      </c>
      <c r="V376" s="166" t="s">
        <v>48</v>
      </c>
      <c r="W376" s="165" t="s">
        <v>122</v>
      </c>
      <c r="X376" s="109" t="s">
        <v>122</v>
      </c>
      <c r="Y376" s="109" t="s">
        <v>48</v>
      </c>
      <c r="Z376" s="109" t="s">
        <v>48</v>
      </c>
      <c r="AA376" s="109" t="s">
        <v>48</v>
      </c>
      <c r="AB376" s="109" t="s">
        <v>48</v>
      </c>
      <c r="AC376" s="109" t="s">
        <v>48</v>
      </c>
      <c r="AD376" s="166" t="s">
        <v>48</v>
      </c>
      <c r="AE376" s="165" t="s">
        <v>48</v>
      </c>
      <c r="AF376" s="109" t="s">
        <v>48</v>
      </c>
      <c r="AG376" s="109" t="s">
        <v>48</v>
      </c>
      <c r="AH376" s="109" t="s">
        <v>48</v>
      </c>
      <c r="AI376" s="109" t="s">
        <v>48</v>
      </c>
      <c r="AJ376" s="109" t="s">
        <v>48</v>
      </c>
      <c r="AK376" s="166" t="s">
        <v>48</v>
      </c>
      <c r="AL376" s="165" t="s">
        <v>122</v>
      </c>
      <c r="AM376" s="109" t="s">
        <v>122</v>
      </c>
      <c r="AN376" s="109" t="s">
        <v>48</v>
      </c>
      <c r="AO376" s="109" t="s">
        <v>48</v>
      </c>
      <c r="AP376" s="109" t="s">
        <v>48</v>
      </c>
      <c r="AQ376" s="109" t="s">
        <v>48</v>
      </c>
      <c r="AR376" s="109" t="s">
        <v>48</v>
      </c>
      <c r="AS376" s="166" t="s">
        <v>48</v>
      </c>
      <c r="AT376" s="165" t="s">
        <v>48</v>
      </c>
      <c r="AU376" s="109" t="s">
        <v>48</v>
      </c>
      <c r="AV376" s="109" t="s">
        <v>48</v>
      </c>
      <c r="AW376" s="109" t="s">
        <v>48</v>
      </c>
      <c r="AX376" s="109" t="s">
        <v>48</v>
      </c>
      <c r="AY376" s="109" t="s">
        <v>48</v>
      </c>
      <c r="AZ376" s="166" t="s">
        <v>48</v>
      </c>
      <c r="BA376" s="162" t="s">
        <v>276</v>
      </c>
      <c r="BB376" s="109" t="s">
        <v>49</v>
      </c>
      <c r="BC376" s="79"/>
    </row>
    <row r="377" spans="1:55" ht="75" hidden="1" customHeight="1">
      <c r="A377" s="109" t="s">
        <v>2336</v>
      </c>
      <c r="B377" s="109" t="s">
        <v>2010</v>
      </c>
      <c r="C377" s="109" t="s">
        <v>119</v>
      </c>
      <c r="D377" s="109" t="s">
        <v>122</v>
      </c>
      <c r="E377" s="161">
        <v>15000</v>
      </c>
      <c r="F377" s="165" t="s">
        <v>130</v>
      </c>
      <c r="G377" s="109" t="s">
        <v>122</v>
      </c>
      <c r="H377" s="109" t="s">
        <v>1930</v>
      </c>
      <c r="I377" s="109" t="s">
        <v>2042</v>
      </c>
      <c r="J377" s="109" t="s">
        <v>629</v>
      </c>
      <c r="K377" s="109" t="s">
        <v>627</v>
      </c>
      <c r="L377" s="109" t="s">
        <v>1980</v>
      </c>
      <c r="M377" s="166" t="s">
        <v>711</v>
      </c>
      <c r="N377" s="108" t="s">
        <v>48</v>
      </c>
      <c r="O377" s="109" t="s">
        <v>48</v>
      </c>
      <c r="P377" s="162" t="s">
        <v>76</v>
      </c>
      <c r="Q377" s="109" t="s">
        <v>252</v>
      </c>
      <c r="R377" s="109" t="s">
        <v>445</v>
      </c>
      <c r="S377" s="109" t="s">
        <v>48</v>
      </c>
      <c r="T377" s="109"/>
      <c r="U377" s="109" t="s">
        <v>468</v>
      </c>
      <c r="V377" s="166" t="s">
        <v>469</v>
      </c>
      <c r="W377" s="165" t="s">
        <v>122</v>
      </c>
      <c r="X377" s="109" t="s">
        <v>122</v>
      </c>
      <c r="Y377" s="109" t="s">
        <v>48</v>
      </c>
      <c r="Z377" s="109" t="s">
        <v>48</v>
      </c>
      <c r="AA377" s="109" t="s">
        <v>48</v>
      </c>
      <c r="AB377" s="109" t="s">
        <v>48</v>
      </c>
      <c r="AC377" s="109" t="s">
        <v>48</v>
      </c>
      <c r="AD377" s="166" t="s">
        <v>48</v>
      </c>
      <c r="AE377" s="165" t="s">
        <v>48</v>
      </c>
      <c r="AF377" s="109" t="s">
        <v>48</v>
      </c>
      <c r="AG377" s="109" t="s">
        <v>48</v>
      </c>
      <c r="AH377" s="109" t="s">
        <v>48</v>
      </c>
      <c r="AI377" s="109" t="s">
        <v>48</v>
      </c>
      <c r="AJ377" s="109" t="s">
        <v>48</v>
      </c>
      <c r="AK377" s="166" t="s">
        <v>48</v>
      </c>
      <c r="AL377" s="165" t="s">
        <v>122</v>
      </c>
      <c r="AM377" s="109" t="s">
        <v>122</v>
      </c>
      <c r="AN377" s="109" t="s">
        <v>48</v>
      </c>
      <c r="AO377" s="109" t="s">
        <v>48</v>
      </c>
      <c r="AP377" s="109" t="s">
        <v>48</v>
      </c>
      <c r="AQ377" s="109" t="s">
        <v>48</v>
      </c>
      <c r="AR377" s="109" t="s">
        <v>48</v>
      </c>
      <c r="AS377" s="166" t="s">
        <v>48</v>
      </c>
      <c r="AT377" s="165" t="s">
        <v>48</v>
      </c>
      <c r="AU377" s="109" t="s">
        <v>48</v>
      </c>
      <c r="AV377" s="109" t="s">
        <v>48</v>
      </c>
      <c r="AW377" s="109" t="s">
        <v>48</v>
      </c>
      <c r="AX377" s="109" t="s">
        <v>48</v>
      </c>
      <c r="AY377" s="109" t="s">
        <v>48</v>
      </c>
      <c r="AZ377" s="166" t="s">
        <v>48</v>
      </c>
      <c r="BA377" s="162" t="s">
        <v>276</v>
      </c>
      <c r="BB377" s="109" t="s">
        <v>49</v>
      </c>
      <c r="BC377" s="79"/>
    </row>
    <row r="378" spans="1:55" ht="75" hidden="1" customHeight="1">
      <c r="A378" s="109" t="s">
        <v>2336</v>
      </c>
      <c r="B378" s="109" t="s">
        <v>2010</v>
      </c>
      <c r="C378" s="109" t="s">
        <v>119</v>
      </c>
      <c r="D378" s="109" t="s">
        <v>122</v>
      </c>
      <c r="E378" s="161">
        <v>15000</v>
      </c>
      <c r="F378" s="165" t="s">
        <v>130</v>
      </c>
      <c r="G378" s="109" t="s">
        <v>122</v>
      </c>
      <c r="H378" s="109" t="s">
        <v>1931</v>
      </c>
      <c r="I378" s="109" t="s">
        <v>2062</v>
      </c>
      <c r="J378" s="109" t="s">
        <v>629</v>
      </c>
      <c r="K378" s="109" t="s">
        <v>627</v>
      </c>
      <c r="L378" s="109" t="s">
        <v>1981</v>
      </c>
      <c r="M378" s="166" t="s">
        <v>711</v>
      </c>
      <c r="N378" s="108" t="s">
        <v>48</v>
      </c>
      <c r="O378" s="109" t="s">
        <v>48</v>
      </c>
      <c r="P378" s="162" t="s">
        <v>76</v>
      </c>
      <c r="Q378" s="109" t="s">
        <v>252</v>
      </c>
      <c r="R378" s="109" t="s">
        <v>445</v>
      </c>
      <c r="S378" s="109" t="s">
        <v>48</v>
      </c>
      <c r="T378" s="109"/>
      <c r="U378" s="109" t="s">
        <v>468</v>
      </c>
      <c r="V378" s="166" t="s">
        <v>469</v>
      </c>
      <c r="W378" s="165" t="s">
        <v>122</v>
      </c>
      <c r="X378" s="109" t="s">
        <v>122</v>
      </c>
      <c r="Y378" s="109" t="s">
        <v>48</v>
      </c>
      <c r="Z378" s="109" t="s">
        <v>48</v>
      </c>
      <c r="AA378" s="109" t="s">
        <v>48</v>
      </c>
      <c r="AB378" s="109" t="s">
        <v>48</v>
      </c>
      <c r="AC378" s="109" t="s">
        <v>48</v>
      </c>
      <c r="AD378" s="166" t="s">
        <v>48</v>
      </c>
      <c r="AE378" s="165" t="s">
        <v>48</v>
      </c>
      <c r="AF378" s="109" t="s">
        <v>48</v>
      </c>
      <c r="AG378" s="109" t="s">
        <v>48</v>
      </c>
      <c r="AH378" s="109" t="s">
        <v>48</v>
      </c>
      <c r="AI378" s="109" t="s">
        <v>48</v>
      </c>
      <c r="AJ378" s="109" t="s">
        <v>48</v>
      </c>
      <c r="AK378" s="166" t="s">
        <v>48</v>
      </c>
      <c r="AL378" s="165" t="s">
        <v>122</v>
      </c>
      <c r="AM378" s="109" t="s">
        <v>122</v>
      </c>
      <c r="AN378" s="109" t="s">
        <v>48</v>
      </c>
      <c r="AO378" s="109" t="s">
        <v>48</v>
      </c>
      <c r="AP378" s="109" t="s">
        <v>48</v>
      </c>
      <c r="AQ378" s="109" t="s">
        <v>48</v>
      </c>
      <c r="AR378" s="109" t="s">
        <v>48</v>
      </c>
      <c r="AS378" s="166" t="s">
        <v>48</v>
      </c>
      <c r="AT378" s="165" t="s">
        <v>48</v>
      </c>
      <c r="AU378" s="109" t="s">
        <v>48</v>
      </c>
      <c r="AV378" s="109" t="s">
        <v>48</v>
      </c>
      <c r="AW378" s="109" t="s">
        <v>48</v>
      </c>
      <c r="AX378" s="109" t="s">
        <v>48</v>
      </c>
      <c r="AY378" s="109" t="s">
        <v>48</v>
      </c>
      <c r="AZ378" s="166" t="s">
        <v>48</v>
      </c>
      <c r="BA378" s="162" t="s">
        <v>276</v>
      </c>
      <c r="BB378" s="109" t="s">
        <v>49</v>
      </c>
      <c r="BC378" s="79"/>
    </row>
    <row r="379" spans="1:55" ht="75" hidden="1" customHeight="1">
      <c r="A379" s="109" t="s">
        <v>2336</v>
      </c>
      <c r="B379" s="109" t="s">
        <v>2709</v>
      </c>
      <c r="C379" s="109" t="s">
        <v>119</v>
      </c>
      <c r="D379" s="109" t="s">
        <v>122</v>
      </c>
      <c r="E379" s="161">
        <v>30000</v>
      </c>
      <c r="F379" s="165" t="s">
        <v>130</v>
      </c>
      <c r="G379" s="109" t="s">
        <v>130</v>
      </c>
      <c r="H379" s="109" t="s">
        <v>131</v>
      </c>
      <c r="I379" s="109" t="s">
        <v>1908</v>
      </c>
      <c r="J379" s="109" t="s">
        <v>628</v>
      </c>
      <c r="K379" s="109" t="s">
        <v>628</v>
      </c>
      <c r="L379" s="109">
        <v>5761714</v>
      </c>
      <c r="M379" s="166" t="s">
        <v>513</v>
      </c>
      <c r="N379" s="108" t="s">
        <v>48</v>
      </c>
      <c r="O379" s="109" t="s">
        <v>48</v>
      </c>
      <c r="P379" s="162" t="s">
        <v>76</v>
      </c>
      <c r="Q379" s="109" t="s">
        <v>252</v>
      </c>
      <c r="R379" s="109" t="s">
        <v>445</v>
      </c>
      <c r="S379" s="109" t="s">
        <v>48</v>
      </c>
      <c r="T379" s="109"/>
      <c r="U379" s="109" t="s">
        <v>468</v>
      </c>
      <c r="V379" s="166" t="s">
        <v>469</v>
      </c>
      <c r="W379" s="165" t="s">
        <v>122</v>
      </c>
      <c r="X379" s="109" t="s">
        <v>122</v>
      </c>
      <c r="Y379" s="109" t="s">
        <v>48</v>
      </c>
      <c r="Z379" s="109" t="s">
        <v>48</v>
      </c>
      <c r="AA379" s="109" t="s">
        <v>48</v>
      </c>
      <c r="AB379" s="109" t="s">
        <v>48</v>
      </c>
      <c r="AC379" s="109" t="s">
        <v>48</v>
      </c>
      <c r="AD379" s="166" t="s">
        <v>48</v>
      </c>
      <c r="AE379" s="165" t="s">
        <v>48</v>
      </c>
      <c r="AF379" s="109" t="s">
        <v>48</v>
      </c>
      <c r="AG379" s="109" t="s">
        <v>48</v>
      </c>
      <c r="AH379" s="109" t="s">
        <v>48</v>
      </c>
      <c r="AI379" s="109" t="s">
        <v>48</v>
      </c>
      <c r="AJ379" s="109" t="s">
        <v>48</v>
      </c>
      <c r="AK379" s="166" t="s">
        <v>48</v>
      </c>
      <c r="AL379" s="165" t="s">
        <v>122</v>
      </c>
      <c r="AM379" s="109" t="s">
        <v>122</v>
      </c>
      <c r="AN379" s="109" t="s">
        <v>48</v>
      </c>
      <c r="AO379" s="109" t="s">
        <v>48</v>
      </c>
      <c r="AP379" s="109" t="s">
        <v>48</v>
      </c>
      <c r="AQ379" s="109" t="s">
        <v>48</v>
      </c>
      <c r="AR379" s="109" t="s">
        <v>48</v>
      </c>
      <c r="AS379" s="166" t="s">
        <v>48</v>
      </c>
      <c r="AT379" s="165" t="s">
        <v>48</v>
      </c>
      <c r="AU379" s="109" t="s">
        <v>48</v>
      </c>
      <c r="AV379" s="109" t="s">
        <v>48</v>
      </c>
      <c r="AW379" s="109" t="s">
        <v>48</v>
      </c>
      <c r="AX379" s="109" t="s">
        <v>48</v>
      </c>
      <c r="AY379" s="109" t="s">
        <v>48</v>
      </c>
      <c r="AZ379" s="166" t="s">
        <v>48</v>
      </c>
      <c r="BA379" s="162" t="s">
        <v>290</v>
      </c>
      <c r="BB379" s="109" t="s">
        <v>49</v>
      </c>
      <c r="BC379" s="79"/>
    </row>
    <row r="380" spans="1:55" ht="75" hidden="1" customHeight="1">
      <c r="A380" s="109" t="s">
        <v>2337</v>
      </c>
      <c r="B380" s="109" t="s">
        <v>2011</v>
      </c>
      <c r="C380" s="109" t="s">
        <v>119</v>
      </c>
      <c r="D380" s="109" t="s">
        <v>122</v>
      </c>
      <c r="E380" s="161">
        <v>15000</v>
      </c>
      <c r="F380" s="165" t="s">
        <v>130</v>
      </c>
      <c r="G380" s="109" t="s">
        <v>122</v>
      </c>
      <c r="H380" s="109" t="s">
        <v>1929</v>
      </c>
      <c r="I380" s="109" t="s">
        <v>2061</v>
      </c>
      <c r="J380" s="109" t="s">
        <v>629</v>
      </c>
      <c r="K380" s="109" t="s">
        <v>627</v>
      </c>
      <c r="L380" s="109" t="s">
        <v>1979</v>
      </c>
      <c r="M380" s="166" t="s">
        <v>711</v>
      </c>
      <c r="N380" s="108" t="s">
        <v>48</v>
      </c>
      <c r="O380" s="109" t="s">
        <v>48</v>
      </c>
      <c r="P380" s="162" t="s">
        <v>76</v>
      </c>
      <c r="Q380" s="109" t="s">
        <v>252</v>
      </c>
      <c r="R380" s="109" t="s">
        <v>445</v>
      </c>
      <c r="S380" s="109" t="s">
        <v>48</v>
      </c>
      <c r="T380" s="109"/>
      <c r="U380" s="109" t="s">
        <v>468</v>
      </c>
      <c r="V380" s="166" t="s">
        <v>469</v>
      </c>
      <c r="W380" s="165" t="s">
        <v>122</v>
      </c>
      <c r="X380" s="109" t="s">
        <v>122</v>
      </c>
      <c r="Y380" s="109" t="s">
        <v>48</v>
      </c>
      <c r="Z380" s="109" t="s">
        <v>48</v>
      </c>
      <c r="AA380" s="109" t="s">
        <v>48</v>
      </c>
      <c r="AB380" s="109" t="s">
        <v>48</v>
      </c>
      <c r="AC380" s="109" t="s">
        <v>48</v>
      </c>
      <c r="AD380" s="166" t="s">
        <v>48</v>
      </c>
      <c r="AE380" s="165" t="s">
        <v>48</v>
      </c>
      <c r="AF380" s="109" t="s">
        <v>48</v>
      </c>
      <c r="AG380" s="109" t="s">
        <v>48</v>
      </c>
      <c r="AH380" s="109" t="s">
        <v>48</v>
      </c>
      <c r="AI380" s="109" t="s">
        <v>48</v>
      </c>
      <c r="AJ380" s="109" t="s">
        <v>48</v>
      </c>
      <c r="AK380" s="166" t="s">
        <v>48</v>
      </c>
      <c r="AL380" s="165" t="s">
        <v>122</v>
      </c>
      <c r="AM380" s="109" t="s">
        <v>122</v>
      </c>
      <c r="AN380" s="109" t="s">
        <v>48</v>
      </c>
      <c r="AO380" s="109" t="s">
        <v>48</v>
      </c>
      <c r="AP380" s="109" t="s">
        <v>48</v>
      </c>
      <c r="AQ380" s="109" t="s">
        <v>48</v>
      </c>
      <c r="AR380" s="109" t="s">
        <v>48</v>
      </c>
      <c r="AS380" s="166" t="s">
        <v>48</v>
      </c>
      <c r="AT380" s="165" t="s">
        <v>48</v>
      </c>
      <c r="AU380" s="109" t="s">
        <v>48</v>
      </c>
      <c r="AV380" s="109" t="s">
        <v>48</v>
      </c>
      <c r="AW380" s="109" t="s">
        <v>48</v>
      </c>
      <c r="AX380" s="109" t="s">
        <v>48</v>
      </c>
      <c r="AY380" s="109" t="s">
        <v>48</v>
      </c>
      <c r="AZ380" s="166" t="s">
        <v>48</v>
      </c>
      <c r="BA380" s="162" t="s">
        <v>276</v>
      </c>
      <c r="BB380" s="109" t="s">
        <v>49</v>
      </c>
      <c r="BC380" s="79"/>
    </row>
    <row r="381" spans="1:55" ht="75" hidden="1" customHeight="1">
      <c r="A381" s="109" t="s">
        <v>2337</v>
      </c>
      <c r="B381" s="109" t="s">
        <v>2011</v>
      </c>
      <c r="C381" s="109" t="s">
        <v>119</v>
      </c>
      <c r="D381" s="109" t="s">
        <v>122</v>
      </c>
      <c r="E381" s="161">
        <v>15000</v>
      </c>
      <c r="F381" s="165" t="s">
        <v>130</v>
      </c>
      <c r="G381" s="109" t="s">
        <v>122</v>
      </c>
      <c r="H381" s="109" t="s">
        <v>1930</v>
      </c>
      <c r="I381" s="109" t="s">
        <v>2042</v>
      </c>
      <c r="J381" s="109" t="s">
        <v>629</v>
      </c>
      <c r="K381" s="109" t="s">
        <v>627</v>
      </c>
      <c r="L381" s="109" t="s">
        <v>1980</v>
      </c>
      <c r="M381" s="166" t="s">
        <v>711</v>
      </c>
      <c r="N381" s="108" t="s">
        <v>48</v>
      </c>
      <c r="O381" s="109" t="s">
        <v>48</v>
      </c>
      <c r="P381" s="162" t="s">
        <v>76</v>
      </c>
      <c r="Q381" s="109" t="s">
        <v>252</v>
      </c>
      <c r="R381" s="109" t="s">
        <v>445</v>
      </c>
      <c r="S381" s="109" t="s">
        <v>48</v>
      </c>
      <c r="T381" s="109"/>
      <c r="U381" s="109" t="s">
        <v>468</v>
      </c>
      <c r="V381" s="166" t="s">
        <v>469</v>
      </c>
      <c r="W381" s="165" t="s">
        <v>122</v>
      </c>
      <c r="X381" s="109" t="s">
        <v>122</v>
      </c>
      <c r="Y381" s="109" t="s">
        <v>48</v>
      </c>
      <c r="Z381" s="109" t="s">
        <v>48</v>
      </c>
      <c r="AA381" s="109" t="s">
        <v>48</v>
      </c>
      <c r="AB381" s="109" t="s">
        <v>48</v>
      </c>
      <c r="AC381" s="109" t="s">
        <v>48</v>
      </c>
      <c r="AD381" s="166" t="s">
        <v>48</v>
      </c>
      <c r="AE381" s="165" t="s">
        <v>48</v>
      </c>
      <c r="AF381" s="109" t="s">
        <v>48</v>
      </c>
      <c r="AG381" s="109" t="s">
        <v>48</v>
      </c>
      <c r="AH381" s="109" t="s">
        <v>48</v>
      </c>
      <c r="AI381" s="109" t="s">
        <v>48</v>
      </c>
      <c r="AJ381" s="109" t="s">
        <v>48</v>
      </c>
      <c r="AK381" s="166" t="s">
        <v>48</v>
      </c>
      <c r="AL381" s="165" t="s">
        <v>122</v>
      </c>
      <c r="AM381" s="109" t="s">
        <v>122</v>
      </c>
      <c r="AN381" s="109" t="s">
        <v>48</v>
      </c>
      <c r="AO381" s="109" t="s">
        <v>48</v>
      </c>
      <c r="AP381" s="109" t="s">
        <v>48</v>
      </c>
      <c r="AQ381" s="109" t="s">
        <v>48</v>
      </c>
      <c r="AR381" s="109" t="s">
        <v>48</v>
      </c>
      <c r="AS381" s="166" t="s">
        <v>48</v>
      </c>
      <c r="AT381" s="165" t="s">
        <v>48</v>
      </c>
      <c r="AU381" s="109" t="s">
        <v>48</v>
      </c>
      <c r="AV381" s="109" t="s">
        <v>48</v>
      </c>
      <c r="AW381" s="109" t="s">
        <v>48</v>
      </c>
      <c r="AX381" s="109" t="s">
        <v>48</v>
      </c>
      <c r="AY381" s="109" t="s">
        <v>48</v>
      </c>
      <c r="AZ381" s="166" t="s">
        <v>48</v>
      </c>
      <c r="BA381" s="162" t="s">
        <v>276</v>
      </c>
      <c r="BB381" s="109" t="s">
        <v>49</v>
      </c>
      <c r="BC381" s="79"/>
    </row>
    <row r="382" spans="1:55" ht="75" hidden="1" customHeight="1">
      <c r="A382" s="109" t="s">
        <v>2337</v>
      </c>
      <c r="B382" s="109" t="s">
        <v>2011</v>
      </c>
      <c r="C382" s="109" t="s">
        <v>119</v>
      </c>
      <c r="D382" s="109" t="s">
        <v>122</v>
      </c>
      <c r="E382" s="161">
        <v>15000</v>
      </c>
      <c r="F382" s="165" t="s">
        <v>122</v>
      </c>
      <c r="G382" s="109" t="s">
        <v>127</v>
      </c>
      <c r="H382" s="109" t="s">
        <v>2040</v>
      </c>
      <c r="I382" s="109" t="s">
        <v>1908</v>
      </c>
      <c r="J382" s="109" t="s">
        <v>629</v>
      </c>
      <c r="K382" s="109" t="s">
        <v>627</v>
      </c>
      <c r="L382" s="109" t="s">
        <v>2041</v>
      </c>
      <c r="M382" s="166" t="s">
        <v>711</v>
      </c>
      <c r="N382" s="108" t="s">
        <v>48</v>
      </c>
      <c r="O382" s="109" t="s">
        <v>48</v>
      </c>
      <c r="P382" s="162" t="s">
        <v>48</v>
      </c>
      <c r="Q382" s="109" t="s">
        <v>48</v>
      </c>
      <c r="R382" s="109" t="s">
        <v>48</v>
      </c>
      <c r="S382" s="109" t="s">
        <v>48</v>
      </c>
      <c r="T382" s="109" t="s">
        <v>48</v>
      </c>
      <c r="U382" s="109" t="s">
        <v>48</v>
      </c>
      <c r="V382" s="166" t="s">
        <v>48</v>
      </c>
      <c r="W382" s="165" t="s">
        <v>122</v>
      </c>
      <c r="X382" s="109" t="s">
        <v>122</v>
      </c>
      <c r="Y382" s="109" t="s">
        <v>48</v>
      </c>
      <c r="Z382" s="109" t="s">
        <v>48</v>
      </c>
      <c r="AA382" s="109" t="s">
        <v>48</v>
      </c>
      <c r="AB382" s="109" t="s">
        <v>48</v>
      </c>
      <c r="AC382" s="109" t="s">
        <v>48</v>
      </c>
      <c r="AD382" s="166" t="s">
        <v>48</v>
      </c>
      <c r="AE382" s="165" t="s">
        <v>48</v>
      </c>
      <c r="AF382" s="109" t="s">
        <v>48</v>
      </c>
      <c r="AG382" s="109" t="s">
        <v>48</v>
      </c>
      <c r="AH382" s="109" t="s">
        <v>48</v>
      </c>
      <c r="AI382" s="109" t="s">
        <v>48</v>
      </c>
      <c r="AJ382" s="109" t="s">
        <v>48</v>
      </c>
      <c r="AK382" s="166" t="s">
        <v>48</v>
      </c>
      <c r="AL382" s="165" t="s">
        <v>122</v>
      </c>
      <c r="AM382" s="109" t="s">
        <v>122</v>
      </c>
      <c r="AN382" s="109" t="s">
        <v>48</v>
      </c>
      <c r="AO382" s="109" t="s">
        <v>48</v>
      </c>
      <c r="AP382" s="109" t="s">
        <v>48</v>
      </c>
      <c r="AQ382" s="109" t="s">
        <v>48</v>
      </c>
      <c r="AR382" s="109" t="s">
        <v>48</v>
      </c>
      <c r="AS382" s="166" t="s">
        <v>48</v>
      </c>
      <c r="AT382" s="165" t="s">
        <v>48</v>
      </c>
      <c r="AU382" s="109" t="s">
        <v>48</v>
      </c>
      <c r="AV382" s="109" t="s">
        <v>48</v>
      </c>
      <c r="AW382" s="109" t="s">
        <v>48</v>
      </c>
      <c r="AX382" s="109" t="s">
        <v>48</v>
      </c>
      <c r="AY382" s="109" t="s">
        <v>48</v>
      </c>
      <c r="AZ382" s="166" t="s">
        <v>48</v>
      </c>
      <c r="BA382" s="162" t="s">
        <v>276</v>
      </c>
      <c r="BB382" s="109" t="s">
        <v>49</v>
      </c>
      <c r="BC382" s="79"/>
    </row>
    <row r="383" spans="1:55" ht="75" hidden="1" customHeight="1">
      <c r="A383" s="109" t="s">
        <v>2337</v>
      </c>
      <c r="B383" s="109" t="s">
        <v>2011</v>
      </c>
      <c r="C383" s="109" t="s">
        <v>119</v>
      </c>
      <c r="D383" s="109" t="s">
        <v>122</v>
      </c>
      <c r="E383" s="161">
        <v>15000</v>
      </c>
      <c r="F383" s="165" t="s">
        <v>130</v>
      </c>
      <c r="G383" s="109" t="s">
        <v>122</v>
      </c>
      <c r="H383" s="109" t="s">
        <v>1931</v>
      </c>
      <c r="I383" s="109" t="s">
        <v>2062</v>
      </c>
      <c r="J383" s="109" t="s">
        <v>629</v>
      </c>
      <c r="K383" s="109" t="s">
        <v>627</v>
      </c>
      <c r="L383" s="109" t="s">
        <v>1981</v>
      </c>
      <c r="M383" s="166" t="s">
        <v>711</v>
      </c>
      <c r="N383" s="108" t="s">
        <v>48</v>
      </c>
      <c r="O383" s="109" t="s">
        <v>48</v>
      </c>
      <c r="P383" s="162" t="s">
        <v>76</v>
      </c>
      <c r="Q383" s="109" t="s">
        <v>252</v>
      </c>
      <c r="R383" s="109" t="s">
        <v>445</v>
      </c>
      <c r="S383" s="109" t="s">
        <v>48</v>
      </c>
      <c r="T383" s="109"/>
      <c r="U383" s="109" t="s">
        <v>468</v>
      </c>
      <c r="V383" s="166" t="s">
        <v>469</v>
      </c>
      <c r="W383" s="165" t="s">
        <v>122</v>
      </c>
      <c r="X383" s="109" t="s">
        <v>122</v>
      </c>
      <c r="Y383" s="109" t="s">
        <v>48</v>
      </c>
      <c r="Z383" s="109" t="s">
        <v>48</v>
      </c>
      <c r="AA383" s="109" t="s">
        <v>48</v>
      </c>
      <c r="AB383" s="109" t="s">
        <v>48</v>
      </c>
      <c r="AC383" s="109" t="s">
        <v>48</v>
      </c>
      <c r="AD383" s="166" t="s">
        <v>48</v>
      </c>
      <c r="AE383" s="165" t="s">
        <v>48</v>
      </c>
      <c r="AF383" s="109" t="s">
        <v>48</v>
      </c>
      <c r="AG383" s="109" t="s">
        <v>48</v>
      </c>
      <c r="AH383" s="109" t="s">
        <v>48</v>
      </c>
      <c r="AI383" s="109" t="s">
        <v>48</v>
      </c>
      <c r="AJ383" s="109" t="s">
        <v>48</v>
      </c>
      <c r="AK383" s="166" t="s">
        <v>48</v>
      </c>
      <c r="AL383" s="165" t="s">
        <v>122</v>
      </c>
      <c r="AM383" s="109" t="s">
        <v>122</v>
      </c>
      <c r="AN383" s="109" t="s">
        <v>48</v>
      </c>
      <c r="AO383" s="109" t="s">
        <v>48</v>
      </c>
      <c r="AP383" s="109" t="s">
        <v>48</v>
      </c>
      <c r="AQ383" s="109" t="s">
        <v>48</v>
      </c>
      <c r="AR383" s="109" t="s">
        <v>48</v>
      </c>
      <c r="AS383" s="166" t="s">
        <v>48</v>
      </c>
      <c r="AT383" s="165" t="s">
        <v>48</v>
      </c>
      <c r="AU383" s="109" t="s">
        <v>48</v>
      </c>
      <c r="AV383" s="109" t="s">
        <v>48</v>
      </c>
      <c r="AW383" s="109" t="s">
        <v>48</v>
      </c>
      <c r="AX383" s="109" t="s">
        <v>48</v>
      </c>
      <c r="AY383" s="109" t="s">
        <v>48</v>
      </c>
      <c r="AZ383" s="166" t="s">
        <v>48</v>
      </c>
      <c r="BA383" s="162" t="s">
        <v>276</v>
      </c>
      <c r="BB383" s="109" t="s">
        <v>49</v>
      </c>
      <c r="BC383" s="79"/>
    </row>
    <row r="384" spans="1:55" ht="75" hidden="1" customHeight="1">
      <c r="A384" s="109" t="s">
        <v>2338</v>
      </c>
      <c r="B384" s="109" t="s">
        <v>2012</v>
      </c>
      <c r="C384" s="109" t="s">
        <v>119</v>
      </c>
      <c r="D384" s="109" t="s">
        <v>122</v>
      </c>
      <c r="E384" s="161">
        <v>15000</v>
      </c>
      <c r="F384" s="165" t="s">
        <v>130</v>
      </c>
      <c r="G384" s="109" t="s">
        <v>130</v>
      </c>
      <c r="H384" s="109" t="s">
        <v>1929</v>
      </c>
      <c r="I384" s="109" t="s">
        <v>2061</v>
      </c>
      <c r="J384" s="109" t="s">
        <v>629</v>
      </c>
      <c r="K384" s="109" t="s">
        <v>627</v>
      </c>
      <c r="L384" s="109" t="s">
        <v>1979</v>
      </c>
      <c r="M384" s="166" t="s">
        <v>711</v>
      </c>
      <c r="N384" s="108" t="s">
        <v>48</v>
      </c>
      <c r="O384" s="109" t="s">
        <v>48</v>
      </c>
      <c r="P384" s="162" t="s">
        <v>76</v>
      </c>
      <c r="Q384" s="109" t="s">
        <v>252</v>
      </c>
      <c r="R384" s="109" t="s">
        <v>445</v>
      </c>
      <c r="S384" s="109" t="s">
        <v>48</v>
      </c>
      <c r="T384" s="109"/>
      <c r="U384" s="109" t="s">
        <v>468</v>
      </c>
      <c r="V384" s="166" t="s">
        <v>469</v>
      </c>
      <c r="W384" s="165" t="s">
        <v>122</v>
      </c>
      <c r="X384" s="109" t="s">
        <v>122</v>
      </c>
      <c r="Y384" s="109" t="s">
        <v>48</v>
      </c>
      <c r="Z384" s="109" t="s">
        <v>48</v>
      </c>
      <c r="AA384" s="109" t="s">
        <v>48</v>
      </c>
      <c r="AB384" s="109" t="s">
        <v>48</v>
      </c>
      <c r="AC384" s="109" t="s">
        <v>48</v>
      </c>
      <c r="AD384" s="166" t="s">
        <v>48</v>
      </c>
      <c r="AE384" s="165" t="s">
        <v>48</v>
      </c>
      <c r="AF384" s="109" t="s">
        <v>48</v>
      </c>
      <c r="AG384" s="109" t="s">
        <v>48</v>
      </c>
      <c r="AH384" s="109" t="s">
        <v>48</v>
      </c>
      <c r="AI384" s="109" t="s">
        <v>48</v>
      </c>
      <c r="AJ384" s="109" t="s">
        <v>48</v>
      </c>
      <c r="AK384" s="166" t="s">
        <v>48</v>
      </c>
      <c r="AL384" s="165" t="s">
        <v>122</v>
      </c>
      <c r="AM384" s="109" t="s">
        <v>122</v>
      </c>
      <c r="AN384" s="109" t="s">
        <v>48</v>
      </c>
      <c r="AO384" s="109" t="s">
        <v>48</v>
      </c>
      <c r="AP384" s="109" t="s">
        <v>48</v>
      </c>
      <c r="AQ384" s="109" t="s">
        <v>48</v>
      </c>
      <c r="AR384" s="109" t="s">
        <v>48</v>
      </c>
      <c r="AS384" s="166" t="s">
        <v>48</v>
      </c>
      <c r="AT384" s="165" t="s">
        <v>48</v>
      </c>
      <c r="AU384" s="109" t="s">
        <v>48</v>
      </c>
      <c r="AV384" s="109" t="s">
        <v>48</v>
      </c>
      <c r="AW384" s="109" t="s">
        <v>48</v>
      </c>
      <c r="AX384" s="109" t="s">
        <v>48</v>
      </c>
      <c r="AY384" s="109" t="s">
        <v>48</v>
      </c>
      <c r="AZ384" s="166" t="s">
        <v>48</v>
      </c>
      <c r="BA384" s="162" t="s">
        <v>276</v>
      </c>
      <c r="BB384" s="109" t="s">
        <v>49</v>
      </c>
      <c r="BC384" s="79"/>
    </row>
    <row r="385" spans="1:55" ht="75" hidden="1" customHeight="1">
      <c r="A385" s="109" t="s">
        <v>2338</v>
      </c>
      <c r="B385" s="109" t="s">
        <v>2012</v>
      </c>
      <c r="C385" s="109" t="s">
        <v>119</v>
      </c>
      <c r="D385" s="109" t="s">
        <v>122</v>
      </c>
      <c r="E385" s="161">
        <v>15000</v>
      </c>
      <c r="F385" s="165" t="s">
        <v>127</v>
      </c>
      <c r="G385" s="109" t="s">
        <v>127</v>
      </c>
      <c r="H385" s="109" t="s">
        <v>2040</v>
      </c>
      <c r="I385" s="109" t="s">
        <v>1908</v>
      </c>
      <c r="J385" s="109" t="s">
        <v>629</v>
      </c>
      <c r="K385" s="109" t="s">
        <v>627</v>
      </c>
      <c r="L385" s="109" t="s">
        <v>2041</v>
      </c>
      <c r="M385" s="166" t="s">
        <v>711</v>
      </c>
      <c r="N385" s="108" t="s">
        <v>48</v>
      </c>
      <c r="O385" s="109" t="s">
        <v>48</v>
      </c>
      <c r="P385" s="162" t="s">
        <v>48</v>
      </c>
      <c r="Q385" s="109" t="s">
        <v>48</v>
      </c>
      <c r="R385" s="109" t="s">
        <v>48</v>
      </c>
      <c r="S385" s="109" t="s">
        <v>48</v>
      </c>
      <c r="T385" s="109" t="s">
        <v>48</v>
      </c>
      <c r="U385" s="109" t="s">
        <v>48</v>
      </c>
      <c r="V385" s="166" t="s">
        <v>48</v>
      </c>
      <c r="W385" s="165" t="s">
        <v>122</v>
      </c>
      <c r="X385" s="109" t="s">
        <v>122</v>
      </c>
      <c r="Y385" s="109" t="s">
        <v>48</v>
      </c>
      <c r="Z385" s="109" t="s">
        <v>48</v>
      </c>
      <c r="AA385" s="109" t="s">
        <v>48</v>
      </c>
      <c r="AB385" s="109" t="s">
        <v>48</v>
      </c>
      <c r="AC385" s="109" t="s">
        <v>48</v>
      </c>
      <c r="AD385" s="166" t="s">
        <v>48</v>
      </c>
      <c r="AE385" s="165" t="s">
        <v>48</v>
      </c>
      <c r="AF385" s="109" t="s">
        <v>48</v>
      </c>
      <c r="AG385" s="109" t="s">
        <v>48</v>
      </c>
      <c r="AH385" s="109" t="s">
        <v>48</v>
      </c>
      <c r="AI385" s="109" t="s">
        <v>48</v>
      </c>
      <c r="AJ385" s="109" t="s">
        <v>48</v>
      </c>
      <c r="AK385" s="166" t="s">
        <v>48</v>
      </c>
      <c r="AL385" s="165" t="s">
        <v>122</v>
      </c>
      <c r="AM385" s="109" t="s">
        <v>122</v>
      </c>
      <c r="AN385" s="109" t="s">
        <v>48</v>
      </c>
      <c r="AO385" s="109" t="s">
        <v>48</v>
      </c>
      <c r="AP385" s="109" t="s">
        <v>48</v>
      </c>
      <c r="AQ385" s="109" t="s">
        <v>48</v>
      </c>
      <c r="AR385" s="109" t="s">
        <v>48</v>
      </c>
      <c r="AS385" s="166" t="s">
        <v>48</v>
      </c>
      <c r="AT385" s="165" t="s">
        <v>48</v>
      </c>
      <c r="AU385" s="109" t="s">
        <v>48</v>
      </c>
      <c r="AV385" s="109" t="s">
        <v>48</v>
      </c>
      <c r="AW385" s="109" t="s">
        <v>48</v>
      </c>
      <c r="AX385" s="109" t="s">
        <v>48</v>
      </c>
      <c r="AY385" s="109" t="s">
        <v>48</v>
      </c>
      <c r="AZ385" s="166" t="s">
        <v>48</v>
      </c>
      <c r="BA385" s="162" t="s">
        <v>276</v>
      </c>
      <c r="BB385" s="109" t="s">
        <v>49</v>
      </c>
      <c r="BC385" s="79"/>
    </row>
    <row r="386" spans="1:55" ht="75" hidden="1" customHeight="1">
      <c r="A386" s="109" t="s">
        <v>2338</v>
      </c>
      <c r="B386" s="109" t="s">
        <v>2012</v>
      </c>
      <c r="C386" s="109" t="s">
        <v>119</v>
      </c>
      <c r="D386" s="109" t="s">
        <v>122</v>
      </c>
      <c r="E386" s="161">
        <v>15000</v>
      </c>
      <c r="F386" s="165" t="s">
        <v>130</v>
      </c>
      <c r="G386" s="109" t="s">
        <v>130</v>
      </c>
      <c r="H386" s="109" t="s">
        <v>1930</v>
      </c>
      <c r="I386" s="109" t="s">
        <v>2042</v>
      </c>
      <c r="J386" s="109" t="s">
        <v>629</v>
      </c>
      <c r="K386" s="109" t="s">
        <v>627</v>
      </c>
      <c r="L386" s="109" t="s">
        <v>1980</v>
      </c>
      <c r="M386" s="166" t="s">
        <v>711</v>
      </c>
      <c r="N386" s="108" t="s">
        <v>48</v>
      </c>
      <c r="O386" s="109" t="s">
        <v>48</v>
      </c>
      <c r="P386" s="162" t="s">
        <v>76</v>
      </c>
      <c r="Q386" s="109" t="s">
        <v>252</v>
      </c>
      <c r="R386" s="109" t="s">
        <v>445</v>
      </c>
      <c r="S386" s="109" t="s">
        <v>48</v>
      </c>
      <c r="T386" s="109"/>
      <c r="U386" s="109" t="s">
        <v>468</v>
      </c>
      <c r="V386" s="166" t="s">
        <v>469</v>
      </c>
      <c r="W386" s="165" t="s">
        <v>122</v>
      </c>
      <c r="X386" s="109" t="s">
        <v>122</v>
      </c>
      <c r="Y386" s="109" t="s">
        <v>48</v>
      </c>
      <c r="Z386" s="109" t="s">
        <v>48</v>
      </c>
      <c r="AA386" s="109" t="s">
        <v>48</v>
      </c>
      <c r="AB386" s="109" t="s">
        <v>48</v>
      </c>
      <c r="AC386" s="109" t="s">
        <v>48</v>
      </c>
      <c r="AD386" s="166" t="s">
        <v>48</v>
      </c>
      <c r="AE386" s="165" t="s">
        <v>48</v>
      </c>
      <c r="AF386" s="109" t="s">
        <v>48</v>
      </c>
      <c r="AG386" s="109" t="s">
        <v>48</v>
      </c>
      <c r="AH386" s="109" t="s">
        <v>48</v>
      </c>
      <c r="AI386" s="109" t="s">
        <v>48</v>
      </c>
      <c r="AJ386" s="109" t="s">
        <v>48</v>
      </c>
      <c r="AK386" s="166" t="s">
        <v>48</v>
      </c>
      <c r="AL386" s="165" t="s">
        <v>122</v>
      </c>
      <c r="AM386" s="109" t="s">
        <v>122</v>
      </c>
      <c r="AN386" s="109" t="s">
        <v>48</v>
      </c>
      <c r="AO386" s="109" t="s">
        <v>48</v>
      </c>
      <c r="AP386" s="109" t="s">
        <v>48</v>
      </c>
      <c r="AQ386" s="109" t="s">
        <v>48</v>
      </c>
      <c r="AR386" s="109" t="s">
        <v>48</v>
      </c>
      <c r="AS386" s="166" t="s">
        <v>48</v>
      </c>
      <c r="AT386" s="165" t="s">
        <v>48</v>
      </c>
      <c r="AU386" s="109" t="s">
        <v>48</v>
      </c>
      <c r="AV386" s="109" t="s">
        <v>48</v>
      </c>
      <c r="AW386" s="109" t="s">
        <v>48</v>
      </c>
      <c r="AX386" s="109" t="s">
        <v>48</v>
      </c>
      <c r="AY386" s="109" t="s">
        <v>48</v>
      </c>
      <c r="AZ386" s="166" t="s">
        <v>48</v>
      </c>
      <c r="BA386" s="162" t="s">
        <v>276</v>
      </c>
      <c r="BB386" s="109" t="s">
        <v>49</v>
      </c>
      <c r="BC386" s="79"/>
    </row>
    <row r="387" spans="1:55" ht="75" hidden="1" customHeight="1">
      <c r="A387" s="109" t="s">
        <v>2338</v>
      </c>
      <c r="B387" s="109" t="s">
        <v>2012</v>
      </c>
      <c r="C387" s="109" t="s">
        <v>119</v>
      </c>
      <c r="D387" s="109" t="s">
        <v>122</v>
      </c>
      <c r="E387" s="161">
        <v>15000</v>
      </c>
      <c r="F387" s="165" t="s">
        <v>130</v>
      </c>
      <c r="G387" s="109" t="s">
        <v>130</v>
      </c>
      <c r="H387" s="109" t="s">
        <v>1931</v>
      </c>
      <c r="I387" s="109" t="s">
        <v>2062</v>
      </c>
      <c r="J387" s="109" t="s">
        <v>629</v>
      </c>
      <c r="K387" s="109" t="s">
        <v>627</v>
      </c>
      <c r="L387" s="109" t="s">
        <v>1981</v>
      </c>
      <c r="M387" s="166" t="s">
        <v>711</v>
      </c>
      <c r="N387" s="108" t="s">
        <v>48</v>
      </c>
      <c r="O387" s="109" t="s">
        <v>48</v>
      </c>
      <c r="P387" s="162" t="s">
        <v>76</v>
      </c>
      <c r="Q387" s="109" t="s">
        <v>252</v>
      </c>
      <c r="R387" s="109" t="s">
        <v>445</v>
      </c>
      <c r="S387" s="109" t="s">
        <v>48</v>
      </c>
      <c r="T387" s="109"/>
      <c r="U387" s="109" t="s">
        <v>468</v>
      </c>
      <c r="V387" s="166" t="s">
        <v>469</v>
      </c>
      <c r="W387" s="165" t="s">
        <v>122</v>
      </c>
      <c r="X387" s="109" t="s">
        <v>122</v>
      </c>
      <c r="Y387" s="109" t="s">
        <v>48</v>
      </c>
      <c r="Z387" s="109" t="s">
        <v>48</v>
      </c>
      <c r="AA387" s="109" t="s">
        <v>48</v>
      </c>
      <c r="AB387" s="109" t="s">
        <v>48</v>
      </c>
      <c r="AC387" s="109" t="s">
        <v>48</v>
      </c>
      <c r="AD387" s="166" t="s">
        <v>48</v>
      </c>
      <c r="AE387" s="165" t="s">
        <v>48</v>
      </c>
      <c r="AF387" s="109" t="s">
        <v>48</v>
      </c>
      <c r="AG387" s="109" t="s">
        <v>48</v>
      </c>
      <c r="AH387" s="109" t="s">
        <v>48</v>
      </c>
      <c r="AI387" s="109" t="s">
        <v>48</v>
      </c>
      <c r="AJ387" s="109" t="s">
        <v>48</v>
      </c>
      <c r="AK387" s="166" t="s">
        <v>48</v>
      </c>
      <c r="AL387" s="165" t="s">
        <v>122</v>
      </c>
      <c r="AM387" s="109" t="s">
        <v>122</v>
      </c>
      <c r="AN387" s="109" t="s">
        <v>48</v>
      </c>
      <c r="AO387" s="109" t="s">
        <v>48</v>
      </c>
      <c r="AP387" s="109" t="s">
        <v>48</v>
      </c>
      <c r="AQ387" s="109" t="s">
        <v>48</v>
      </c>
      <c r="AR387" s="109" t="s">
        <v>48</v>
      </c>
      <c r="AS387" s="166" t="s">
        <v>48</v>
      </c>
      <c r="AT387" s="165" t="s">
        <v>48</v>
      </c>
      <c r="AU387" s="109" t="s">
        <v>48</v>
      </c>
      <c r="AV387" s="109" t="s">
        <v>48</v>
      </c>
      <c r="AW387" s="109" t="s">
        <v>48</v>
      </c>
      <c r="AX387" s="109" t="s">
        <v>48</v>
      </c>
      <c r="AY387" s="109" t="s">
        <v>48</v>
      </c>
      <c r="AZ387" s="166" t="s">
        <v>48</v>
      </c>
      <c r="BA387" s="162" t="s">
        <v>276</v>
      </c>
      <c r="BB387" s="109" t="s">
        <v>49</v>
      </c>
      <c r="BC387" s="79"/>
    </row>
    <row r="388" spans="1:55" ht="75" customHeight="1">
      <c r="A388" s="109" t="s">
        <v>35</v>
      </c>
      <c r="B388" s="109" t="s">
        <v>2017</v>
      </c>
      <c r="C388" s="109" t="s">
        <v>148</v>
      </c>
      <c r="D388" s="109" t="s">
        <v>539</v>
      </c>
      <c r="E388" s="161">
        <v>15000</v>
      </c>
      <c r="F388" s="165" t="s">
        <v>150</v>
      </c>
      <c r="G388" s="109" t="s">
        <v>150</v>
      </c>
      <c r="H388" s="109" t="s">
        <v>1909</v>
      </c>
      <c r="I388" s="109" t="s">
        <v>1908</v>
      </c>
      <c r="J388" s="109" t="s">
        <v>1910</v>
      </c>
      <c r="K388" s="109" t="s">
        <v>1910</v>
      </c>
      <c r="L388" s="109" t="s">
        <v>1911</v>
      </c>
      <c r="M388" s="166" t="s">
        <v>795</v>
      </c>
      <c r="N388" s="108" t="s">
        <v>48</v>
      </c>
      <c r="O388" s="109" t="s">
        <v>48</v>
      </c>
      <c r="P388" s="162" t="s">
        <v>48</v>
      </c>
      <c r="Q388" s="109" t="s">
        <v>48</v>
      </c>
      <c r="R388" s="109" t="s">
        <v>48</v>
      </c>
      <c r="S388" s="109" t="s">
        <v>48</v>
      </c>
      <c r="T388" s="109" t="s">
        <v>48</v>
      </c>
      <c r="U388" s="109" t="s">
        <v>48</v>
      </c>
      <c r="V388" s="166" t="s">
        <v>48</v>
      </c>
      <c r="W388" s="165" t="s">
        <v>539</v>
      </c>
      <c r="X388" s="109" t="s">
        <v>539</v>
      </c>
      <c r="Y388" s="109" t="s">
        <v>48</v>
      </c>
      <c r="Z388" s="109" t="s">
        <v>48</v>
      </c>
      <c r="AA388" s="109" t="s">
        <v>48</v>
      </c>
      <c r="AB388" s="109" t="s">
        <v>48</v>
      </c>
      <c r="AC388" s="109" t="s">
        <v>48</v>
      </c>
      <c r="AD388" s="166" t="s">
        <v>48</v>
      </c>
      <c r="AE388" s="174" t="s">
        <v>48</v>
      </c>
      <c r="AF388" s="117" t="s">
        <v>48</v>
      </c>
      <c r="AG388" s="117" t="s">
        <v>48</v>
      </c>
      <c r="AH388" s="109" t="s">
        <v>48</v>
      </c>
      <c r="AI388" s="117" t="s">
        <v>48</v>
      </c>
      <c r="AJ388" s="117" t="s">
        <v>48</v>
      </c>
      <c r="AK388" s="182" t="s">
        <v>48</v>
      </c>
      <c r="AL388" s="165" t="s">
        <v>907</v>
      </c>
      <c r="AM388" s="109" t="s">
        <v>539</v>
      </c>
      <c r="AN388" s="109" t="s">
        <v>1948</v>
      </c>
      <c r="AO388" s="109" t="s">
        <v>1908</v>
      </c>
      <c r="AP388" s="109" t="s">
        <v>1921</v>
      </c>
      <c r="AQ388" s="109" t="s">
        <v>1921</v>
      </c>
      <c r="AR388" s="109" t="s">
        <v>1946</v>
      </c>
      <c r="AS388" s="166" t="s">
        <v>1119</v>
      </c>
      <c r="AT388" s="165" t="s">
        <v>48</v>
      </c>
      <c r="AU388" s="109" t="s">
        <v>48</v>
      </c>
      <c r="AV388" s="109" t="s">
        <v>48</v>
      </c>
      <c r="AW388" s="109" t="s">
        <v>48</v>
      </c>
      <c r="AX388" s="109" t="s">
        <v>48</v>
      </c>
      <c r="AY388" s="109" t="s">
        <v>48</v>
      </c>
      <c r="AZ388" s="166" t="s">
        <v>48</v>
      </c>
      <c r="BA388" s="162" t="s">
        <v>1243</v>
      </c>
      <c r="BB388" s="109" t="s">
        <v>82</v>
      </c>
      <c r="BC388" s="109" t="s">
        <v>1145</v>
      </c>
    </row>
    <row r="389" spans="1:55" ht="75" customHeight="1">
      <c r="A389" s="109" t="s">
        <v>35</v>
      </c>
      <c r="B389" s="109" t="s">
        <v>2017</v>
      </c>
      <c r="C389" s="109" t="s">
        <v>148</v>
      </c>
      <c r="D389" s="109" t="s">
        <v>539</v>
      </c>
      <c r="E389" s="161">
        <v>15000</v>
      </c>
      <c r="F389" s="165" t="s">
        <v>150</v>
      </c>
      <c r="G389" s="109" t="s">
        <v>150</v>
      </c>
      <c r="H389" s="109" t="s">
        <v>1909</v>
      </c>
      <c r="I389" s="109" t="s">
        <v>1908</v>
      </c>
      <c r="J389" s="109" t="s">
        <v>1910</v>
      </c>
      <c r="K389" s="109" t="s">
        <v>1910</v>
      </c>
      <c r="L389" s="109" t="s">
        <v>1911</v>
      </c>
      <c r="M389" s="166" t="s">
        <v>795</v>
      </c>
      <c r="N389" s="108" t="s">
        <v>48</v>
      </c>
      <c r="O389" s="109" t="s">
        <v>48</v>
      </c>
      <c r="P389" s="162" t="s">
        <v>48</v>
      </c>
      <c r="Q389" s="109" t="s">
        <v>48</v>
      </c>
      <c r="R389" s="109" t="s">
        <v>48</v>
      </c>
      <c r="S389" s="109" t="s">
        <v>48</v>
      </c>
      <c r="T389" s="109" t="s">
        <v>48</v>
      </c>
      <c r="U389" s="109" t="s">
        <v>48</v>
      </c>
      <c r="V389" s="166" t="s">
        <v>48</v>
      </c>
      <c r="W389" s="165" t="s">
        <v>539</v>
      </c>
      <c r="X389" s="109" t="s">
        <v>539</v>
      </c>
      <c r="Y389" s="109" t="s">
        <v>48</v>
      </c>
      <c r="Z389" s="109" t="s">
        <v>48</v>
      </c>
      <c r="AA389" s="109" t="s">
        <v>48</v>
      </c>
      <c r="AB389" s="109" t="s">
        <v>48</v>
      </c>
      <c r="AC389" s="109" t="s">
        <v>48</v>
      </c>
      <c r="AD389" s="166" t="s">
        <v>48</v>
      </c>
      <c r="AE389" s="174" t="s">
        <v>48</v>
      </c>
      <c r="AF389" s="117" t="s">
        <v>48</v>
      </c>
      <c r="AG389" s="117" t="s">
        <v>48</v>
      </c>
      <c r="AH389" s="109" t="s">
        <v>48</v>
      </c>
      <c r="AI389" s="117" t="s">
        <v>48</v>
      </c>
      <c r="AJ389" s="117" t="s">
        <v>48</v>
      </c>
      <c r="AK389" s="182" t="s">
        <v>48</v>
      </c>
      <c r="AL389" s="165" t="s">
        <v>1319</v>
      </c>
      <c r="AM389" s="109" t="s">
        <v>539</v>
      </c>
      <c r="AN389" s="109" t="s">
        <v>1947</v>
      </c>
      <c r="AO389" s="109" t="s">
        <v>2039</v>
      </c>
      <c r="AP389" s="109" t="s">
        <v>1921</v>
      </c>
      <c r="AQ389" s="109" t="s">
        <v>1921</v>
      </c>
      <c r="AR389" s="109" t="s">
        <v>1927</v>
      </c>
      <c r="AS389" s="166" t="s">
        <v>1119</v>
      </c>
      <c r="AT389" s="165" t="s">
        <v>48</v>
      </c>
      <c r="AU389" s="109" t="s">
        <v>48</v>
      </c>
      <c r="AV389" s="109" t="s">
        <v>48</v>
      </c>
      <c r="AW389" s="109" t="s">
        <v>48</v>
      </c>
      <c r="AX389" s="109" t="s">
        <v>48</v>
      </c>
      <c r="AY389" s="109" t="s">
        <v>48</v>
      </c>
      <c r="AZ389" s="166" t="s">
        <v>48</v>
      </c>
      <c r="BA389" s="162" t="s">
        <v>1243</v>
      </c>
      <c r="BB389" s="109" t="s">
        <v>82</v>
      </c>
      <c r="BC389" s="109" t="s">
        <v>1145</v>
      </c>
    </row>
    <row r="390" spans="1:55" ht="75" customHeight="1">
      <c r="A390" s="109" t="s">
        <v>34</v>
      </c>
      <c r="B390" s="109" t="s">
        <v>2025</v>
      </c>
      <c r="C390" s="109" t="s">
        <v>148</v>
      </c>
      <c r="D390" s="109" t="s">
        <v>539</v>
      </c>
      <c r="E390" s="161">
        <v>15000</v>
      </c>
      <c r="F390" s="165" t="s">
        <v>150</v>
      </c>
      <c r="G390" s="109" t="s">
        <v>150</v>
      </c>
      <c r="H390" s="109" t="s">
        <v>1909</v>
      </c>
      <c r="I390" s="109" t="s">
        <v>1908</v>
      </c>
      <c r="J390" s="109" t="s">
        <v>1910</v>
      </c>
      <c r="K390" s="109" t="s">
        <v>1910</v>
      </c>
      <c r="L390" s="109" t="s">
        <v>1911</v>
      </c>
      <c r="M390" s="166" t="s">
        <v>795</v>
      </c>
      <c r="N390" s="108" t="s">
        <v>48</v>
      </c>
      <c r="O390" s="109" t="s">
        <v>48</v>
      </c>
      <c r="P390" s="162" t="s">
        <v>48</v>
      </c>
      <c r="Q390" s="109" t="s">
        <v>48</v>
      </c>
      <c r="R390" s="109" t="s">
        <v>48</v>
      </c>
      <c r="S390" s="109" t="s">
        <v>48</v>
      </c>
      <c r="T390" s="109" t="s">
        <v>48</v>
      </c>
      <c r="U390" s="109" t="s">
        <v>48</v>
      </c>
      <c r="V390" s="166" t="s">
        <v>48</v>
      </c>
      <c r="W390" s="165" t="s">
        <v>539</v>
      </c>
      <c r="X390" s="109" t="s">
        <v>539</v>
      </c>
      <c r="Y390" s="109" t="s">
        <v>48</v>
      </c>
      <c r="Z390" s="109" t="s">
        <v>48</v>
      </c>
      <c r="AA390" s="109" t="s">
        <v>48</v>
      </c>
      <c r="AB390" s="109" t="s">
        <v>48</v>
      </c>
      <c r="AC390" s="109" t="s">
        <v>48</v>
      </c>
      <c r="AD390" s="166" t="s">
        <v>48</v>
      </c>
      <c r="AE390" s="174" t="s">
        <v>48</v>
      </c>
      <c r="AF390" s="117" t="s">
        <v>48</v>
      </c>
      <c r="AG390" s="117" t="s">
        <v>48</v>
      </c>
      <c r="AH390" s="109" t="s">
        <v>48</v>
      </c>
      <c r="AI390" s="117" t="s">
        <v>48</v>
      </c>
      <c r="AJ390" s="117" t="s">
        <v>48</v>
      </c>
      <c r="AK390" s="182" t="s">
        <v>48</v>
      </c>
      <c r="AL390" s="165" t="s">
        <v>907</v>
      </c>
      <c r="AM390" s="109" t="s">
        <v>539</v>
      </c>
      <c r="AN390" s="109" t="s">
        <v>1948</v>
      </c>
      <c r="AO390" s="109" t="s">
        <v>1908</v>
      </c>
      <c r="AP390" s="109" t="s">
        <v>1921</v>
      </c>
      <c r="AQ390" s="109" t="s">
        <v>1921</v>
      </c>
      <c r="AR390" s="109" t="s">
        <v>1946</v>
      </c>
      <c r="AS390" s="166" t="s">
        <v>1119</v>
      </c>
      <c r="AT390" s="165" t="s">
        <v>48</v>
      </c>
      <c r="AU390" s="109" t="s">
        <v>48</v>
      </c>
      <c r="AV390" s="109" t="s">
        <v>48</v>
      </c>
      <c r="AW390" s="109" t="s">
        <v>48</v>
      </c>
      <c r="AX390" s="109" t="s">
        <v>48</v>
      </c>
      <c r="AY390" s="109" t="s">
        <v>48</v>
      </c>
      <c r="AZ390" s="166" t="s">
        <v>48</v>
      </c>
      <c r="BA390" s="162" t="s">
        <v>1243</v>
      </c>
      <c r="BB390" s="109" t="s">
        <v>82</v>
      </c>
      <c r="BC390" s="109" t="s">
        <v>1145</v>
      </c>
    </row>
    <row r="391" spans="1:55" ht="75" customHeight="1">
      <c r="A391" s="109" t="s">
        <v>34</v>
      </c>
      <c r="B391" s="109" t="s">
        <v>2025</v>
      </c>
      <c r="C391" s="109" t="s">
        <v>148</v>
      </c>
      <c r="D391" s="109" t="s">
        <v>539</v>
      </c>
      <c r="E391" s="161">
        <v>15000</v>
      </c>
      <c r="F391" s="165" t="s">
        <v>150</v>
      </c>
      <c r="G391" s="109" t="s">
        <v>150</v>
      </c>
      <c r="H391" s="109" t="s">
        <v>1909</v>
      </c>
      <c r="I391" s="109" t="s">
        <v>1908</v>
      </c>
      <c r="J391" s="109" t="s">
        <v>1910</v>
      </c>
      <c r="K391" s="109" t="s">
        <v>1910</v>
      </c>
      <c r="L391" s="109" t="s">
        <v>1911</v>
      </c>
      <c r="M391" s="166" t="s">
        <v>795</v>
      </c>
      <c r="N391" s="108" t="s">
        <v>48</v>
      </c>
      <c r="O391" s="109" t="s">
        <v>48</v>
      </c>
      <c r="P391" s="162" t="s">
        <v>48</v>
      </c>
      <c r="Q391" s="109" t="s">
        <v>48</v>
      </c>
      <c r="R391" s="109" t="s">
        <v>48</v>
      </c>
      <c r="S391" s="109" t="s">
        <v>48</v>
      </c>
      <c r="T391" s="109" t="s">
        <v>48</v>
      </c>
      <c r="U391" s="109" t="s">
        <v>48</v>
      </c>
      <c r="V391" s="166" t="s">
        <v>48</v>
      </c>
      <c r="W391" s="165" t="s">
        <v>539</v>
      </c>
      <c r="X391" s="109" t="s">
        <v>539</v>
      </c>
      <c r="Y391" s="109" t="s">
        <v>48</v>
      </c>
      <c r="Z391" s="109" t="s">
        <v>48</v>
      </c>
      <c r="AA391" s="109" t="s">
        <v>48</v>
      </c>
      <c r="AB391" s="109" t="s">
        <v>48</v>
      </c>
      <c r="AC391" s="109" t="s">
        <v>48</v>
      </c>
      <c r="AD391" s="166" t="s">
        <v>48</v>
      </c>
      <c r="AE391" s="174" t="s">
        <v>48</v>
      </c>
      <c r="AF391" s="117" t="s">
        <v>48</v>
      </c>
      <c r="AG391" s="117" t="s">
        <v>48</v>
      </c>
      <c r="AH391" s="109" t="s">
        <v>48</v>
      </c>
      <c r="AI391" s="117" t="s">
        <v>48</v>
      </c>
      <c r="AJ391" s="117" t="s">
        <v>48</v>
      </c>
      <c r="AK391" s="182" t="s">
        <v>48</v>
      </c>
      <c r="AL391" s="165" t="s">
        <v>1319</v>
      </c>
      <c r="AM391" s="109" t="s">
        <v>539</v>
      </c>
      <c r="AN391" s="109" t="s">
        <v>1947</v>
      </c>
      <c r="AO391" s="109" t="s">
        <v>2039</v>
      </c>
      <c r="AP391" s="109" t="s">
        <v>1921</v>
      </c>
      <c r="AQ391" s="109" t="s">
        <v>1921</v>
      </c>
      <c r="AR391" s="109" t="s">
        <v>1927</v>
      </c>
      <c r="AS391" s="166" t="s">
        <v>1119</v>
      </c>
      <c r="AT391" s="165" t="s">
        <v>48</v>
      </c>
      <c r="AU391" s="109" t="s">
        <v>48</v>
      </c>
      <c r="AV391" s="109" t="s">
        <v>48</v>
      </c>
      <c r="AW391" s="109" t="s">
        <v>48</v>
      </c>
      <c r="AX391" s="109" t="s">
        <v>48</v>
      </c>
      <c r="AY391" s="109" t="s">
        <v>48</v>
      </c>
      <c r="AZ391" s="166" t="s">
        <v>48</v>
      </c>
      <c r="BA391" s="162" t="s">
        <v>1243</v>
      </c>
      <c r="BB391" s="109" t="s">
        <v>82</v>
      </c>
      <c r="BC391" s="109" t="s">
        <v>1145</v>
      </c>
    </row>
    <row r="392" spans="1:55" ht="75" customHeight="1">
      <c r="A392" s="109" t="s">
        <v>35</v>
      </c>
      <c r="B392" s="109" t="s">
        <v>2017</v>
      </c>
      <c r="C392" s="109" t="s">
        <v>148</v>
      </c>
      <c r="D392" s="109" t="s">
        <v>149</v>
      </c>
      <c r="E392" s="161">
        <v>15000</v>
      </c>
      <c r="F392" s="165" t="s">
        <v>150</v>
      </c>
      <c r="G392" s="109" t="s">
        <v>150</v>
      </c>
      <c r="H392" s="109" t="s">
        <v>1909</v>
      </c>
      <c r="I392" s="109" t="s">
        <v>1908</v>
      </c>
      <c r="J392" s="109" t="s">
        <v>1910</v>
      </c>
      <c r="K392" s="109" t="s">
        <v>1910</v>
      </c>
      <c r="L392" s="109" t="s">
        <v>1911</v>
      </c>
      <c r="M392" s="166" t="s">
        <v>795</v>
      </c>
      <c r="N392" s="108" t="s">
        <v>48</v>
      </c>
      <c r="O392" s="109" t="s">
        <v>48</v>
      </c>
      <c r="P392" s="162" t="s">
        <v>80</v>
      </c>
      <c r="Q392" s="109" t="s">
        <v>253</v>
      </c>
      <c r="R392" s="109" t="s">
        <v>505</v>
      </c>
      <c r="S392" s="109" t="s">
        <v>48</v>
      </c>
      <c r="T392" s="109" t="s">
        <v>579</v>
      </c>
      <c r="U392" s="109" t="s">
        <v>504</v>
      </c>
      <c r="V392" s="166" t="s">
        <v>471</v>
      </c>
      <c r="W392" s="165" t="s">
        <v>149</v>
      </c>
      <c r="X392" s="109" t="s">
        <v>149</v>
      </c>
      <c r="Y392" s="109" t="s">
        <v>48</v>
      </c>
      <c r="Z392" s="109" t="s">
        <v>48</v>
      </c>
      <c r="AA392" s="109" t="s">
        <v>48</v>
      </c>
      <c r="AB392" s="109" t="s">
        <v>48</v>
      </c>
      <c r="AC392" s="109" t="s">
        <v>48</v>
      </c>
      <c r="AD392" s="166" t="s">
        <v>48</v>
      </c>
      <c r="AE392" s="174" t="s">
        <v>76</v>
      </c>
      <c r="AF392" s="117" t="s">
        <v>1146</v>
      </c>
      <c r="AG392" s="117" t="s">
        <v>472</v>
      </c>
      <c r="AH392" s="109" t="s">
        <v>1908</v>
      </c>
      <c r="AI392" s="117" t="s">
        <v>589</v>
      </c>
      <c r="AJ392" s="117" t="s">
        <v>259</v>
      </c>
      <c r="AK392" s="182" t="s">
        <v>470</v>
      </c>
      <c r="AL392" s="165" t="s">
        <v>907</v>
      </c>
      <c r="AM392" s="109" t="s">
        <v>149</v>
      </c>
      <c r="AN392" s="109" t="s">
        <v>1948</v>
      </c>
      <c r="AO392" s="109" t="s">
        <v>1908</v>
      </c>
      <c r="AP392" s="109" t="s">
        <v>1921</v>
      </c>
      <c r="AQ392" s="109" t="s">
        <v>1921</v>
      </c>
      <c r="AR392" s="109" t="s">
        <v>1946</v>
      </c>
      <c r="AS392" s="166" t="s">
        <v>1119</v>
      </c>
      <c r="AT392" s="165" t="s">
        <v>48</v>
      </c>
      <c r="AU392" s="109" t="s">
        <v>48</v>
      </c>
      <c r="AV392" s="109" t="s">
        <v>48</v>
      </c>
      <c r="AW392" s="109" t="s">
        <v>48</v>
      </c>
      <c r="AX392" s="109" t="s">
        <v>48</v>
      </c>
      <c r="AY392" s="109" t="s">
        <v>48</v>
      </c>
      <c r="AZ392" s="166" t="s">
        <v>48</v>
      </c>
      <c r="BA392" s="162" t="s">
        <v>1243</v>
      </c>
      <c r="BB392" s="109" t="s">
        <v>82</v>
      </c>
      <c r="BC392" s="109" t="s">
        <v>1147</v>
      </c>
    </row>
    <row r="393" spans="1:55" ht="75" customHeight="1">
      <c r="A393" s="109" t="s">
        <v>35</v>
      </c>
      <c r="B393" s="109" t="s">
        <v>2017</v>
      </c>
      <c r="C393" s="109" t="s">
        <v>148</v>
      </c>
      <c r="D393" s="109" t="s">
        <v>149</v>
      </c>
      <c r="E393" s="161">
        <v>15000</v>
      </c>
      <c r="F393" s="165" t="s">
        <v>150</v>
      </c>
      <c r="G393" s="109" t="s">
        <v>150</v>
      </c>
      <c r="H393" s="109" t="s">
        <v>1909</v>
      </c>
      <c r="I393" s="109" t="s">
        <v>1908</v>
      </c>
      <c r="J393" s="109" t="s">
        <v>1910</v>
      </c>
      <c r="K393" s="109" t="s">
        <v>1910</v>
      </c>
      <c r="L393" s="109" t="s">
        <v>1911</v>
      </c>
      <c r="M393" s="166" t="s">
        <v>795</v>
      </c>
      <c r="N393" s="108" t="s">
        <v>48</v>
      </c>
      <c r="O393" s="109" t="s">
        <v>48</v>
      </c>
      <c r="P393" s="162" t="s">
        <v>80</v>
      </c>
      <c r="Q393" s="109" t="s">
        <v>253</v>
      </c>
      <c r="R393" s="109" t="s">
        <v>505</v>
      </c>
      <c r="S393" s="109" t="s">
        <v>48</v>
      </c>
      <c r="T393" s="109" t="s">
        <v>579</v>
      </c>
      <c r="U393" s="109" t="s">
        <v>504</v>
      </c>
      <c r="V393" s="166" t="s">
        <v>471</v>
      </c>
      <c r="W393" s="165" t="s">
        <v>149</v>
      </c>
      <c r="X393" s="109" t="s">
        <v>149</v>
      </c>
      <c r="Y393" s="109" t="s">
        <v>48</v>
      </c>
      <c r="Z393" s="109" t="s">
        <v>48</v>
      </c>
      <c r="AA393" s="109" t="s">
        <v>48</v>
      </c>
      <c r="AB393" s="109" t="s">
        <v>48</v>
      </c>
      <c r="AC393" s="109" t="s">
        <v>48</v>
      </c>
      <c r="AD393" s="166" t="s">
        <v>48</v>
      </c>
      <c r="AE393" s="174" t="s">
        <v>76</v>
      </c>
      <c r="AF393" s="117" t="s">
        <v>1146</v>
      </c>
      <c r="AG393" s="117" t="s">
        <v>472</v>
      </c>
      <c r="AH393" s="109" t="s">
        <v>1908</v>
      </c>
      <c r="AI393" s="117" t="s">
        <v>589</v>
      </c>
      <c r="AJ393" s="117" t="s">
        <v>259</v>
      </c>
      <c r="AK393" s="182" t="s">
        <v>470</v>
      </c>
      <c r="AL393" s="165" t="s">
        <v>1319</v>
      </c>
      <c r="AM393" s="109" t="s">
        <v>149</v>
      </c>
      <c r="AN393" s="109" t="s">
        <v>1947</v>
      </c>
      <c r="AO393" s="109" t="s">
        <v>2039</v>
      </c>
      <c r="AP393" s="109" t="s">
        <v>1921</v>
      </c>
      <c r="AQ393" s="109" t="s">
        <v>1921</v>
      </c>
      <c r="AR393" s="109" t="s">
        <v>1927</v>
      </c>
      <c r="AS393" s="166" t="s">
        <v>1119</v>
      </c>
      <c r="AT393" s="165" t="s">
        <v>48</v>
      </c>
      <c r="AU393" s="109" t="s">
        <v>48</v>
      </c>
      <c r="AV393" s="109" t="s">
        <v>48</v>
      </c>
      <c r="AW393" s="109" t="s">
        <v>48</v>
      </c>
      <c r="AX393" s="109" t="s">
        <v>48</v>
      </c>
      <c r="AY393" s="109" t="s">
        <v>48</v>
      </c>
      <c r="AZ393" s="166" t="s">
        <v>48</v>
      </c>
      <c r="BA393" s="162" t="s">
        <v>1243</v>
      </c>
      <c r="BB393" s="109" t="s">
        <v>82</v>
      </c>
      <c r="BC393" s="109" t="s">
        <v>1147</v>
      </c>
    </row>
    <row r="394" spans="1:55" ht="75" customHeight="1">
      <c r="A394" s="109" t="s">
        <v>34</v>
      </c>
      <c r="B394" s="109" t="s">
        <v>2025</v>
      </c>
      <c r="C394" s="109" t="s">
        <v>148</v>
      </c>
      <c r="D394" s="109" t="s">
        <v>149</v>
      </c>
      <c r="E394" s="161">
        <v>15000</v>
      </c>
      <c r="F394" s="165" t="s">
        <v>150</v>
      </c>
      <c r="G394" s="109" t="s">
        <v>150</v>
      </c>
      <c r="H394" s="109" t="s">
        <v>1909</v>
      </c>
      <c r="I394" s="109" t="s">
        <v>1908</v>
      </c>
      <c r="J394" s="109" t="s">
        <v>1910</v>
      </c>
      <c r="K394" s="109" t="s">
        <v>1910</v>
      </c>
      <c r="L394" s="109" t="s">
        <v>1911</v>
      </c>
      <c r="M394" s="166" t="s">
        <v>795</v>
      </c>
      <c r="N394" s="108" t="s">
        <v>48</v>
      </c>
      <c r="O394" s="109" t="s">
        <v>48</v>
      </c>
      <c r="P394" s="162" t="s">
        <v>80</v>
      </c>
      <c r="Q394" s="109" t="s">
        <v>253</v>
      </c>
      <c r="R394" s="109" t="s">
        <v>505</v>
      </c>
      <c r="S394" s="109" t="s">
        <v>48</v>
      </c>
      <c r="T394" s="109" t="s">
        <v>579</v>
      </c>
      <c r="U394" s="109" t="s">
        <v>504</v>
      </c>
      <c r="V394" s="166" t="s">
        <v>471</v>
      </c>
      <c r="W394" s="165" t="s">
        <v>149</v>
      </c>
      <c r="X394" s="109" t="s">
        <v>149</v>
      </c>
      <c r="Y394" s="109" t="s">
        <v>48</v>
      </c>
      <c r="Z394" s="109" t="s">
        <v>48</v>
      </c>
      <c r="AA394" s="109" t="s">
        <v>48</v>
      </c>
      <c r="AB394" s="109" t="s">
        <v>48</v>
      </c>
      <c r="AC394" s="109" t="s">
        <v>48</v>
      </c>
      <c r="AD394" s="166" t="s">
        <v>48</v>
      </c>
      <c r="AE394" s="174" t="s">
        <v>76</v>
      </c>
      <c r="AF394" s="117" t="s">
        <v>1146</v>
      </c>
      <c r="AG394" s="117" t="s">
        <v>472</v>
      </c>
      <c r="AH394" s="109" t="s">
        <v>1908</v>
      </c>
      <c r="AI394" s="117" t="s">
        <v>589</v>
      </c>
      <c r="AJ394" s="117" t="s">
        <v>259</v>
      </c>
      <c r="AK394" s="182" t="s">
        <v>470</v>
      </c>
      <c r="AL394" s="165" t="s">
        <v>907</v>
      </c>
      <c r="AM394" s="109" t="s">
        <v>149</v>
      </c>
      <c r="AN394" s="109" t="s">
        <v>1948</v>
      </c>
      <c r="AO394" s="109" t="s">
        <v>1908</v>
      </c>
      <c r="AP394" s="109" t="s">
        <v>1921</v>
      </c>
      <c r="AQ394" s="109" t="s">
        <v>1921</v>
      </c>
      <c r="AR394" s="109" t="s">
        <v>1946</v>
      </c>
      <c r="AS394" s="166" t="s">
        <v>1119</v>
      </c>
      <c r="AT394" s="165" t="s">
        <v>48</v>
      </c>
      <c r="AU394" s="109" t="s">
        <v>48</v>
      </c>
      <c r="AV394" s="109" t="s">
        <v>48</v>
      </c>
      <c r="AW394" s="109" t="s">
        <v>48</v>
      </c>
      <c r="AX394" s="109" t="s">
        <v>48</v>
      </c>
      <c r="AY394" s="109" t="s">
        <v>48</v>
      </c>
      <c r="AZ394" s="166" t="s">
        <v>48</v>
      </c>
      <c r="BA394" s="162" t="s">
        <v>1243</v>
      </c>
      <c r="BB394" s="109" t="s">
        <v>82</v>
      </c>
      <c r="BC394" s="109" t="s">
        <v>1147</v>
      </c>
    </row>
    <row r="395" spans="1:55" ht="75" customHeight="1">
      <c r="A395" s="109" t="s">
        <v>34</v>
      </c>
      <c r="B395" s="109" t="s">
        <v>2025</v>
      </c>
      <c r="C395" s="109" t="s">
        <v>148</v>
      </c>
      <c r="D395" s="109" t="s">
        <v>149</v>
      </c>
      <c r="E395" s="161">
        <v>15000</v>
      </c>
      <c r="F395" s="165" t="s">
        <v>150</v>
      </c>
      <c r="G395" s="109" t="s">
        <v>150</v>
      </c>
      <c r="H395" s="109" t="s">
        <v>1909</v>
      </c>
      <c r="I395" s="109" t="s">
        <v>1908</v>
      </c>
      <c r="J395" s="109" t="s">
        <v>1910</v>
      </c>
      <c r="K395" s="109" t="s">
        <v>1910</v>
      </c>
      <c r="L395" s="109" t="s">
        <v>1911</v>
      </c>
      <c r="M395" s="166" t="s">
        <v>795</v>
      </c>
      <c r="N395" s="108" t="s">
        <v>48</v>
      </c>
      <c r="O395" s="109" t="s">
        <v>48</v>
      </c>
      <c r="P395" s="162" t="s">
        <v>80</v>
      </c>
      <c r="Q395" s="109" t="s">
        <v>253</v>
      </c>
      <c r="R395" s="109" t="s">
        <v>505</v>
      </c>
      <c r="S395" s="109" t="s">
        <v>48</v>
      </c>
      <c r="T395" s="109" t="s">
        <v>579</v>
      </c>
      <c r="U395" s="109" t="s">
        <v>504</v>
      </c>
      <c r="V395" s="166" t="s">
        <v>471</v>
      </c>
      <c r="W395" s="165" t="s">
        <v>149</v>
      </c>
      <c r="X395" s="109" t="s">
        <v>149</v>
      </c>
      <c r="Y395" s="109" t="s">
        <v>48</v>
      </c>
      <c r="Z395" s="109" t="s">
        <v>48</v>
      </c>
      <c r="AA395" s="109" t="s">
        <v>48</v>
      </c>
      <c r="AB395" s="109" t="s">
        <v>48</v>
      </c>
      <c r="AC395" s="109" t="s">
        <v>48</v>
      </c>
      <c r="AD395" s="166" t="s">
        <v>48</v>
      </c>
      <c r="AE395" s="174" t="s">
        <v>76</v>
      </c>
      <c r="AF395" s="117" t="s">
        <v>1146</v>
      </c>
      <c r="AG395" s="117" t="s">
        <v>472</v>
      </c>
      <c r="AH395" s="109" t="s">
        <v>1908</v>
      </c>
      <c r="AI395" s="117" t="s">
        <v>589</v>
      </c>
      <c r="AJ395" s="117" t="s">
        <v>259</v>
      </c>
      <c r="AK395" s="182" t="s">
        <v>470</v>
      </c>
      <c r="AL395" s="165" t="s">
        <v>1319</v>
      </c>
      <c r="AM395" s="109" t="s">
        <v>149</v>
      </c>
      <c r="AN395" s="109" t="s">
        <v>1947</v>
      </c>
      <c r="AO395" s="109" t="s">
        <v>2039</v>
      </c>
      <c r="AP395" s="109" t="s">
        <v>1921</v>
      </c>
      <c r="AQ395" s="109" t="s">
        <v>1921</v>
      </c>
      <c r="AR395" s="109" t="s">
        <v>1927</v>
      </c>
      <c r="AS395" s="166" t="s">
        <v>1119</v>
      </c>
      <c r="AT395" s="165" t="s">
        <v>48</v>
      </c>
      <c r="AU395" s="109" t="s">
        <v>48</v>
      </c>
      <c r="AV395" s="109" t="s">
        <v>48</v>
      </c>
      <c r="AW395" s="109" t="s">
        <v>48</v>
      </c>
      <c r="AX395" s="109" t="s">
        <v>48</v>
      </c>
      <c r="AY395" s="109" t="s">
        <v>48</v>
      </c>
      <c r="AZ395" s="166" t="s">
        <v>48</v>
      </c>
      <c r="BA395" s="162" t="s">
        <v>1243</v>
      </c>
      <c r="BB395" s="109" t="s">
        <v>82</v>
      </c>
      <c r="BC395" s="109" t="s">
        <v>1147</v>
      </c>
    </row>
    <row r="396" spans="1:55" ht="75" customHeight="1">
      <c r="A396" s="109" t="s">
        <v>35</v>
      </c>
      <c r="B396" s="109" t="s">
        <v>2017</v>
      </c>
      <c r="C396" s="109" t="s">
        <v>148</v>
      </c>
      <c r="D396" s="109" t="s">
        <v>538</v>
      </c>
      <c r="E396" s="161">
        <v>15000</v>
      </c>
      <c r="F396" s="165" t="s">
        <v>150</v>
      </c>
      <c r="G396" s="109" t="s">
        <v>150</v>
      </c>
      <c r="H396" s="109" t="s">
        <v>1909</v>
      </c>
      <c r="I396" s="109" t="s">
        <v>1908</v>
      </c>
      <c r="J396" s="109" t="s">
        <v>1910</v>
      </c>
      <c r="K396" s="109" t="s">
        <v>1910</v>
      </c>
      <c r="L396" s="109" t="s">
        <v>1911</v>
      </c>
      <c r="M396" s="166" t="s">
        <v>795</v>
      </c>
      <c r="N396" s="108" t="s">
        <v>48</v>
      </c>
      <c r="O396" s="109" t="s">
        <v>48</v>
      </c>
      <c r="P396" s="162" t="s">
        <v>48</v>
      </c>
      <c r="Q396" s="109" t="s">
        <v>48</v>
      </c>
      <c r="R396" s="109" t="s">
        <v>48</v>
      </c>
      <c r="S396" s="109" t="s">
        <v>48</v>
      </c>
      <c r="T396" s="109" t="s">
        <v>48</v>
      </c>
      <c r="U396" s="109" t="s">
        <v>48</v>
      </c>
      <c r="V396" s="166" t="s">
        <v>48</v>
      </c>
      <c r="W396" s="165" t="s">
        <v>538</v>
      </c>
      <c r="X396" s="109" t="s">
        <v>538</v>
      </c>
      <c r="Y396" s="109" t="s">
        <v>48</v>
      </c>
      <c r="Z396" s="109" t="s">
        <v>48</v>
      </c>
      <c r="AA396" s="109" t="s">
        <v>48</v>
      </c>
      <c r="AB396" s="109" t="s">
        <v>48</v>
      </c>
      <c r="AC396" s="109" t="s">
        <v>48</v>
      </c>
      <c r="AD396" s="166" t="s">
        <v>48</v>
      </c>
      <c r="AE396" s="174" t="s">
        <v>48</v>
      </c>
      <c r="AF396" s="117" t="s">
        <v>48</v>
      </c>
      <c r="AG396" s="117" t="s">
        <v>48</v>
      </c>
      <c r="AH396" s="109" t="s">
        <v>48</v>
      </c>
      <c r="AI396" s="117" t="s">
        <v>48</v>
      </c>
      <c r="AJ396" s="117" t="s">
        <v>48</v>
      </c>
      <c r="AK396" s="182" t="s">
        <v>48</v>
      </c>
      <c r="AL396" s="165" t="s">
        <v>907</v>
      </c>
      <c r="AM396" s="109" t="s">
        <v>538</v>
      </c>
      <c r="AN396" s="109" t="s">
        <v>1948</v>
      </c>
      <c r="AO396" s="109" t="s">
        <v>1908</v>
      </c>
      <c r="AP396" s="109" t="s">
        <v>1921</v>
      </c>
      <c r="AQ396" s="109" t="s">
        <v>1921</v>
      </c>
      <c r="AR396" s="109" t="s">
        <v>1946</v>
      </c>
      <c r="AS396" s="166" t="s">
        <v>1119</v>
      </c>
      <c r="AT396" s="165" t="s">
        <v>48</v>
      </c>
      <c r="AU396" s="109" t="s">
        <v>48</v>
      </c>
      <c r="AV396" s="109" t="s">
        <v>48</v>
      </c>
      <c r="AW396" s="109" t="s">
        <v>48</v>
      </c>
      <c r="AX396" s="109" t="s">
        <v>48</v>
      </c>
      <c r="AY396" s="109" t="s">
        <v>48</v>
      </c>
      <c r="AZ396" s="166" t="s">
        <v>48</v>
      </c>
      <c r="BA396" s="162" t="s">
        <v>1243</v>
      </c>
      <c r="BB396" s="109" t="s">
        <v>82</v>
      </c>
      <c r="BC396" s="109"/>
    </row>
    <row r="397" spans="1:55" ht="75" customHeight="1">
      <c r="A397" s="109" t="s">
        <v>35</v>
      </c>
      <c r="B397" s="109" t="s">
        <v>2017</v>
      </c>
      <c r="C397" s="109" t="s">
        <v>148</v>
      </c>
      <c r="D397" s="109" t="s">
        <v>538</v>
      </c>
      <c r="E397" s="161">
        <v>15000</v>
      </c>
      <c r="F397" s="165" t="s">
        <v>150</v>
      </c>
      <c r="G397" s="109" t="s">
        <v>150</v>
      </c>
      <c r="H397" s="109" t="s">
        <v>1909</v>
      </c>
      <c r="I397" s="109" t="s">
        <v>1908</v>
      </c>
      <c r="J397" s="109" t="s">
        <v>1910</v>
      </c>
      <c r="K397" s="109" t="s">
        <v>1910</v>
      </c>
      <c r="L397" s="109" t="s">
        <v>1911</v>
      </c>
      <c r="M397" s="166" t="s">
        <v>795</v>
      </c>
      <c r="N397" s="108" t="s">
        <v>48</v>
      </c>
      <c r="O397" s="109" t="s">
        <v>48</v>
      </c>
      <c r="P397" s="162" t="s">
        <v>48</v>
      </c>
      <c r="Q397" s="109" t="s">
        <v>48</v>
      </c>
      <c r="R397" s="109" t="s">
        <v>48</v>
      </c>
      <c r="S397" s="109" t="s">
        <v>48</v>
      </c>
      <c r="T397" s="109" t="s">
        <v>48</v>
      </c>
      <c r="U397" s="109" t="s">
        <v>48</v>
      </c>
      <c r="V397" s="166" t="s">
        <v>48</v>
      </c>
      <c r="W397" s="165" t="s">
        <v>538</v>
      </c>
      <c r="X397" s="109" t="s">
        <v>538</v>
      </c>
      <c r="Y397" s="109" t="s">
        <v>48</v>
      </c>
      <c r="Z397" s="109" t="s">
        <v>48</v>
      </c>
      <c r="AA397" s="109" t="s">
        <v>48</v>
      </c>
      <c r="AB397" s="109" t="s">
        <v>48</v>
      </c>
      <c r="AC397" s="109" t="s">
        <v>48</v>
      </c>
      <c r="AD397" s="166" t="s">
        <v>48</v>
      </c>
      <c r="AE397" s="174" t="s">
        <v>48</v>
      </c>
      <c r="AF397" s="117" t="s">
        <v>48</v>
      </c>
      <c r="AG397" s="117" t="s">
        <v>48</v>
      </c>
      <c r="AH397" s="109" t="s">
        <v>48</v>
      </c>
      <c r="AI397" s="117" t="s">
        <v>48</v>
      </c>
      <c r="AJ397" s="117" t="s">
        <v>48</v>
      </c>
      <c r="AK397" s="182" t="s">
        <v>48</v>
      </c>
      <c r="AL397" s="165" t="s">
        <v>1319</v>
      </c>
      <c r="AM397" s="109" t="s">
        <v>538</v>
      </c>
      <c r="AN397" s="109" t="s">
        <v>1947</v>
      </c>
      <c r="AO397" s="109" t="s">
        <v>2039</v>
      </c>
      <c r="AP397" s="109" t="s">
        <v>1921</v>
      </c>
      <c r="AQ397" s="109" t="s">
        <v>1921</v>
      </c>
      <c r="AR397" s="109" t="s">
        <v>1927</v>
      </c>
      <c r="AS397" s="166" t="s">
        <v>1119</v>
      </c>
      <c r="AT397" s="165" t="s">
        <v>48</v>
      </c>
      <c r="AU397" s="109" t="s">
        <v>48</v>
      </c>
      <c r="AV397" s="109" t="s">
        <v>48</v>
      </c>
      <c r="AW397" s="109" t="s">
        <v>48</v>
      </c>
      <c r="AX397" s="109" t="s">
        <v>48</v>
      </c>
      <c r="AY397" s="109" t="s">
        <v>48</v>
      </c>
      <c r="AZ397" s="166" t="s">
        <v>48</v>
      </c>
      <c r="BA397" s="162" t="s">
        <v>1243</v>
      </c>
      <c r="BB397" s="109" t="s">
        <v>82</v>
      </c>
      <c r="BC397" s="109"/>
    </row>
    <row r="398" spans="1:55" ht="75" customHeight="1">
      <c r="A398" s="109" t="s">
        <v>34</v>
      </c>
      <c r="B398" s="109" t="s">
        <v>2025</v>
      </c>
      <c r="C398" s="109" t="s">
        <v>148</v>
      </c>
      <c r="D398" s="109" t="s">
        <v>538</v>
      </c>
      <c r="E398" s="161">
        <v>15000</v>
      </c>
      <c r="F398" s="165" t="s">
        <v>150</v>
      </c>
      <c r="G398" s="109" t="s">
        <v>150</v>
      </c>
      <c r="H398" s="109" t="s">
        <v>1909</v>
      </c>
      <c r="I398" s="109" t="s">
        <v>1908</v>
      </c>
      <c r="J398" s="109" t="s">
        <v>1910</v>
      </c>
      <c r="K398" s="109" t="s">
        <v>1910</v>
      </c>
      <c r="L398" s="109" t="s">
        <v>1911</v>
      </c>
      <c r="M398" s="166" t="s">
        <v>795</v>
      </c>
      <c r="N398" s="108" t="s">
        <v>48</v>
      </c>
      <c r="O398" s="109" t="s">
        <v>48</v>
      </c>
      <c r="P398" s="162" t="s">
        <v>48</v>
      </c>
      <c r="Q398" s="109" t="s">
        <v>48</v>
      </c>
      <c r="R398" s="109" t="s">
        <v>48</v>
      </c>
      <c r="S398" s="109" t="s">
        <v>48</v>
      </c>
      <c r="T398" s="109" t="s">
        <v>48</v>
      </c>
      <c r="U398" s="109" t="s">
        <v>48</v>
      </c>
      <c r="V398" s="166" t="s">
        <v>48</v>
      </c>
      <c r="W398" s="165" t="s">
        <v>538</v>
      </c>
      <c r="X398" s="109" t="s">
        <v>538</v>
      </c>
      <c r="Y398" s="109" t="s">
        <v>48</v>
      </c>
      <c r="Z398" s="109" t="s">
        <v>48</v>
      </c>
      <c r="AA398" s="109" t="s">
        <v>48</v>
      </c>
      <c r="AB398" s="109" t="s">
        <v>48</v>
      </c>
      <c r="AC398" s="109" t="s">
        <v>48</v>
      </c>
      <c r="AD398" s="166" t="s">
        <v>48</v>
      </c>
      <c r="AE398" s="174" t="s">
        <v>48</v>
      </c>
      <c r="AF398" s="117" t="s">
        <v>48</v>
      </c>
      <c r="AG398" s="117" t="s">
        <v>48</v>
      </c>
      <c r="AH398" s="109" t="s">
        <v>48</v>
      </c>
      <c r="AI398" s="117" t="s">
        <v>48</v>
      </c>
      <c r="AJ398" s="117" t="s">
        <v>48</v>
      </c>
      <c r="AK398" s="182" t="s">
        <v>48</v>
      </c>
      <c r="AL398" s="165" t="s">
        <v>907</v>
      </c>
      <c r="AM398" s="109" t="s">
        <v>538</v>
      </c>
      <c r="AN398" s="109" t="s">
        <v>1948</v>
      </c>
      <c r="AO398" s="109" t="s">
        <v>1908</v>
      </c>
      <c r="AP398" s="109" t="s">
        <v>1921</v>
      </c>
      <c r="AQ398" s="109" t="s">
        <v>1921</v>
      </c>
      <c r="AR398" s="109" t="s">
        <v>1946</v>
      </c>
      <c r="AS398" s="166" t="s">
        <v>1119</v>
      </c>
      <c r="AT398" s="165" t="s">
        <v>48</v>
      </c>
      <c r="AU398" s="109" t="s">
        <v>48</v>
      </c>
      <c r="AV398" s="109" t="s">
        <v>48</v>
      </c>
      <c r="AW398" s="109" t="s">
        <v>48</v>
      </c>
      <c r="AX398" s="109" t="s">
        <v>48</v>
      </c>
      <c r="AY398" s="109" t="s">
        <v>48</v>
      </c>
      <c r="AZ398" s="166" t="s">
        <v>48</v>
      </c>
      <c r="BA398" s="162" t="s">
        <v>1243</v>
      </c>
      <c r="BB398" s="109" t="s">
        <v>82</v>
      </c>
      <c r="BC398" s="109"/>
    </row>
    <row r="399" spans="1:55" ht="75" customHeight="1">
      <c r="A399" s="109" t="s">
        <v>34</v>
      </c>
      <c r="B399" s="109" t="s">
        <v>2025</v>
      </c>
      <c r="C399" s="109" t="s">
        <v>148</v>
      </c>
      <c r="D399" s="109" t="s">
        <v>538</v>
      </c>
      <c r="E399" s="161">
        <v>15000</v>
      </c>
      <c r="F399" s="165" t="s">
        <v>150</v>
      </c>
      <c r="G399" s="109" t="s">
        <v>150</v>
      </c>
      <c r="H399" s="109" t="s">
        <v>1909</v>
      </c>
      <c r="I399" s="109" t="s">
        <v>1908</v>
      </c>
      <c r="J399" s="109" t="s">
        <v>1910</v>
      </c>
      <c r="K399" s="109" t="s">
        <v>1910</v>
      </c>
      <c r="L399" s="109" t="s">
        <v>1911</v>
      </c>
      <c r="M399" s="166" t="s">
        <v>795</v>
      </c>
      <c r="N399" s="108" t="s">
        <v>48</v>
      </c>
      <c r="O399" s="109" t="s">
        <v>48</v>
      </c>
      <c r="P399" s="162" t="s">
        <v>48</v>
      </c>
      <c r="Q399" s="109" t="s">
        <v>48</v>
      </c>
      <c r="R399" s="109" t="s">
        <v>48</v>
      </c>
      <c r="S399" s="109" t="s">
        <v>48</v>
      </c>
      <c r="T399" s="109" t="s">
        <v>48</v>
      </c>
      <c r="U399" s="109" t="s">
        <v>48</v>
      </c>
      <c r="V399" s="166" t="s">
        <v>48</v>
      </c>
      <c r="W399" s="165" t="s">
        <v>538</v>
      </c>
      <c r="X399" s="109" t="s">
        <v>538</v>
      </c>
      <c r="Y399" s="109" t="s">
        <v>48</v>
      </c>
      <c r="Z399" s="109" t="s">
        <v>48</v>
      </c>
      <c r="AA399" s="109" t="s">
        <v>48</v>
      </c>
      <c r="AB399" s="109" t="s">
        <v>48</v>
      </c>
      <c r="AC399" s="109" t="s">
        <v>48</v>
      </c>
      <c r="AD399" s="166" t="s">
        <v>48</v>
      </c>
      <c r="AE399" s="174" t="s">
        <v>48</v>
      </c>
      <c r="AF399" s="117" t="s">
        <v>48</v>
      </c>
      <c r="AG399" s="117" t="s">
        <v>48</v>
      </c>
      <c r="AH399" s="109" t="s">
        <v>48</v>
      </c>
      <c r="AI399" s="117" t="s">
        <v>48</v>
      </c>
      <c r="AJ399" s="117" t="s">
        <v>48</v>
      </c>
      <c r="AK399" s="182" t="s">
        <v>48</v>
      </c>
      <c r="AL399" s="165" t="s">
        <v>1319</v>
      </c>
      <c r="AM399" s="109" t="s">
        <v>538</v>
      </c>
      <c r="AN399" s="109" t="s">
        <v>1947</v>
      </c>
      <c r="AO399" s="109" t="s">
        <v>2039</v>
      </c>
      <c r="AP399" s="109" t="s">
        <v>1921</v>
      </c>
      <c r="AQ399" s="109" t="s">
        <v>1921</v>
      </c>
      <c r="AR399" s="109" t="s">
        <v>1927</v>
      </c>
      <c r="AS399" s="166" t="s">
        <v>1119</v>
      </c>
      <c r="AT399" s="165" t="s">
        <v>48</v>
      </c>
      <c r="AU399" s="109" t="s">
        <v>48</v>
      </c>
      <c r="AV399" s="109" t="s">
        <v>48</v>
      </c>
      <c r="AW399" s="109" t="s">
        <v>48</v>
      </c>
      <c r="AX399" s="109" t="s">
        <v>48</v>
      </c>
      <c r="AY399" s="109" t="s">
        <v>48</v>
      </c>
      <c r="AZ399" s="166" t="s">
        <v>48</v>
      </c>
      <c r="BA399" s="162" t="s">
        <v>1243</v>
      </c>
      <c r="BB399" s="109" t="s">
        <v>82</v>
      </c>
      <c r="BC399" s="109"/>
    </row>
    <row r="400" spans="1:55" ht="75" customHeight="1">
      <c r="A400" s="109" t="s">
        <v>35</v>
      </c>
      <c r="B400" s="109" t="s">
        <v>2017</v>
      </c>
      <c r="C400" s="109" t="s">
        <v>148</v>
      </c>
      <c r="D400" s="109" t="s">
        <v>150</v>
      </c>
      <c r="E400" s="161">
        <v>15000</v>
      </c>
      <c r="F400" s="165" t="s">
        <v>150</v>
      </c>
      <c r="G400" s="109" t="s">
        <v>150</v>
      </c>
      <c r="H400" s="109" t="s">
        <v>48</v>
      </c>
      <c r="I400" s="109" t="s">
        <v>48</v>
      </c>
      <c r="J400" s="109" t="s">
        <v>48</v>
      </c>
      <c r="K400" s="109" t="s">
        <v>48</v>
      </c>
      <c r="L400" s="109" t="s">
        <v>48</v>
      </c>
      <c r="M400" s="166" t="s">
        <v>48</v>
      </c>
      <c r="N400" s="108" t="s">
        <v>48</v>
      </c>
      <c r="O400" s="109" t="s">
        <v>48</v>
      </c>
      <c r="P400" s="162" t="s">
        <v>48</v>
      </c>
      <c r="Q400" s="109" t="s">
        <v>48</v>
      </c>
      <c r="R400" s="109" t="s">
        <v>48</v>
      </c>
      <c r="S400" s="109" t="s">
        <v>48</v>
      </c>
      <c r="T400" s="109" t="s">
        <v>48</v>
      </c>
      <c r="U400" s="109" t="s">
        <v>48</v>
      </c>
      <c r="V400" s="166" t="s">
        <v>48</v>
      </c>
      <c r="W400" s="165" t="s">
        <v>150</v>
      </c>
      <c r="X400" s="109" t="s">
        <v>150</v>
      </c>
      <c r="Y400" s="109" t="s">
        <v>48</v>
      </c>
      <c r="Z400" s="109" t="s">
        <v>48</v>
      </c>
      <c r="AA400" s="109" t="s">
        <v>48</v>
      </c>
      <c r="AB400" s="109" t="s">
        <v>48</v>
      </c>
      <c r="AC400" s="109" t="s">
        <v>48</v>
      </c>
      <c r="AD400" s="166" t="s">
        <v>48</v>
      </c>
      <c r="AE400" s="174" t="s">
        <v>48</v>
      </c>
      <c r="AF400" s="117" t="s">
        <v>48</v>
      </c>
      <c r="AG400" s="117" t="s">
        <v>48</v>
      </c>
      <c r="AH400" s="109" t="s">
        <v>48</v>
      </c>
      <c r="AI400" s="117" t="s">
        <v>48</v>
      </c>
      <c r="AJ400" s="117" t="s">
        <v>48</v>
      </c>
      <c r="AK400" s="182" t="s">
        <v>48</v>
      </c>
      <c r="AL400" s="165" t="s">
        <v>907</v>
      </c>
      <c r="AM400" s="109" t="s">
        <v>150</v>
      </c>
      <c r="AN400" s="109" t="s">
        <v>1948</v>
      </c>
      <c r="AO400" s="109" t="s">
        <v>1908</v>
      </c>
      <c r="AP400" s="109" t="s">
        <v>1921</v>
      </c>
      <c r="AQ400" s="109" t="s">
        <v>1921</v>
      </c>
      <c r="AR400" s="109" t="s">
        <v>1946</v>
      </c>
      <c r="AS400" s="166" t="s">
        <v>1119</v>
      </c>
      <c r="AT400" s="165" t="s">
        <v>48</v>
      </c>
      <c r="AU400" s="109" t="s">
        <v>48</v>
      </c>
      <c r="AV400" s="109" t="s">
        <v>48</v>
      </c>
      <c r="AW400" s="109" t="s">
        <v>48</v>
      </c>
      <c r="AX400" s="109" t="s">
        <v>48</v>
      </c>
      <c r="AY400" s="109" t="s">
        <v>48</v>
      </c>
      <c r="AZ400" s="166" t="s">
        <v>48</v>
      </c>
      <c r="BA400" s="162" t="s">
        <v>1242</v>
      </c>
      <c r="BB400" s="109" t="s">
        <v>82</v>
      </c>
      <c r="BC400" s="109" t="s">
        <v>1148</v>
      </c>
    </row>
    <row r="401" spans="1:55" ht="75" customHeight="1">
      <c r="A401" s="109" t="s">
        <v>35</v>
      </c>
      <c r="B401" s="109" t="s">
        <v>2017</v>
      </c>
      <c r="C401" s="109" t="s">
        <v>148</v>
      </c>
      <c r="D401" s="109" t="s">
        <v>150</v>
      </c>
      <c r="E401" s="161">
        <v>15000</v>
      </c>
      <c r="F401" s="165" t="s">
        <v>150</v>
      </c>
      <c r="G401" s="109" t="s">
        <v>150</v>
      </c>
      <c r="H401" s="109" t="s">
        <v>48</v>
      </c>
      <c r="I401" s="109" t="s">
        <v>48</v>
      </c>
      <c r="J401" s="109" t="s">
        <v>48</v>
      </c>
      <c r="K401" s="109" t="s">
        <v>48</v>
      </c>
      <c r="L401" s="109" t="s">
        <v>48</v>
      </c>
      <c r="M401" s="166" t="s">
        <v>48</v>
      </c>
      <c r="N401" s="108" t="s">
        <v>48</v>
      </c>
      <c r="O401" s="109" t="s">
        <v>48</v>
      </c>
      <c r="P401" s="162" t="s">
        <v>48</v>
      </c>
      <c r="Q401" s="109" t="s">
        <v>48</v>
      </c>
      <c r="R401" s="109" t="s">
        <v>48</v>
      </c>
      <c r="S401" s="109" t="s">
        <v>48</v>
      </c>
      <c r="T401" s="109" t="s">
        <v>48</v>
      </c>
      <c r="U401" s="109" t="s">
        <v>48</v>
      </c>
      <c r="V401" s="166" t="s">
        <v>48</v>
      </c>
      <c r="W401" s="165" t="s">
        <v>150</v>
      </c>
      <c r="X401" s="109" t="s">
        <v>150</v>
      </c>
      <c r="Y401" s="109" t="s">
        <v>48</v>
      </c>
      <c r="Z401" s="109" t="s">
        <v>48</v>
      </c>
      <c r="AA401" s="109" t="s">
        <v>48</v>
      </c>
      <c r="AB401" s="109" t="s">
        <v>48</v>
      </c>
      <c r="AC401" s="109" t="s">
        <v>48</v>
      </c>
      <c r="AD401" s="166" t="s">
        <v>48</v>
      </c>
      <c r="AE401" s="174" t="s">
        <v>48</v>
      </c>
      <c r="AF401" s="117" t="s">
        <v>48</v>
      </c>
      <c r="AG401" s="117" t="s">
        <v>48</v>
      </c>
      <c r="AH401" s="109" t="s">
        <v>48</v>
      </c>
      <c r="AI401" s="117" t="s">
        <v>48</v>
      </c>
      <c r="AJ401" s="117" t="s">
        <v>48</v>
      </c>
      <c r="AK401" s="182" t="s">
        <v>48</v>
      </c>
      <c r="AL401" s="165" t="s">
        <v>1319</v>
      </c>
      <c r="AM401" s="109" t="s">
        <v>150</v>
      </c>
      <c r="AN401" s="109" t="s">
        <v>1947</v>
      </c>
      <c r="AO401" s="109" t="s">
        <v>2039</v>
      </c>
      <c r="AP401" s="109" t="s">
        <v>1921</v>
      </c>
      <c r="AQ401" s="109" t="s">
        <v>1921</v>
      </c>
      <c r="AR401" s="109" t="s">
        <v>1927</v>
      </c>
      <c r="AS401" s="166" t="s">
        <v>1119</v>
      </c>
      <c r="AT401" s="165" t="s">
        <v>48</v>
      </c>
      <c r="AU401" s="109" t="s">
        <v>48</v>
      </c>
      <c r="AV401" s="109" t="s">
        <v>48</v>
      </c>
      <c r="AW401" s="109" t="s">
        <v>48</v>
      </c>
      <c r="AX401" s="109" t="s">
        <v>48</v>
      </c>
      <c r="AY401" s="109" t="s">
        <v>48</v>
      </c>
      <c r="AZ401" s="166" t="s">
        <v>48</v>
      </c>
      <c r="BA401" s="162" t="s">
        <v>1242</v>
      </c>
      <c r="BB401" s="109" t="s">
        <v>82</v>
      </c>
      <c r="BC401" s="109" t="s">
        <v>1148</v>
      </c>
    </row>
    <row r="402" spans="1:55" ht="75" customHeight="1">
      <c r="A402" s="109" t="s">
        <v>34</v>
      </c>
      <c r="B402" s="109" t="s">
        <v>2025</v>
      </c>
      <c r="C402" s="109" t="s">
        <v>148</v>
      </c>
      <c r="D402" s="109" t="s">
        <v>150</v>
      </c>
      <c r="E402" s="161">
        <v>15000</v>
      </c>
      <c r="F402" s="165" t="s">
        <v>150</v>
      </c>
      <c r="G402" s="109" t="s">
        <v>150</v>
      </c>
      <c r="H402" s="109" t="s">
        <v>48</v>
      </c>
      <c r="I402" s="109" t="s">
        <v>48</v>
      </c>
      <c r="J402" s="109" t="s">
        <v>48</v>
      </c>
      <c r="K402" s="109" t="s">
        <v>48</v>
      </c>
      <c r="L402" s="109" t="s">
        <v>48</v>
      </c>
      <c r="M402" s="166" t="s">
        <v>48</v>
      </c>
      <c r="N402" s="108" t="s">
        <v>48</v>
      </c>
      <c r="O402" s="109" t="s">
        <v>48</v>
      </c>
      <c r="P402" s="162" t="s">
        <v>48</v>
      </c>
      <c r="Q402" s="109" t="s">
        <v>48</v>
      </c>
      <c r="R402" s="109" t="s">
        <v>48</v>
      </c>
      <c r="S402" s="109" t="s">
        <v>48</v>
      </c>
      <c r="T402" s="109" t="s">
        <v>48</v>
      </c>
      <c r="U402" s="109" t="s">
        <v>48</v>
      </c>
      <c r="V402" s="166" t="s">
        <v>48</v>
      </c>
      <c r="W402" s="165" t="s">
        <v>150</v>
      </c>
      <c r="X402" s="109" t="s">
        <v>150</v>
      </c>
      <c r="Y402" s="109" t="s">
        <v>48</v>
      </c>
      <c r="Z402" s="109" t="s">
        <v>48</v>
      </c>
      <c r="AA402" s="109" t="s">
        <v>48</v>
      </c>
      <c r="AB402" s="109" t="s">
        <v>48</v>
      </c>
      <c r="AC402" s="109" t="s">
        <v>48</v>
      </c>
      <c r="AD402" s="166" t="s">
        <v>48</v>
      </c>
      <c r="AE402" s="174" t="s">
        <v>48</v>
      </c>
      <c r="AF402" s="117" t="s">
        <v>48</v>
      </c>
      <c r="AG402" s="117" t="s">
        <v>48</v>
      </c>
      <c r="AH402" s="109" t="s">
        <v>48</v>
      </c>
      <c r="AI402" s="117" t="s">
        <v>48</v>
      </c>
      <c r="AJ402" s="117" t="s">
        <v>48</v>
      </c>
      <c r="AK402" s="182" t="s">
        <v>48</v>
      </c>
      <c r="AL402" s="165" t="s">
        <v>907</v>
      </c>
      <c r="AM402" s="109" t="s">
        <v>150</v>
      </c>
      <c r="AN402" s="109" t="s">
        <v>1948</v>
      </c>
      <c r="AO402" s="109" t="s">
        <v>1908</v>
      </c>
      <c r="AP402" s="109" t="s">
        <v>1921</v>
      </c>
      <c r="AQ402" s="109" t="s">
        <v>1921</v>
      </c>
      <c r="AR402" s="109" t="s">
        <v>1946</v>
      </c>
      <c r="AS402" s="166" t="s">
        <v>1119</v>
      </c>
      <c r="AT402" s="165" t="s">
        <v>48</v>
      </c>
      <c r="AU402" s="109" t="s">
        <v>48</v>
      </c>
      <c r="AV402" s="109" t="s">
        <v>48</v>
      </c>
      <c r="AW402" s="109" t="s">
        <v>48</v>
      </c>
      <c r="AX402" s="109" t="s">
        <v>48</v>
      </c>
      <c r="AY402" s="109" t="s">
        <v>48</v>
      </c>
      <c r="AZ402" s="166" t="s">
        <v>48</v>
      </c>
      <c r="BA402" s="162" t="s">
        <v>1242</v>
      </c>
      <c r="BB402" s="109" t="s">
        <v>82</v>
      </c>
      <c r="BC402" s="109" t="s">
        <v>1148</v>
      </c>
    </row>
    <row r="403" spans="1:55" ht="75" customHeight="1">
      <c r="A403" s="109" t="s">
        <v>34</v>
      </c>
      <c r="B403" s="109" t="s">
        <v>2025</v>
      </c>
      <c r="C403" s="109" t="s">
        <v>148</v>
      </c>
      <c r="D403" s="109" t="s">
        <v>150</v>
      </c>
      <c r="E403" s="161">
        <v>15000</v>
      </c>
      <c r="F403" s="165" t="s">
        <v>150</v>
      </c>
      <c r="G403" s="109" t="s">
        <v>150</v>
      </c>
      <c r="H403" s="109" t="s">
        <v>48</v>
      </c>
      <c r="I403" s="109" t="s">
        <v>48</v>
      </c>
      <c r="J403" s="109" t="s">
        <v>48</v>
      </c>
      <c r="K403" s="109" t="s">
        <v>48</v>
      </c>
      <c r="L403" s="109" t="s">
        <v>48</v>
      </c>
      <c r="M403" s="166" t="s">
        <v>48</v>
      </c>
      <c r="N403" s="108" t="s">
        <v>48</v>
      </c>
      <c r="O403" s="109" t="s">
        <v>48</v>
      </c>
      <c r="P403" s="162" t="s">
        <v>48</v>
      </c>
      <c r="Q403" s="109" t="s">
        <v>48</v>
      </c>
      <c r="R403" s="109" t="s">
        <v>48</v>
      </c>
      <c r="S403" s="109" t="s">
        <v>48</v>
      </c>
      <c r="T403" s="109" t="s">
        <v>48</v>
      </c>
      <c r="U403" s="109" t="s">
        <v>48</v>
      </c>
      <c r="V403" s="166" t="s">
        <v>48</v>
      </c>
      <c r="W403" s="165" t="s">
        <v>150</v>
      </c>
      <c r="X403" s="109" t="s">
        <v>150</v>
      </c>
      <c r="Y403" s="109" t="s">
        <v>48</v>
      </c>
      <c r="Z403" s="109" t="s">
        <v>48</v>
      </c>
      <c r="AA403" s="109" t="s">
        <v>48</v>
      </c>
      <c r="AB403" s="109" t="s">
        <v>48</v>
      </c>
      <c r="AC403" s="109" t="s">
        <v>48</v>
      </c>
      <c r="AD403" s="166" t="s">
        <v>48</v>
      </c>
      <c r="AE403" s="174" t="s">
        <v>48</v>
      </c>
      <c r="AF403" s="117" t="s">
        <v>48</v>
      </c>
      <c r="AG403" s="117" t="s">
        <v>48</v>
      </c>
      <c r="AH403" s="109" t="s">
        <v>48</v>
      </c>
      <c r="AI403" s="117" t="s">
        <v>48</v>
      </c>
      <c r="AJ403" s="117" t="s">
        <v>48</v>
      </c>
      <c r="AK403" s="182" t="s">
        <v>48</v>
      </c>
      <c r="AL403" s="165" t="s">
        <v>1319</v>
      </c>
      <c r="AM403" s="109" t="s">
        <v>150</v>
      </c>
      <c r="AN403" s="109" t="s">
        <v>1947</v>
      </c>
      <c r="AO403" s="109" t="s">
        <v>2039</v>
      </c>
      <c r="AP403" s="109" t="s">
        <v>1921</v>
      </c>
      <c r="AQ403" s="109" t="s">
        <v>1921</v>
      </c>
      <c r="AR403" s="109" t="s">
        <v>1927</v>
      </c>
      <c r="AS403" s="166" t="s">
        <v>1119</v>
      </c>
      <c r="AT403" s="165" t="s">
        <v>48</v>
      </c>
      <c r="AU403" s="109" t="s">
        <v>48</v>
      </c>
      <c r="AV403" s="109" t="s">
        <v>48</v>
      </c>
      <c r="AW403" s="109" t="s">
        <v>48</v>
      </c>
      <c r="AX403" s="109" t="s">
        <v>48</v>
      </c>
      <c r="AY403" s="109" t="s">
        <v>48</v>
      </c>
      <c r="AZ403" s="166" t="s">
        <v>48</v>
      </c>
      <c r="BA403" s="162" t="s">
        <v>1242</v>
      </c>
      <c r="BB403" s="109" t="s">
        <v>82</v>
      </c>
      <c r="BC403" s="109" t="s">
        <v>1148</v>
      </c>
    </row>
    <row r="404" spans="1:55" ht="75" hidden="1" customHeight="1">
      <c r="A404" s="109" t="s">
        <v>461</v>
      </c>
      <c r="B404" s="109" t="s">
        <v>461</v>
      </c>
      <c r="C404" s="109" t="s">
        <v>22</v>
      </c>
      <c r="D404" s="109" t="s">
        <v>574</v>
      </c>
      <c r="E404" s="161">
        <v>15000</v>
      </c>
      <c r="F404" s="165" t="s">
        <v>574</v>
      </c>
      <c r="G404" s="109" t="s">
        <v>574</v>
      </c>
      <c r="H404" s="109" t="s">
        <v>48</v>
      </c>
      <c r="I404" s="109" t="s">
        <v>48</v>
      </c>
      <c r="J404" s="109" t="s">
        <v>48</v>
      </c>
      <c r="K404" s="109" t="s">
        <v>48</v>
      </c>
      <c r="L404" s="109" t="s">
        <v>48</v>
      </c>
      <c r="M404" s="166" t="s">
        <v>48</v>
      </c>
      <c r="N404" s="108" t="s">
        <v>48</v>
      </c>
      <c r="O404" s="109" t="s">
        <v>48</v>
      </c>
      <c r="P404" s="162" t="s">
        <v>48</v>
      </c>
      <c r="Q404" s="109" t="s">
        <v>48</v>
      </c>
      <c r="R404" s="109" t="s">
        <v>48</v>
      </c>
      <c r="S404" s="109" t="s">
        <v>48</v>
      </c>
      <c r="T404" s="109" t="s">
        <v>48</v>
      </c>
      <c r="U404" s="109" t="s">
        <v>48</v>
      </c>
      <c r="V404" s="166" t="s">
        <v>48</v>
      </c>
      <c r="W404" s="165" t="s">
        <v>117</v>
      </c>
      <c r="X404" s="109" t="s">
        <v>574</v>
      </c>
      <c r="Y404" s="109" t="s">
        <v>782</v>
      </c>
      <c r="Z404" s="109" t="s">
        <v>1908</v>
      </c>
      <c r="AA404" s="109" t="s">
        <v>783</v>
      </c>
      <c r="AB404" s="109" t="s">
        <v>783</v>
      </c>
      <c r="AC404" s="109" t="s">
        <v>784</v>
      </c>
      <c r="AD404" s="166" t="s">
        <v>785</v>
      </c>
      <c r="AE404" s="165" t="s">
        <v>48</v>
      </c>
      <c r="AF404" s="109" t="s">
        <v>48</v>
      </c>
      <c r="AG404" s="109" t="s">
        <v>48</v>
      </c>
      <c r="AH404" s="109" t="s">
        <v>48</v>
      </c>
      <c r="AI404" s="109" t="s">
        <v>48</v>
      </c>
      <c r="AJ404" s="109" t="s">
        <v>48</v>
      </c>
      <c r="AK404" s="166" t="s">
        <v>48</v>
      </c>
      <c r="AL404" s="165" t="s">
        <v>574</v>
      </c>
      <c r="AM404" s="109" t="s">
        <v>574</v>
      </c>
      <c r="AN404" s="109" t="s">
        <v>48</v>
      </c>
      <c r="AO404" s="109" t="s">
        <v>48</v>
      </c>
      <c r="AP404" s="109" t="s">
        <v>48</v>
      </c>
      <c r="AQ404" s="109" t="s">
        <v>48</v>
      </c>
      <c r="AR404" s="109" t="s">
        <v>48</v>
      </c>
      <c r="AS404" s="166" t="s">
        <v>48</v>
      </c>
      <c r="AT404" s="165" t="s">
        <v>48</v>
      </c>
      <c r="AU404" s="109" t="s">
        <v>48</v>
      </c>
      <c r="AV404" s="109" t="s">
        <v>48</v>
      </c>
      <c r="AW404" s="109" t="s">
        <v>48</v>
      </c>
      <c r="AX404" s="109" t="s">
        <v>48</v>
      </c>
      <c r="AY404" s="109" t="s">
        <v>48</v>
      </c>
      <c r="AZ404" s="166" t="s">
        <v>48</v>
      </c>
      <c r="BA404" s="162" t="s">
        <v>48</v>
      </c>
      <c r="BB404" s="109" t="s">
        <v>62</v>
      </c>
      <c r="BC404" s="79"/>
    </row>
    <row r="405" spans="1:55" ht="75" hidden="1" customHeight="1">
      <c r="A405" s="109" t="s">
        <v>461</v>
      </c>
      <c r="B405" s="109" t="s">
        <v>461</v>
      </c>
      <c r="C405" s="109" t="s">
        <v>22</v>
      </c>
      <c r="D405" s="109" t="s">
        <v>541</v>
      </c>
      <c r="E405" s="161">
        <v>15000</v>
      </c>
      <c r="F405" s="165" t="s">
        <v>541</v>
      </c>
      <c r="G405" s="109" t="s">
        <v>541</v>
      </c>
      <c r="H405" s="109" t="s">
        <v>48</v>
      </c>
      <c r="I405" s="109" t="s">
        <v>48</v>
      </c>
      <c r="J405" s="109" t="s">
        <v>48</v>
      </c>
      <c r="K405" s="109" t="s">
        <v>48</v>
      </c>
      <c r="L405" s="109" t="s">
        <v>48</v>
      </c>
      <c r="M405" s="166" t="s">
        <v>48</v>
      </c>
      <c r="N405" s="108" t="s">
        <v>48</v>
      </c>
      <c r="O405" s="109" t="s">
        <v>48</v>
      </c>
      <c r="P405" s="162" t="s">
        <v>48</v>
      </c>
      <c r="Q405" s="109" t="s">
        <v>48</v>
      </c>
      <c r="R405" s="109" t="s">
        <v>48</v>
      </c>
      <c r="S405" s="109" t="s">
        <v>48</v>
      </c>
      <c r="T405" s="109" t="s">
        <v>48</v>
      </c>
      <c r="U405" s="109" t="s">
        <v>48</v>
      </c>
      <c r="V405" s="166" t="s">
        <v>48</v>
      </c>
      <c r="W405" s="165" t="s">
        <v>117</v>
      </c>
      <c r="X405" s="109" t="s">
        <v>541</v>
      </c>
      <c r="Y405" s="109" t="s">
        <v>782</v>
      </c>
      <c r="Z405" s="109" t="s">
        <v>1908</v>
      </c>
      <c r="AA405" s="109" t="s">
        <v>783</v>
      </c>
      <c r="AB405" s="109" t="s">
        <v>783</v>
      </c>
      <c r="AC405" s="109" t="s">
        <v>784</v>
      </c>
      <c r="AD405" s="166" t="s">
        <v>785</v>
      </c>
      <c r="AE405" s="165" t="s">
        <v>68</v>
      </c>
      <c r="AF405" s="109" t="s">
        <v>781</v>
      </c>
      <c r="AG405" s="109" t="s">
        <v>499</v>
      </c>
      <c r="AH405" s="109" t="s">
        <v>1908</v>
      </c>
      <c r="AI405" s="109" t="s">
        <v>48</v>
      </c>
      <c r="AJ405" s="109" t="s">
        <v>48</v>
      </c>
      <c r="AK405" s="166" t="s">
        <v>48</v>
      </c>
      <c r="AL405" s="165" t="s">
        <v>541</v>
      </c>
      <c r="AM405" s="109" t="s">
        <v>541</v>
      </c>
      <c r="AN405" s="109" t="s">
        <v>48</v>
      </c>
      <c r="AO405" s="109" t="s">
        <v>48</v>
      </c>
      <c r="AP405" s="109" t="s">
        <v>48</v>
      </c>
      <c r="AQ405" s="109" t="s">
        <v>48</v>
      </c>
      <c r="AR405" s="109" t="s">
        <v>48</v>
      </c>
      <c r="AS405" s="166" t="s">
        <v>48</v>
      </c>
      <c r="AT405" s="165" t="s">
        <v>48</v>
      </c>
      <c r="AU405" s="109" t="s">
        <v>48</v>
      </c>
      <c r="AV405" s="109" t="s">
        <v>48</v>
      </c>
      <c r="AW405" s="109" t="s">
        <v>48</v>
      </c>
      <c r="AX405" s="109" t="s">
        <v>48</v>
      </c>
      <c r="AY405" s="109" t="s">
        <v>48</v>
      </c>
      <c r="AZ405" s="166" t="s">
        <v>48</v>
      </c>
      <c r="BA405" s="162" t="s">
        <v>48</v>
      </c>
      <c r="BB405" s="109" t="s">
        <v>62</v>
      </c>
      <c r="BC405" s="79"/>
    </row>
    <row r="406" spans="1:55" ht="75" hidden="1" customHeight="1">
      <c r="A406" s="109" t="s">
        <v>461</v>
      </c>
      <c r="B406" s="109" t="s">
        <v>461</v>
      </c>
      <c r="C406" s="109" t="s">
        <v>22</v>
      </c>
      <c r="D406" s="109" t="s">
        <v>117</v>
      </c>
      <c r="E406" s="161">
        <v>15000</v>
      </c>
      <c r="F406" s="165" t="s">
        <v>117</v>
      </c>
      <c r="G406" s="109" t="str">
        <f>F406</f>
        <v>HDE15.0_M4_0943.c</v>
      </c>
      <c r="H406" s="109" t="s">
        <v>2354</v>
      </c>
      <c r="I406" s="109" t="s">
        <v>1908</v>
      </c>
      <c r="J406" s="109" t="s">
        <v>1910</v>
      </c>
      <c r="K406" s="109" t="s">
        <v>1910</v>
      </c>
      <c r="L406" s="109" t="s">
        <v>2355</v>
      </c>
      <c r="M406" s="166" t="s">
        <v>795</v>
      </c>
      <c r="N406" s="108" t="s">
        <v>48</v>
      </c>
      <c r="O406" s="109" t="s">
        <v>48</v>
      </c>
      <c r="P406" s="162" t="s">
        <v>48</v>
      </c>
      <c r="Q406" s="109" t="s">
        <v>48</v>
      </c>
      <c r="R406" s="109" t="s">
        <v>48</v>
      </c>
      <c r="S406" s="109" t="s">
        <v>48</v>
      </c>
      <c r="T406" s="109" t="s">
        <v>48</v>
      </c>
      <c r="U406" s="109" t="s">
        <v>48</v>
      </c>
      <c r="V406" s="166" t="s">
        <v>48</v>
      </c>
      <c r="W406" s="165" t="s">
        <v>117</v>
      </c>
      <c r="X406" s="109" t="str">
        <f>W406</f>
        <v>HDE15.0_M4_0943.c</v>
      </c>
      <c r="Y406" s="109" t="s">
        <v>48</v>
      </c>
      <c r="Z406" s="109" t="s">
        <v>48</v>
      </c>
      <c r="AA406" s="109" t="s">
        <v>48</v>
      </c>
      <c r="AB406" s="109" t="s">
        <v>48</v>
      </c>
      <c r="AC406" s="109" t="s">
        <v>48</v>
      </c>
      <c r="AD406" s="166" t="s">
        <v>48</v>
      </c>
      <c r="AE406" s="165" t="s">
        <v>118</v>
      </c>
      <c r="AF406" s="109" t="s">
        <v>251</v>
      </c>
      <c r="AG406" s="109" t="s">
        <v>501</v>
      </c>
      <c r="AH406" s="109" t="s">
        <v>1908</v>
      </c>
      <c r="AI406" s="109" t="s">
        <v>624</v>
      </c>
      <c r="AJ406" s="109" t="s">
        <v>444</v>
      </c>
      <c r="AK406" s="166" t="s">
        <v>780</v>
      </c>
      <c r="AL406" s="165" t="s">
        <v>117</v>
      </c>
      <c r="AM406" s="109" t="str">
        <f>AL406</f>
        <v>HDE15.0_M4_0943.c</v>
      </c>
      <c r="AN406" s="109" t="s">
        <v>48</v>
      </c>
      <c r="AO406" s="109" t="s">
        <v>48</v>
      </c>
      <c r="AP406" s="109" t="s">
        <v>48</v>
      </c>
      <c r="AQ406" s="109" t="s">
        <v>48</v>
      </c>
      <c r="AR406" s="109" t="s">
        <v>48</v>
      </c>
      <c r="AS406" s="166" t="s">
        <v>48</v>
      </c>
      <c r="AT406" s="165" t="s">
        <v>48</v>
      </c>
      <c r="AU406" s="109" t="s">
        <v>48</v>
      </c>
      <c r="AV406" s="109" t="s">
        <v>48</v>
      </c>
      <c r="AW406" s="109" t="s">
        <v>48</v>
      </c>
      <c r="AX406" s="109" t="s">
        <v>48</v>
      </c>
      <c r="AY406" s="109" t="s">
        <v>48</v>
      </c>
      <c r="AZ406" s="166" t="s">
        <v>48</v>
      </c>
      <c r="BA406" s="162" t="s">
        <v>808</v>
      </c>
      <c r="BB406" s="109" t="s">
        <v>62</v>
      </c>
      <c r="BC406" s="79"/>
    </row>
    <row r="407" spans="1:55" ht="75" hidden="1" customHeight="1">
      <c r="A407" s="109" t="s">
        <v>2336</v>
      </c>
      <c r="B407" s="109" t="s">
        <v>2010</v>
      </c>
      <c r="C407" s="109" t="s">
        <v>1826</v>
      </c>
      <c r="D407" s="109" t="s">
        <v>1825</v>
      </c>
      <c r="E407" s="161">
        <v>15000</v>
      </c>
      <c r="F407" s="165" t="s">
        <v>1825</v>
      </c>
      <c r="G407" s="109" t="s">
        <v>1825</v>
      </c>
      <c r="H407" s="109" t="s">
        <v>48</v>
      </c>
      <c r="I407" s="109" t="s">
        <v>48</v>
      </c>
      <c r="J407" s="109" t="s">
        <v>48</v>
      </c>
      <c r="K407" s="109" t="s">
        <v>48</v>
      </c>
      <c r="L407" s="109" t="s">
        <v>48</v>
      </c>
      <c r="M407" s="166" t="s">
        <v>1687</v>
      </c>
      <c r="N407" s="108" t="s">
        <v>48</v>
      </c>
      <c r="O407" s="109" t="s">
        <v>48</v>
      </c>
      <c r="P407" s="162" t="s">
        <v>48</v>
      </c>
      <c r="Q407" s="109" t="s">
        <v>48</v>
      </c>
      <c r="R407" s="109" t="s">
        <v>48</v>
      </c>
      <c r="S407" s="109" t="s">
        <v>48</v>
      </c>
      <c r="T407" s="109" t="s">
        <v>48</v>
      </c>
      <c r="U407" s="109" t="s">
        <v>48</v>
      </c>
      <c r="V407" s="166" t="s">
        <v>48</v>
      </c>
      <c r="W407" s="165" t="s">
        <v>1825</v>
      </c>
      <c r="X407" s="109" t="s">
        <v>1825</v>
      </c>
      <c r="Y407" s="109" t="s">
        <v>48</v>
      </c>
      <c r="Z407" s="109" t="s">
        <v>48</v>
      </c>
      <c r="AA407" s="109" t="s">
        <v>48</v>
      </c>
      <c r="AB407" s="109" t="s">
        <v>48</v>
      </c>
      <c r="AC407" s="109" t="s">
        <v>48</v>
      </c>
      <c r="AD407" s="166" t="s">
        <v>48</v>
      </c>
      <c r="AE407" s="165" t="s">
        <v>48</v>
      </c>
      <c r="AF407" s="109" t="s">
        <v>48</v>
      </c>
      <c r="AG407" s="109" t="s">
        <v>48</v>
      </c>
      <c r="AH407" s="109" t="s">
        <v>48</v>
      </c>
      <c r="AI407" s="109" t="s">
        <v>48</v>
      </c>
      <c r="AJ407" s="109" t="s">
        <v>48</v>
      </c>
      <c r="AK407" s="166" t="s">
        <v>48</v>
      </c>
      <c r="AL407" s="165" t="s">
        <v>1825</v>
      </c>
      <c r="AM407" s="109" t="s">
        <v>1825</v>
      </c>
      <c r="AN407" s="109" t="s">
        <v>2537</v>
      </c>
      <c r="AO407" s="109" t="s">
        <v>2419</v>
      </c>
      <c r="AP407" s="109" t="s">
        <v>48</v>
      </c>
      <c r="AQ407" s="109" t="s">
        <v>48</v>
      </c>
      <c r="AR407" s="109" t="s">
        <v>2538</v>
      </c>
      <c r="AS407" s="166" t="s">
        <v>2539</v>
      </c>
      <c r="AT407" s="165" t="s">
        <v>48</v>
      </c>
      <c r="AU407" s="109" t="s">
        <v>48</v>
      </c>
      <c r="AV407" s="109" t="s">
        <v>48</v>
      </c>
      <c r="AW407" s="109" t="s">
        <v>48</v>
      </c>
      <c r="AX407" s="109" t="s">
        <v>48</v>
      </c>
      <c r="AY407" s="109" t="s">
        <v>48</v>
      </c>
      <c r="AZ407" s="166" t="s">
        <v>48</v>
      </c>
      <c r="BA407" s="162" t="s">
        <v>2523</v>
      </c>
      <c r="BB407" s="109" t="s">
        <v>82</v>
      </c>
      <c r="BC407" s="109" t="s">
        <v>1827</v>
      </c>
    </row>
    <row r="408" spans="1:55" ht="75" hidden="1" customHeight="1">
      <c r="A408" s="109" t="s">
        <v>2541</v>
      </c>
      <c r="B408" s="109" t="s">
        <v>2011</v>
      </c>
      <c r="C408" s="109" t="s">
        <v>1826</v>
      </c>
      <c r="D408" s="109" t="s">
        <v>2542</v>
      </c>
      <c r="E408" s="161">
        <v>15000</v>
      </c>
      <c r="F408" s="165" t="s">
        <v>1825</v>
      </c>
      <c r="G408" s="109" t="s">
        <v>1825</v>
      </c>
      <c r="H408" s="109" t="s">
        <v>48</v>
      </c>
      <c r="I408" s="109" t="s">
        <v>48</v>
      </c>
      <c r="J408" s="109" t="s">
        <v>48</v>
      </c>
      <c r="K408" s="109" t="s">
        <v>48</v>
      </c>
      <c r="L408" s="109" t="s">
        <v>48</v>
      </c>
      <c r="M408" s="166" t="s">
        <v>1687</v>
      </c>
      <c r="N408" s="108" t="s">
        <v>48</v>
      </c>
      <c r="O408" s="109" t="s">
        <v>48</v>
      </c>
      <c r="P408" s="162" t="s">
        <v>48</v>
      </c>
      <c r="Q408" s="109" t="s">
        <v>48</v>
      </c>
      <c r="R408" s="109" t="s">
        <v>48</v>
      </c>
      <c r="S408" s="109" t="s">
        <v>48</v>
      </c>
      <c r="T408" s="109" t="s">
        <v>48</v>
      </c>
      <c r="U408" s="109" t="s">
        <v>48</v>
      </c>
      <c r="V408" s="166" t="s">
        <v>48</v>
      </c>
      <c r="W408" s="165" t="s">
        <v>1825</v>
      </c>
      <c r="X408" s="109" t="s">
        <v>1825</v>
      </c>
      <c r="Y408" s="109" t="s">
        <v>48</v>
      </c>
      <c r="Z408" s="109" t="s">
        <v>48</v>
      </c>
      <c r="AA408" s="109" t="s">
        <v>48</v>
      </c>
      <c r="AB408" s="109" t="s">
        <v>48</v>
      </c>
      <c r="AC408" s="109" t="s">
        <v>48</v>
      </c>
      <c r="AD408" s="166" t="s">
        <v>48</v>
      </c>
      <c r="AE408" s="165" t="s">
        <v>48</v>
      </c>
      <c r="AF408" s="109" t="s">
        <v>48</v>
      </c>
      <c r="AG408" s="109" t="s">
        <v>48</v>
      </c>
      <c r="AH408" s="109" t="s">
        <v>48</v>
      </c>
      <c r="AI408" s="109" t="s">
        <v>48</v>
      </c>
      <c r="AJ408" s="109" t="s">
        <v>48</v>
      </c>
      <c r="AK408" s="166" t="s">
        <v>48</v>
      </c>
      <c r="AL408" s="165" t="s">
        <v>1825</v>
      </c>
      <c r="AM408" s="109" t="s">
        <v>1825</v>
      </c>
      <c r="AN408" s="109" t="s">
        <v>2537</v>
      </c>
      <c r="AO408" s="109" t="s">
        <v>2419</v>
      </c>
      <c r="AP408" s="109" t="s">
        <v>48</v>
      </c>
      <c r="AQ408" s="109" t="s">
        <v>48</v>
      </c>
      <c r="AR408" s="109" t="s">
        <v>2538</v>
      </c>
      <c r="AS408" s="166" t="s">
        <v>2539</v>
      </c>
      <c r="AT408" s="165" t="s">
        <v>48</v>
      </c>
      <c r="AU408" s="109" t="s">
        <v>48</v>
      </c>
      <c r="AV408" s="109" t="s">
        <v>48</v>
      </c>
      <c r="AW408" s="109" t="s">
        <v>48</v>
      </c>
      <c r="AX408" s="109" t="s">
        <v>48</v>
      </c>
      <c r="AY408" s="109" t="s">
        <v>48</v>
      </c>
      <c r="AZ408" s="166" t="s">
        <v>48</v>
      </c>
      <c r="BA408" s="162" t="s">
        <v>2523</v>
      </c>
      <c r="BB408" s="109" t="s">
        <v>82</v>
      </c>
      <c r="BC408" s="109" t="s">
        <v>1827</v>
      </c>
    </row>
    <row r="409" spans="1:55" ht="75" hidden="1" customHeight="1">
      <c r="A409" s="109" t="s">
        <v>2338</v>
      </c>
      <c r="B409" s="109" t="s">
        <v>2012</v>
      </c>
      <c r="C409" s="109" t="s">
        <v>1826</v>
      </c>
      <c r="D409" s="109" t="s">
        <v>1825</v>
      </c>
      <c r="E409" s="161">
        <v>15000</v>
      </c>
      <c r="F409" s="165" t="s">
        <v>1825</v>
      </c>
      <c r="G409" s="109" t="s">
        <v>1825</v>
      </c>
      <c r="H409" s="109" t="s">
        <v>48</v>
      </c>
      <c r="I409" s="109" t="s">
        <v>48</v>
      </c>
      <c r="J409" s="109" t="s">
        <v>48</v>
      </c>
      <c r="K409" s="109" t="s">
        <v>48</v>
      </c>
      <c r="L409" s="109" t="s">
        <v>48</v>
      </c>
      <c r="M409" s="166" t="s">
        <v>1687</v>
      </c>
      <c r="N409" s="108" t="s">
        <v>48</v>
      </c>
      <c r="O409" s="109" t="s">
        <v>48</v>
      </c>
      <c r="P409" s="162" t="s">
        <v>48</v>
      </c>
      <c r="Q409" s="109" t="s">
        <v>48</v>
      </c>
      <c r="R409" s="109" t="s">
        <v>48</v>
      </c>
      <c r="S409" s="109" t="s">
        <v>48</v>
      </c>
      <c r="T409" s="109" t="s">
        <v>48</v>
      </c>
      <c r="U409" s="109" t="s">
        <v>48</v>
      </c>
      <c r="V409" s="166" t="s">
        <v>48</v>
      </c>
      <c r="W409" s="165" t="s">
        <v>1825</v>
      </c>
      <c r="X409" s="109" t="s">
        <v>1825</v>
      </c>
      <c r="Y409" s="109" t="s">
        <v>48</v>
      </c>
      <c r="Z409" s="109" t="s">
        <v>48</v>
      </c>
      <c r="AA409" s="109" t="s">
        <v>48</v>
      </c>
      <c r="AB409" s="109" t="s">
        <v>48</v>
      </c>
      <c r="AC409" s="109" t="s">
        <v>48</v>
      </c>
      <c r="AD409" s="166" t="s">
        <v>48</v>
      </c>
      <c r="AE409" s="165" t="s">
        <v>48</v>
      </c>
      <c r="AF409" s="109" t="s">
        <v>48</v>
      </c>
      <c r="AG409" s="109" t="s">
        <v>48</v>
      </c>
      <c r="AH409" s="109" t="s">
        <v>48</v>
      </c>
      <c r="AI409" s="109" t="s">
        <v>48</v>
      </c>
      <c r="AJ409" s="109" t="s">
        <v>48</v>
      </c>
      <c r="AK409" s="166" t="s">
        <v>48</v>
      </c>
      <c r="AL409" s="165" t="s">
        <v>1825</v>
      </c>
      <c r="AM409" s="109" t="s">
        <v>1825</v>
      </c>
      <c r="AN409" s="109" t="s">
        <v>2537</v>
      </c>
      <c r="AO409" s="109" t="s">
        <v>2419</v>
      </c>
      <c r="AP409" s="109" t="s">
        <v>48</v>
      </c>
      <c r="AQ409" s="109" t="s">
        <v>48</v>
      </c>
      <c r="AR409" s="109" t="s">
        <v>2538</v>
      </c>
      <c r="AS409" s="166" t="s">
        <v>2539</v>
      </c>
      <c r="AT409" s="165" t="s">
        <v>48</v>
      </c>
      <c r="AU409" s="109" t="s">
        <v>48</v>
      </c>
      <c r="AV409" s="109" t="s">
        <v>48</v>
      </c>
      <c r="AW409" s="109" t="s">
        <v>48</v>
      </c>
      <c r="AX409" s="109" t="s">
        <v>48</v>
      </c>
      <c r="AY409" s="109" t="s">
        <v>48</v>
      </c>
      <c r="AZ409" s="166" t="s">
        <v>48</v>
      </c>
      <c r="BA409" s="162" t="s">
        <v>2523</v>
      </c>
      <c r="BB409" s="109" t="s">
        <v>82</v>
      </c>
      <c r="BC409" s="109" t="s">
        <v>1827</v>
      </c>
    </row>
    <row r="410" spans="1:55" ht="75" hidden="1" customHeight="1">
      <c r="A410" s="109" t="s">
        <v>2336</v>
      </c>
      <c r="B410" s="109" t="s">
        <v>2010</v>
      </c>
      <c r="C410" s="109" t="s">
        <v>1826</v>
      </c>
      <c r="D410" s="109" t="s">
        <v>2527</v>
      </c>
      <c r="E410" s="161">
        <v>15000</v>
      </c>
      <c r="F410" s="165" t="s">
        <v>1824</v>
      </c>
      <c r="G410" s="109" t="s">
        <v>1824</v>
      </c>
      <c r="H410" s="109" t="s">
        <v>48</v>
      </c>
      <c r="I410" s="109" t="s">
        <v>48</v>
      </c>
      <c r="J410" s="109" t="s">
        <v>48</v>
      </c>
      <c r="K410" s="109" t="s">
        <v>48</v>
      </c>
      <c r="L410" s="109" t="s">
        <v>48</v>
      </c>
      <c r="M410" s="166" t="s">
        <v>1687</v>
      </c>
      <c r="N410" s="108" t="s">
        <v>48</v>
      </c>
      <c r="O410" s="109" t="s">
        <v>48</v>
      </c>
      <c r="P410" s="162" t="s">
        <v>48</v>
      </c>
      <c r="Q410" s="109" t="s">
        <v>48</v>
      </c>
      <c r="R410" s="109" t="s">
        <v>48</v>
      </c>
      <c r="S410" s="109" t="s">
        <v>48</v>
      </c>
      <c r="T410" s="109" t="s">
        <v>48</v>
      </c>
      <c r="U410" s="109" t="s">
        <v>48</v>
      </c>
      <c r="V410" s="166" t="s">
        <v>48</v>
      </c>
      <c r="W410" s="165" t="s">
        <v>1824</v>
      </c>
      <c r="X410" s="109" t="s">
        <v>1824</v>
      </c>
      <c r="Y410" s="109" t="s">
        <v>48</v>
      </c>
      <c r="Z410" s="109" t="s">
        <v>48</v>
      </c>
      <c r="AA410" s="109" t="s">
        <v>48</v>
      </c>
      <c r="AB410" s="109" t="s">
        <v>48</v>
      </c>
      <c r="AC410" s="109" t="s">
        <v>48</v>
      </c>
      <c r="AD410" s="166" t="s">
        <v>48</v>
      </c>
      <c r="AE410" s="165" t="s">
        <v>48</v>
      </c>
      <c r="AF410" s="109" t="s">
        <v>48</v>
      </c>
      <c r="AG410" s="109" t="s">
        <v>48</v>
      </c>
      <c r="AH410" s="109" t="s">
        <v>48</v>
      </c>
      <c r="AI410" s="109" t="s">
        <v>48</v>
      </c>
      <c r="AJ410" s="109" t="s">
        <v>48</v>
      </c>
      <c r="AK410" s="166" t="s">
        <v>48</v>
      </c>
      <c r="AL410" s="165" t="s">
        <v>1824</v>
      </c>
      <c r="AM410" s="109" t="s">
        <v>1824</v>
      </c>
      <c r="AN410" s="109" t="s">
        <v>48</v>
      </c>
      <c r="AO410" s="109" t="s">
        <v>48</v>
      </c>
      <c r="AP410" s="109" t="s">
        <v>48</v>
      </c>
      <c r="AQ410" s="109" t="s">
        <v>48</v>
      </c>
      <c r="AR410" s="109" t="s">
        <v>48</v>
      </c>
      <c r="AS410" s="166" t="s">
        <v>1687</v>
      </c>
      <c r="AT410" s="165" t="s">
        <v>48</v>
      </c>
      <c r="AU410" s="109" t="s">
        <v>48</v>
      </c>
      <c r="AV410" s="109" t="s">
        <v>48</v>
      </c>
      <c r="AW410" s="109" t="s">
        <v>48</v>
      </c>
      <c r="AX410" s="109" t="s">
        <v>48</v>
      </c>
      <c r="AY410" s="109" t="s">
        <v>48</v>
      </c>
      <c r="AZ410" s="166" t="s">
        <v>48</v>
      </c>
      <c r="BA410" s="162" t="s">
        <v>48</v>
      </c>
      <c r="BB410" s="109" t="s">
        <v>82</v>
      </c>
      <c r="BC410" s="109" t="s">
        <v>1827</v>
      </c>
    </row>
    <row r="411" spans="1:55" ht="75" hidden="1" customHeight="1">
      <c r="A411" s="109" t="s">
        <v>2337</v>
      </c>
      <c r="B411" s="109" t="s">
        <v>2011</v>
      </c>
      <c r="C411" s="109" t="s">
        <v>1826</v>
      </c>
      <c r="D411" s="109" t="s">
        <v>1824</v>
      </c>
      <c r="E411" s="161">
        <v>15000</v>
      </c>
      <c r="F411" s="165" t="s">
        <v>1824</v>
      </c>
      <c r="G411" s="109" t="s">
        <v>1824</v>
      </c>
      <c r="H411" s="109" t="s">
        <v>48</v>
      </c>
      <c r="I411" s="109" t="s">
        <v>48</v>
      </c>
      <c r="J411" s="109" t="s">
        <v>48</v>
      </c>
      <c r="K411" s="109" t="s">
        <v>48</v>
      </c>
      <c r="L411" s="109" t="s">
        <v>48</v>
      </c>
      <c r="M411" s="166" t="s">
        <v>1687</v>
      </c>
      <c r="N411" s="108" t="s">
        <v>48</v>
      </c>
      <c r="O411" s="109" t="s">
        <v>48</v>
      </c>
      <c r="P411" s="162" t="s">
        <v>48</v>
      </c>
      <c r="Q411" s="109" t="s">
        <v>48</v>
      </c>
      <c r="R411" s="109" t="s">
        <v>48</v>
      </c>
      <c r="S411" s="109" t="s">
        <v>48</v>
      </c>
      <c r="T411" s="109" t="s">
        <v>48</v>
      </c>
      <c r="U411" s="109" t="s">
        <v>48</v>
      </c>
      <c r="V411" s="166" t="s">
        <v>48</v>
      </c>
      <c r="W411" s="165" t="s">
        <v>1824</v>
      </c>
      <c r="X411" s="109" t="s">
        <v>1824</v>
      </c>
      <c r="Y411" s="109" t="s">
        <v>48</v>
      </c>
      <c r="Z411" s="109" t="s">
        <v>48</v>
      </c>
      <c r="AA411" s="109" t="s">
        <v>48</v>
      </c>
      <c r="AB411" s="109" t="s">
        <v>48</v>
      </c>
      <c r="AC411" s="109" t="s">
        <v>48</v>
      </c>
      <c r="AD411" s="166" t="s">
        <v>48</v>
      </c>
      <c r="AE411" s="165" t="s">
        <v>48</v>
      </c>
      <c r="AF411" s="109" t="s">
        <v>48</v>
      </c>
      <c r="AG411" s="109" t="s">
        <v>48</v>
      </c>
      <c r="AH411" s="109" t="s">
        <v>48</v>
      </c>
      <c r="AI411" s="109" t="s">
        <v>48</v>
      </c>
      <c r="AJ411" s="109" t="s">
        <v>48</v>
      </c>
      <c r="AK411" s="166" t="s">
        <v>48</v>
      </c>
      <c r="AL411" s="165" t="s">
        <v>1824</v>
      </c>
      <c r="AM411" s="109" t="s">
        <v>1824</v>
      </c>
      <c r="AN411" s="109" t="s">
        <v>48</v>
      </c>
      <c r="AO411" s="109" t="s">
        <v>48</v>
      </c>
      <c r="AP411" s="109" t="s">
        <v>48</v>
      </c>
      <c r="AQ411" s="109" t="s">
        <v>48</v>
      </c>
      <c r="AR411" s="109" t="s">
        <v>48</v>
      </c>
      <c r="AS411" s="166" t="s">
        <v>1687</v>
      </c>
      <c r="AT411" s="165" t="s">
        <v>48</v>
      </c>
      <c r="AU411" s="109" t="s">
        <v>48</v>
      </c>
      <c r="AV411" s="109" t="s">
        <v>48</v>
      </c>
      <c r="AW411" s="109" t="s">
        <v>48</v>
      </c>
      <c r="AX411" s="109" t="s">
        <v>48</v>
      </c>
      <c r="AY411" s="109" t="s">
        <v>48</v>
      </c>
      <c r="AZ411" s="166" t="s">
        <v>48</v>
      </c>
      <c r="BA411" s="162" t="s">
        <v>48</v>
      </c>
      <c r="BB411" s="109" t="s">
        <v>82</v>
      </c>
      <c r="BC411" s="109" t="s">
        <v>1827</v>
      </c>
    </row>
    <row r="412" spans="1:55" ht="75" hidden="1" customHeight="1">
      <c r="A412" s="109" t="s">
        <v>2338</v>
      </c>
      <c r="B412" s="109" t="s">
        <v>2012</v>
      </c>
      <c r="C412" s="109" t="s">
        <v>1826</v>
      </c>
      <c r="D412" s="109" t="s">
        <v>1824</v>
      </c>
      <c r="E412" s="161">
        <v>15000</v>
      </c>
      <c r="F412" s="165" t="s">
        <v>1824</v>
      </c>
      <c r="G412" s="109" t="s">
        <v>1824</v>
      </c>
      <c r="H412" s="109" t="s">
        <v>48</v>
      </c>
      <c r="I412" s="109" t="s">
        <v>48</v>
      </c>
      <c r="J412" s="109" t="s">
        <v>48</v>
      </c>
      <c r="K412" s="109" t="s">
        <v>48</v>
      </c>
      <c r="L412" s="109" t="s">
        <v>48</v>
      </c>
      <c r="M412" s="166" t="s">
        <v>1687</v>
      </c>
      <c r="N412" s="108" t="s">
        <v>48</v>
      </c>
      <c r="O412" s="109" t="s">
        <v>48</v>
      </c>
      <c r="P412" s="162" t="s">
        <v>48</v>
      </c>
      <c r="Q412" s="109" t="s">
        <v>48</v>
      </c>
      <c r="R412" s="109" t="s">
        <v>48</v>
      </c>
      <c r="S412" s="109" t="s">
        <v>48</v>
      </c>
      <c r="T412" s="109" t="s">
        <v>48</v>
      </c>
      <c r="U412" s="109" t="s">
        <v>48</v>
      </c>
      <c r="V412" s="166" t="s">
        <v>48</v>
      </c>
      <c r="W412" s="165" t="s">
        <v>1824</v>
      </c>
      <c r="X412" s="109" t="s">
        <v>1824</v>
      </c>
      <c r="Y412" s="109" t="s">
        <v>48</v>
      </c>
      <c r="Z412" s="109" t="s">
        <v>48</v>
      </c>
      <c r="AA412" s="109" t="s">
        <v>48</v>
      </c>
      <c r="AB412" s="109" t="s">
        <v>48</v>
      </c>
      <c r="AC412" s="109" t="s">
        <v>48</v>
      </c>
      <c r="AD412" s="166" t="s">
        <v>48</v>
      </c>
      <c r="AE412" s="165" t="s">
        <v>48</v>
      </c>
      <c r="AF412" s="109" t="s">
        <v>48</v>
      </c>
      <c r="AG412" s="109" t="s">
        <v>48</v>
      </c>
      <c r="AH412" s="109" t="s">
        <v>48</v>
      </c>
      <c r="AI412" s="109" t="s">
        <v>48</v>
      </c>
      <c r="AJ412" s="109" t="s">
        <v>48</v>
      </c>
      <c r="AK412" s="166" t="s">
        <v>48</v>
      </c>
      <c r="AL412" s="165" t="s">
        <v>1824</v>
      </c>
      <c r="AM412" s="109" t="s">
        <v>1824</v>
      </c>
      <c r="AN412" s="109" t="s">
        <v>48</v>
      </c>
      <c r="AO412" s="109" t="s">
        <v>48</v>
      </c>
      <c r="AP412" s="109" t="s">
        <v>48</v>
      </c>
      <c r="AQ412" s="109" t="s">
        <v>48</v>
      </c>
      <c r="AR412" s="109" t="s">
        <v>48</v>
      </c>
      <c r="AS412" s="166" t="s">
        <v>1687</v>
      </c>
      <c r="AT412" s="165" t="s">
        <v>48</v>
      </c>
      <c r="AU412" s="109" t="s">
        <v>48</v>
      </c>
      <c r="AV412" s="109" t="s">
        <v>48</v>
      </c>
      <c r="AW412" s="109" t="s">
        <v>48</v>
      </c>
      <c r="AX412" s="109" t="s">
        <v>48</v>
      </c>
      <c r="AY412" s="109" t="s">
        <v>48</v>
      </c>
      <c r="AZ412" s="166" t="s">
        <v>48</v>
      </c>
      <c r="BA412" s="162" t="s">
        <v>48</v>
      </c>
      <c r="BB412" s="109" t="s">
        <v>82</v>
      </c>
      <c r="BC412" s="109" t="s">
        <v>1827</v>
      </c>
    </row>
    <row r="413" spans="1:55" ht="75" hidden="1" customHeight="1">
      <c r="A413" s="109" t="s">
        <v>2336</v>
      </c>
      <c r="B413" s="109" t="s">
        <v>2010</v>
      </c>
      <c r="C413" s="109" t="s">
        <v>144</v>
      </c>
      <c r="D413" s="109" t="s">
        <v>145</v>
      </c>
      <c r="E413" s="161">
        <v>15000</v>
      </c>
      <c r="F413" s="165" t="s">
        <v>145</v>
      </c>
      <c r="G413" s="109" t="s">
        <v>145</v>
      </c>
      <c r="H413" s="109" t="s">
        <v>48</v>
      </c>
      <c r="I413" s="109" t="s">
        <v>48</v>
      </c>
      <c r="J413" s="109" t="s">
        <v>48</v>
      </c>
      <c r="K413" s="109" t="s">
        <v>48</v>
      </c>
      <c r="L413" s="109" t="s">
        <v>48</v>
      </c>
      <c r="M413" s="166" t="s">
        <v>48</v>
      </c>
      <c r="N413" s="108" t="s">
        <v>48</v>
      </c>
      <c r="O413" s="109" t="s">
        <v>48</v>
      </c>
      <c r="P413" s="162" t="s">
        <v>48</v>
      </c>
      <c r="Q413" s="109" t="s">
        <v>48</v>
      </c>
      <c r="R413" s="109" t="s">
        <v>48</v>
      </c>
      <c r="S413" s="109" t="s">
        <v>48</v>
      </c>
      <c r="T413" s="109" t="s">
        <v>48</v>
      </c>
      <c r="U413" s="109" t="s">
        <v>48</v>
      </c>
      <c r="V413" s="166" t="s">
        <v>48</v>
      </c>
      <c r="W413" s="165" t="s">
        <v>145</v>
      </c>
      <c r="X413" s="109" t="s">
        <v>145</v>
      </c>
      <c r="Y413" s="109" t="s">
        <v>48</v>
      </c>
      <c r="Z413" s="109" t="s">
        <v>48</v>
      </c>
      <c r="AA413" s="109" t="s">
        <v>48</v>
      </c>
      <c r="AB413" s="109" t="s">
        <v>48</v>
      </c>
      <c r="AC413" s="109" t="s">
        <v>48</v>
      </c>
      <c r="AD413" s="166" t="s">
        <v>48</v>
      </c>
      <c r="AE413" s="165" t="s">
        <v>80</v>
      </c>
      <c r="AF413" s="109" t="s">
        <v>147</v>
      </c>
      <c r="AG413" s="109" t="s">
        <v>499</v>
      </c>
      <c r="AH413" s="109" t="s">
        <v>1908</v>
      </c>
      <c r="AI413" s="109" t="s">
        <v>48</v>
      </c>
      <c r="AJ413" s="109" t="s">
        <v>48</v>
      </c>
      <c r="AK413" s="166" t="s">
        <v>498</v>
      </c>
      <c r="AL413" s="165" t="s">
        <v>145</v>
      </c>
      <c r="AM413" s="109" t="s">
        <v>145</v>
      </c>
      <c r="AN413" s="109" t="s">
        <v>48</v>
      </c>
      <c r="AO413" s="109" t="s">
        <v>48</v>
      </c>
      <c r="AP413" s="109" t="s">
        <v>48</v>
      </c>
      <c r="AQ413" s="109" t="s">
        <v>48</v>
      </c>
      <c r="AR413" s="109" t="s">
        <v>48</v>
      </c>
      <c r="AS413" s="166" t="s">
        <v>48</v>
      </c>
      <c r="AT413" s="165" t="s">
        <v>48</v>
      </c>
      <c r="AU413" s="109" t="s">
        <v>48</v>
      </c>
      <c r="AV413" s="109" t="s">
        <v>48</v>
      </c>
      <c r="AW413" s="109" t="s">
        <v>48</v>
      </c>
      <c r="AX413" s="109" t="s">
        <v>48</v>
      </c>
      <c r="AY413" s="109" t="s">
        <v>48</v>
      </c>
      <c r="AZ413" s="166" t="s">
        <v>48</v>
      </c>
      <c r="BA413" s="162" t="s">
        <v>48</v>
      </c>
      <c r="BB413" s="109" t="s">
        <v>49</v>
      </c>
      <c r="BC413" s="79"/>
    </row>
    <row r="414" spans="1:55" ht="75" hidden="1" customHeight="1">
      <c r="A414" s="109" t="s">
        <v>2336</v>
      </c>
      <c r="B414" s="109" t="s">
        <v>2709</v>
      </c>
      <c r="C414" s="109" t="s">
        <v>144</v>
      </c>
      <c r="D414" s="109" t="s">
        <v>145</v>
      </c>
      <c r="E414" s="161">
        <v>30000</v>
      </c>
      <c r="F414" s="165" t="s">
        <v>145</v>
      </c>
      <c r="G414" s="109" t="s">
        <v>145</v>
      </c>
      <c r="H414" s="109" t="s">
        <v>48</v>
      </c>
      <c r="I414" s="109" t="s">
        <v>48</v>
      </c>
      <c r="J414" s="109" t="s">
        <v>48</v>
      </c>
      <c r="K414" s="109" t="s">
        <v>48</v>
      </c>
      <c r="L414" s="109" t="s">
        <v>48</v>
      </c>
      <c r="M414" s="166" t="s">
        <v>48</v>
      </c>
      <c r="N414" s="108" t="s">
        <v>48</v>
      </c>
      <c r="O414" s="109" t="s">
        <v>48</v>
      </c>
      <c r="P414" s="162" t="s">
        <v>48</v>
      </c>
      <c r="Q414" s="109" t="s">
        <v>48</v>
      </c>
      <c r="R414" s="109" t="s">
        <v>48</v>
      </c>
      <c r="S414" s="109" t="s">
        <v>48</v>
      </c>
      <c r="T414" s="109" t="s">
        <v>48</v>
      </c>
      <c r="U414" s="109" t="s">
        <v>48</v>
      </c>
      <c r="V414" s="166" t="s">
        <v>48</v>
      </c>
      <c r="W414" s="165" t="s">
        <v>145</v>
      </c>
      <c r="X414" s="109" t="str">
        <f>W414</f>
        <v>HD23.0_V03_1614.b</v>
      </c>
      <c r="Y414" s="109" t="s">
        <v>48</v>
      </c>
      <c r="Z414" s="109" t="s">
        <v>48</v>
      </c>
      <c r="AA414" s="109" t="s">
        <v>48</v>
      </c>
      <c r="AB414" s="109" t="s">
        <v>48</v>
      </c>
      <c r="AC414" s="109" t="s">
        <v>48</v>
      </c>
      <c r="AD414" s="166" t="s">
        <v>48</v>
      </c>
      <c r="AE414" s="165" t="s">
        <v>80</v>
      </c>
      <c r="AF414" s="109" t="s">
        <v>147</v>
      </c>
      <c r="AG414" s="109" t="s">
        <v>499</v>
      </c>
      <c r="AH414" s="109" t="s">
        <v>1908</v>
      </c>
      <c r="AI414" s="109" t="s">
        <v>48</v>
      </c>
      <c r="AJ414" s="109" t="s">
        <v>48</v>
      </c>
      <c r="AK414" s="166" t="s">
        <v>498</v>
      </c>
      <c r="AL414" s="165" t="s">
        <v>145</v>
      </c>
      <c r="AM414" s="109" t="str">
        <f>AL414</f>
        <v>HD23.0_V03_1614.b</v>
      </c>
      <c r="AN414" s="109" t="s">
        <v>48</v>
      </c>
      <c r="AO414" s="109" t="s">
        <v>48</v>
      </c>
      <c r="AP414" s="109" t="s">
        <v>48</v>
      </c>
      <c r="AQ414" s="109" t="s">
        <v>48</v>
      </c>
      <c r="AR414" s="109" t="s">
        <v>48</v>
      </c>
      <c r="AS414" s="166" t="s">
        <v>48</v>
      </c>
      <c r="AT414" s="165" t="s">
        <v>48</v>
      </c>
      <c r="AU414" s="109" t="s">
        <v>48</v>
      </c>
      <c r="AV414" s="109" t="s">
        <v>48</v>
      </c>
      <c r="AW414" s="109" t="s">
        <v>48</v>
      </c>
      <c r="AX414" s="109" t="s">
        <v>48</v>
      </c>
      <c r="AY414" s="109" t="s">
        <v>48</v>
      </c>
      <c r="AZ414" s="166" t="s">
        <v>48</v>
      </c>
      <c r="BA414" s="162" t="s">
        <v>288</v>
      </c>
      <c r="BB414" s="109" t="s">
        <v>49</v>
      </c>
      <c r="BC414" s="79"/>
    </row>
    <row r="415" spans="1:55" ht="75" hidden="1" customHeight="1">
      <c r="A415" s="109" t="s">
        <v>2337</v>
      </c>
      <c r="B415" s="109" t="s">
        <v>2011</v>
      </c>
      <c r="C415" s="109" t="s">
        <v>144</v>
      </c>
      <c r="D415" s="109" t="s">
        <v>145</v>
      </c>
      <c r="E415" s="161">
        <v>15000</v>
      </c>
      <c r="F415" s="165" t="s">
        <v>145</v>
      </c>
      <c r="G415" s="109" t="s">
        <v>145</v>
      </c>
      <c r="H415" s="109" t="s">
        <v>48</v>
      </c>
      <c r="I415" s="109" t="s">
        <v>48</v>
      </c>
      <c r="J415" s="109" t="s">
        <v>48</v>
      </c>
      <c r="K415" s="109" t="s">
        <v>48</v>
      </c>
      <c r="L415" s="109" t="s">
        <v>48</v>
      </c>
      <c r="M415" s="166" t="s">
        <v>48</v>
      </c>
      <c r="N415" s="108" t="s">
        <v>48</v>
      </c>
      <c r="O415" s="109" t="s">
        <v>48</v>
      </c>
      <c r="P415" s="162" t="s">
        <v>48</v>
      </c>
      <c r="Q415" s="109" t="s">
        <v>48</v>
      </c>
      <c r="R415" s="109" t="s">
        <v>48</v>
      </c>
      <c r="S415" s="109" t="s">
        <v>48</v>
      </c>
      <c r="T415" s="109" t="s">
        <v>48</v>
      </c>
      <c r="U415" s="109" t="s">
        <v>48</v>
      </c>
      <c r="V415" s="166" t="s">
        <v>48</v>
      </c>
      <c r="W415" s="165" t="s">
        <v>145</v>
      </c>
      <c r="X415" s="109" t="s">
        <v>145</v>
      </c>
      <c r="Y415" s="109" t="s">
        <v>48</v>
      </c>
      <c r="Z415" s="109" t="s">
        <v>48</v>
      </c>
      <c r="AA415" s="109" t="s">
        <v>48</v>
      </c>
      <c r="AB415" s="109" t="s">
        <v>48</v>
      </c>
      <c r="AC415" s="109" t="s">
        <v>48</v>
      </c>
      <c r="AD415" s="166" t="s">
        <v>48</v>
      </c>
      <c r="AE415" s="165" t="s">
        <v>80</v>
      </c>
      <c r="AF415" s="109" t="s">
        <v>147</v>
      </c>
      <c r="AG415" s="109" t="s">
        <v>499</v>
      </c>
      <c r="AH415" s="109" t="s">
        <v>1908</v>
      </c>
      <c r="AI415" s="109" t="s">
        <v>48</v>
      </c>
      <c r="AJ415" s="109" t="s">
        <v>48</v>
      </c>
      <c r="AK415" s="166" t="s">
        <v>498</v>
      </c>
      <c r="AL415" s="165" t="s">
        <v>145</v>
      </c>
      <c r="AM415" s="109" t="s">
        <v>145</v>
      </c>
      <c r="AN415" s="109" t="s">
        <v>48</v>
      </c>
      <c r="AO415" s="109" t="s">
        <v>48</v>
      </c>
      <c r="AP415" s="109" t="s">
        <v>48</v>
      </c>
      <c r="AQ415" s="109" t="s">
        <v>48</v>
      </c>
      <c r="AR415" s="109" t="s">
        <v>48</v>
      </c>
      <c r="AS415" s="166" t="s">
        <v>48</v>
      </c>
      <c r="AT415" s="165" t="s">
        <v>48</v>
      </c>
      <c r="AU415" s="109" t="s">
        <v>48</v>
      </c>
      <c r="AV415" s="109" t="s">
        <v>48</v>
      </c>
      <c r="AW415" s="109" t="s">
        <v>48</v>
      </c>
      <c r="AX415" s="109" t="s">
        <v>48</v>
      </c>
      <c r="AY415" s="109" t="s">
        <v>48</v>
      </c>
      <c r="AZ415" s="166" t="s">
        <v>48</v>
      </c>
      <c r="BA415" s="162" t="s">
        <v>48</v>
      </c>
      <c r="BB415" s="109" t="s">
        <v>49</v>
      </c>
      <c r="BC415" s="79"/>
    </row>
    <row r="416" spans="1:55" ht="75" hidden="1" customHeight="1">
      <c r="A416" s="109" t="s">
        <v>2338</v>
      </c>
      <c r="B416" s="109" t="s">
        <v>2012</v>
      </c>
      <c r="C416" s="109" t="s">
        <v>144</v>
      </c>
      <c r="D416" s="109" t="s">
        <v>145</v>
      </c>
      <c r="E416" s="161">
        <v>15000</v>
      </c>
      <c r="F416" s="165" t="s">
        <v>145</v>
      </c>
      <c r="G416" s="109" t="s">
        <v>145</v>
      </c>
      <c r="H416" s="109" t="s">
        <v>48</v>
      </c>
      <c r="I416" s="109" t="s">
        <v>48</v>
      </c>
      <c r="J416" s="109" t="s">
        <v>48</v>
      </c>
      <c r="K416" s="109" t="s">
        <v>48</v>
      </c>
      <c r="L416" s="109" t="s">
        <v>48</v>
      </c>
      <c r="M416" s="166" t="s">
        <v>48</v>
      </c>
      <c r="N416" s="108" t="s">
        <v>48</v>
      </c>
      <c r="O416" s="109" t="s">
        <v>48</v>
      </c>
      <c r="P416" s="162" t="s">
        <v>48</v>
      </c>
      <c r="Q416" s="109" t="s">
        <v>48</v>
      </c>
      <c r="R416" s="109" t="s">
        <v>48</v>
      </c>
      <c r="S416" s="109" t="s">
        <v>48</v>
      </c>
      <c r="T416" s="109" t="s">
        <v>48</v>
      </c>
      <c r="U416" s="109" t="s">
        <v>48</v>
      </c>
      <c r="V416" s="166" t="s">
        <v>48</v>
      </c>
      <c r="W416" s="165" t="s">
        <v>145</v>
      </c>
      <c r="X416" s="109" t="s">
        <v>145</v>
      </c>
      <c r="Y416" s="109" t="s">
        <v>48</v>
      </c>
      <c r="Z416" s="109" t="s">
        <v>48</v>
      </c>
      <c r="AA416" s="109" t="s">
        <v>48</v>
      </c>
      <c r="AB416" s="109" t="s">
        <v>48</v>
      </c>
      <c r="AC416" s="109" t="s">
        <v>48</v>
      </c>
      <c r="AD416" s="166" t="s">
        <v>48</v>
      </c>
      <c r="AE416" s="165" t="s">
        <v>80</v>
      </c>
      <c r="AF416" s="109" t="s">
        <v>147</v>
      </c>
      <c r="AG416" s="109" t="s">
        <v>499</v>
      </c>
      <c r="AH416" s="109" t="s">
        <v>1908</v>
      </c>
      <c r="AI416" s="109" t="s">
        <v>48</v>
      </c>
      <c r="AJ416" s="109" t="s">
        <v>48</v>
      </c>
      <c r="AK416" s="166" t="s">
        <v>498</v>
      </c>
      <c r="AL416" s="165" t="s">
        <v>145</v>
      </c>
      <c r="AM416" s="109" t="s">
        <v>145</v>
      </c>
      <c r="AN416" s="109" t="s">
        <v>48</v>
      </c>
      <c r="AO416" s="109" t="s">
        <v>48</v>
      </c>
      <c r="AP416" s="109" t="s">
        <v>48</v>
      </c>
      <c r="AQ416" s="109" t="s">
        <v>48</v>
      </c>
      <c r="AR416" s="109" t="s">
        <v>48</v>
      </c>
      <c r="AS416" s="166" t="s">
        <v>48</v>
      </c>
      <c r="AT416" s="165" t="s">
        <v>48</v>
      </c>
      <c r="AU416" s="109" t="s">
        <v>48</v>
      </c>
      <c r="AV416" s="109" t="s">
        <v>48</v>
      </c>
      <c r="AW416" s="109" t="s">
        <v>48</v>
      </c>
      <c r="AX416" s="109" t="s">
        <v>48</v>
      </c>
      <c r="AY416" s="109" t="s">
        <v>48</v>
      </c>
      <c r="AZ416" s="166" t="s">
        <v>48</v>
      </c>
      <c r="BA416" s="162" t="s">
        <v>48</v>
      </c>
      <c r="BB416" s="109" t="s">
        <v>49</v>
      </c>
      <c r="BC416" s="79"/>
    </row>
    <row r="417" spans="1:55" ht="75" hidden="1" customHeight="1">
      <c r="A417" s="109" t="s">
        <v>2336</v>
      </c>
      <c r="B417" s="109" t="s">
        <v>2010</v>
      </c>
      <c r="C417" s="109" t="s">
        <v>141</v>
      </c>
      <c r="D417" s="109" t="s">
        <v>570</v>
      </c>
      <c r="E417" s="161">
        <v>15000</v>
      </c>
      <c r="F417" s="165" t="s">
        <v>570</v>
      </c>
      <c r="G417" s="109" t="s">
        <v>570</v>
      </c>
      <c r="H417" s="109" t="s">
        <v>48</v>
      </c>
      <c r="I417" s="109" t="s">
        <v>48</v>
      </c>
      <c r="J417" s="109" t="s">
        <v>48</v>
      </c>
      <c r="K417" s="109" t="s">
        <v>48</v>
      </c>
      <c r="L417" s="109" t="s">
        <v>48</v>
      </c>
      <c r="M417" s="166" t="s">
        <v>48</v>
      </c>
      <c r="N417" s="108" t="s">
        <v>48</v>
      </c>
      <c r="O417" s="109" t="s">
        <v>48</v>
      </c>
      <c r="P417" s="162" t="s">
        <v>48</v>
      </c>
      <c r="Q417" s="109" t="s">
        <v>48</v>
      </c>
      <c r="R417" s="109" t="s">
        <v>48</v>
      </c>
      <c r="S417" s="109" t="s">
        <v>48</v>
      </c>
      <c r="T417" s="109" t="s">
        <v>48</v>
      </c>
      <c r="U417" s="109" t="s">
        <v>48</v>
      </c>
      <c r="V417" s="166" t="s">
        <v>48</v>
      </c>
      <c r="W417" s="165" t="s">
        <v>570</v>
      </c>
      <c r="X417" s="109" t="s">
        <v>570</v>
      </c>
      <c r="Y417" s="109" t="s">
        <v>48</v>
      </c>
      <c r="Z417" s="109" t="s">
        <v>48</v>
      </c>
      <c r="AA417" s="109" t="s">
        <v>48</v>
      </c>
      <c r="AB417" s="109" t="s">
        <v>48</v>
      </c>
      <c r="AC417" s="109" t="s">
        <v>48</v>
      </c>
      <c r="AD417" s="166" t="s">
        <v>48</v>
      </c>
      <c r="AE417" s="165" t="s">
        <v>48</v>
      </c>
      <c r="AF417" s="109" t="s">
        <v>48</v>
      </c>
      <c r="AG417" s="109" t="s">
        <v>48</v>
      </c>
      <c r="AH417" s="109" t="s">
        <v>48</v>
      </c>
      <c r="AI417" s="109" t="s">
        <v>48</v>
      </c>
      <c r="AJ417" s="109" t="s">
        <v>48</v>
      </c>
      <c r="AK417" s="166" t="s">
        <v>48</v>
      </c>
      <c r="AL417" s="165" t="s">
        <v>570</v>
      </c>
      <c r="AM417" s="109" t="s">
        <v>570</v>
      </c>
      <c r="AN417" s="109" t="s">
        <v>48</v>
      </c>
      <c r="AO417" s="109" t="s">
        <v>48</v>
      </c>
      <c r="AP417" s="109" t="s">
        <v>48</v>
      </c>
      <c r="AQ417" s="109" t="s">
        <v>48</v>
      </c>
      <c r="AR417" s="109" t="s">
        <v>48</v>
      </c>
      <c r="AS417" s="166" t="s">
        <v>48</v>
      </c>
      <c r="AT417" s="165" t="s">
        <v>48</v>
      </c>
      <c r="AU417" s="109" t="s">
        <v>48</v>
      </c>
      <c r="AV417" s="109" t="s">
        <v>48</v>
      </c>
      <c r="AW417" s="109" t="s">
        <v>48</v>
      </c>
      <c r="AX417" s="109" t="s">
        <v>48</v>
      </c>
      <c r="AY417" s="109" t="s">
        <v>48</v>
      </c>
      <c r="AZ417" s="166" t="s">
        <v>48</v>
      </c>
      <c r="BA417" s="162" t="s">
        <v>572</v>
      </c>
      <c r="BB417" s="109" t="s">
        <v>49</v>
      </c>
      <c r="BC417" s="79"/>
    </row>
    <row r="418" spans="1:55" ht="75" hidden="1" customHeight="1">
      <c r="A418" s="109" t="s">
        <v>2337</v>
      </c>
      <c r="B418" s="109" t="s">
        <v>2011</v>
      </c>
      <c r="C418" s="109" t="s">
        <v>141</v>
      </c>
      <c r="D418" s="109" t="s">
        <v>570</v>
      </c>
      <c r="E418" s="161">
        <v>15000</v>
      </c>
      <c r="F418" s="165" t="s">
        <v>570</v>
      </c>
      <c r="G418" s="109" t="s">
        <v>570</v>
      </c>
      <c r="H418" s="109" t="s">
        <v>48</v>
      </c>
      <c r="I418" s="109" t="s">
        <v>48</v>
      </c>
      <c r="J418" s="109" t="s">
        <v>48</v>
      </c>
      <c r="K418" s="109" t="s">
        <v>48</v>
      </c>
      <c r="L418" s="109" t="s">
        <v>48</v>
      </c>
      <c r="M418" s="166" t="s">
        <v>48</v>
      </c>
      <c r="N418" s="108" t="s">
        <v>48</v>
      </c>
      <c r="O418" s="109" t="s">
        <v>48</v>
      </c>
      <c r="P418" s="162" t="s">
        <v>48</v>
      </c>
      <c r="Q418" s="109" t="s">
        <v>48</v>
      </c>
      <c r="R418" s="109" t="s">
        <v>48</v>
      </c>
      <c r="S418" s="109" t="s">
        <v>48</v>
      </c>
      <c r="T418" s="109" t="s">
        <v>48</v>
      </c>
      <c r="U418" s="109" t="s">
        <v>48</v>
      </c>
      <c r="V418" s="166" t="s">
        <v>48</v>
      </c>
      <c r="W418" s="165" t="s">
        <v>570</v>
      </c>
      <c r="X418" s="109" t="s">
        <v>570</v>
      </c>
      <c r="Y418" s="109" t="s">
        <v>48</v>
      </c>
      <c r="Z418" s="109" t="s">
        <v>48</v>
      </c>
      <c r="AA418" s="109" t="s">
        <v>48</v>
      </c>
      <c r="AB418" s="109" t="s">
        <v>48</v>
      </c>
      <c r="AC418" s="109" t="s">
        <v>48</v>
      </c>
      <c r="AD418" s="166" t="s">
        <v>48</v>
      </c>
      <c r="AE418" s="165" t="s">
        <v>48</v>
      </c>
      <c r="AF418" s="109" t="s">
        <v>48</v>
      </c>
      <c r="AG418" s="109" t="s">
        <v>48</v>
      </c>
      <c r="AH418" s="109" t="s">
        <v>48</v>
      </c>
      <c r="AI418" s="109" t="s">
        <v>48</v>
      </c>
      <c r="AJ418" s="109" t="s">
        <v>48</v>
      </c>
      <c r="AK418" s="166" t="s">
        <v>48</v>
      </c>
      <c r="AL418" s="165" t="s">
        <v>570</v>
      </c>
      <c r="AM418" s="109" t="s">
        <v>570</v>
      </c>
      <c r="AN418" s="109" t="s">
        <v>48</v>
      </c>
      <c r="AO418" s="109" t="s">
        <v>48</v>
      </c>
      <c r="AP418" s="109" t="s">
        <v>48</v>
      </c>
      <c r="AQ418" s="109" t="s">
        <v>48</v>
      </c>
      <c r="AR418" s="109" t="s">
        <v>48</v>
      </c>
      <c r="AS418" s="166" t="s">
        <v>48</v>
      </c>
      <c r="AT418" s="165" t="s">
        <v>48</v>
      </c>
      <c r="AU418" s="109" t="s">
        <v>48</v>
      </c>
      <c r="AV418" s="109" t="s">
        <v>48</v>
      </c>
      <c r="AW418" s="109" t="s">
        <v>48</v>
      </c>
      <c r="AX418" s="109" t="s">
        <v>48</v>
      </c>
      <c r="AY418" s="109" t="s">
        <v>48</v>
      </c>
      <c r="AZ418" s="166" t="s">
        <v>48</v>
      </c>
      <c r="BA418" s="162" t="s">
        <v>572</v>
      </c>
      <c r="BB418" s="109" t="s">
        <v>49</v>
      </c>
      <c r="BC418" s="79"/>
    </row>
    <row r="419" spans="1:55" ht="75" hidden="1" customHeight="1">
      <c r="A419" s="109" t="s">
        <v>2338</v>
      </c>
      <c r="B419" s="109" t="s">
        <v>2012</v>
      </c>
      <c r="C419" s="109" t="s">
        <v>141</v>
      </c>
      <c r="D419" s="109" t="s">
        <v>570</v>
      </c>
      <c r="E419" s="161">
        <v>15000</v>
      </c>
      <c r="F419" s="165" t="s">
        <v>570</v>
      </c>
      <c r="G419" s="109" t="s">
        <v>570</v>
      </c>
      <c r="H419" s="109" t="s">
        <v>48</v>
      </c>
      <c r="I419" s="109" t="s">
        <v>48</v>
      </c>
      <c r="J419" s="109" t="s">
        <v>48</v>
      </c>
      <c r="K419" s="109" t="s">
        <v>48</v>
      </c>
      <c r="L419" s="109" t="s">
        <v>48</v>
      </c>
      <c r="M419" s="166" t="s">
        <v>48</v>
      </c>
      <c r="N419" s="108" t="s">
        <v>48</v>
      </c>
      <c r="O419" s="109" t="s">
        <v>48</v>
      </c>
      <c r="P419" s="162" t="s">
        <v>48</v>
      </c>
      <c r="Q419" s="109" t="s">
        <v>48</v>
      </c>
      <c r="R419" s="109" t="s">
        <v>48</v>
      </c>
      <c r="S419" s="109" t="s">
        <v>48</v>
      </c>
      <c r="T419" s="109" t="s">
        <v>48</v>
      </c>
      <c r="U419" s="109" t="s">
        <v>48</v>
      </c>
      <c r="V419" s="166" t="s">
        <v>48</v>
      </c>
      <c r="W419" s="165" t="s">
        <v>570</v>
      </c>
      <c r="X419" s="109" t="s">
        <v>570</v>
      </c>
      <c r="Y419" s="109" t="s">
        <v>48</v>
      </c>
      <c r="Z419" s="109" t="s">
        <v>48</v>
      </c>
      <c r="AA419" s="109" t="s">
        <v>48</v>
      </c>
      <c r="AB419" s="109" t="s">
        <v>48</v>
      </c>
      <c r="AC419" s="109" t="s">
        <v>48</v>
      </c>
      <c r="AD419" s="166" t="s">
        <v>48</v>
      </c>
      <c r="AE419" s="165" t="s">
        <v>48</v>
      </c>
      <c r="AF419" s="109" t="s">
        <v>48</v>
      </c>
      <c r="AG419" s="109" t="s">
        <v>48</v>
      </c>
      <c r="AH419" s="109" t="s">
        <v>48</v>
      </c>
      <c r="AI419" s="109" t="s">
        <v>48</v>
      </c>
      <c r="AJ419" s="109" t="s">
        <v>48</v>
      </c>
      <c r="AK419" s="166" t="s">
        <v>48</v>
      </c>
      <c r="AL419" s="165" t="s">
        <v>570</v>
      </c>
      <c r="AM419" s="109" t="s">
        <v>570</v>
      </c>
      <c r="AN419" s="109" t="s">
        <v>48</v>
      </c>
      <c r="AO419" s="109" t="s">
        <v>48</v>
      </c>
      <c r="AP419" s="109" t="s">
        <v>48</v>
      </c>
      <c r="AQ419" s="109" t="s">
        <v>48</v>
      </c>
      <c r="AR419" s="109" t="s">
        <v>48</v>
      </c>
      <c r="AS419" s="166" t="s">
        <v>48</v>
      </c>
      <c r="AT419" s="165" t="s">
        <v>48</v>
      </c>
      <c r="AU419" s="109" t="s">
        <v>48</v>
      </c>
      <c r="AV419" s="109" t="s">
        <v>48</v>
      </c>
      <c r="AW419" s="109" t="s">
        <v>48</v>
      </c>
      <c r="AX419" s="109" t="s">
        <v>48</v>
      </c>
      <c r="AY419" s="109" t="s">
        <v>48</v>
      </c>
      <c r="AZ419" s="166" t="s">
        <v>48</v>
      </c>
      <c r="BA419" s="162" t="s">
        <v>572</v>
      </c>
      <c r="BB419" s="109" t="s">
        <v>49</v>
      </c>
      <c r="BC419" s="79"/>
    </row>
    <row r="420" spans="1:55" ht="75" hidden="1" customHeight="1">
      <c r="A420" s="109" t="s">
        <v>2336</v>
      </c>
      <c r="B420" s="109" t="s">
        <v>2010</v>
      </c>
      <c r="C420" s="109" t="s">
        <v>141</v>
      </c>
      <c r="D420" s="109" t="s">
        <v>142</v>
      </c>
      <c r="E420" s="161">
        <v>15000</v>
      </c>
      <c r="F420" s="165" t="s">
        <v>142</v>
      </c>
      <c r="G420" s="109" t="s">
        <v>142</v>
      </c>
      <c r="H420" s="109" t="s">
        <v>48</v>
      </c>
      <c r="I420" s="109" t="s">
        <v>48</v>
      </c>
      <c r="J420" s="109" t="s">
        <v>48</v>
      </c>
      <c r="K420" s="109" t="s">
        <v>48</v>
      </c>
      <c r="L420" s="109" t="s">
        <v>48</v>
      </c>
      <c r="M420" s="166" t="s">
        <v>48</v>
      </c>
      <c r="N420" s="108" t="s">
        <v>48</v>
      </c>
      <c r="O420" s="109" t="s">
        <v>48</v>
      </c>
      <c r="P420" s="162" t="s">
        <v>48</v>
      </c>
      <c r="Q420" s="109" t="s">
        <v>48</v>
      </c>
      <c r="R420" s="109" t="s">
        <v>48</v>
      </c>
      <c r="S420" s="109" t="s">
        <v>48</v>
      </c>
      <c r="T420" s="109" t="s">
        <v>48</v>
      </c>
      <c r="U420" s="109" t="s">
        <v>48</v>
      </c>
      <c r="V420" s="166" t="s">
        <v>48</v>
      </c>
      <c r="W420" s="165" t="s">
        <v>142</v>
      </c>
      <c r="X420" s="109" t="s">
        <v>142</v>
      </c>
      <c r="Y420" s="109" t="s">
        <v>48</v>
      </c>
      <c r="Z420" s="109" t="s">
        <v>48</v>
      </c>
      <c r="AA420" s="109" t="s">
        <v>48</v>
      </c>
      <c r="AB420" s="109" t="s">
        <v>48</v>
      </c>
      <c r="AC420" s="109" t="s">
        <v>48</v>
      </c>
      <c r="AD420" s="166" t="s">
        <v>48</v>
      </c>
      <c r="AE420" s="165" t="s">
        <v>76</v>
      </c>
      <c r="AF420" s="109" t="s">
        <v>143</v>
      </c>
      <c r="AG420" s="109">
        <v>60889</v>
      </c>
      <c r="AH420" s="109" t="s">
        <v>1908</v>
      </c>
      <c r="AI420" s="109" t="s">
        <v>620</v>
      </c>
      <c r="AJ420" s="109" t="s">
        <v>258</v>
      </c>
      <c r="AK420" s="166" t="s">
        <v>500</v>
      </c>
      <c r="AL420" s="165" t="s">
        <v>142</v>
      </c>
      <c r="AM420" s="109" t="s">
        <v>142</v>
      </c>
      <c r="AN420" s="109" t="s">
        <v>48</v>
      </c>
      <c r="AO420" s="109" t="s">
        <v>48</v>
      </c>
      <c r="AP420" s="109" t="s">
        <v>48</v>
      </c>
      <c r="AQ420" s="109" t="s">
        <v>48</v>
      </c>
      <c r="AR420" s="109" t="s">
        <v>48</v>
      </c>
      <c r="AS420" s="166" t="s">
        <v>48</v>
      </c>
      <c r="AT420" s="165" t="s">
        <v>48</v>
      </c>
      <c r="AU420" s="109" t="s">
        <v>48</v>
      </c>
      <c r="AV420" s="109" t="s">
        <v>48</v>
      </c>
      <c r="AW420" s="109" t="s">
        <v>48</v>
      </c>
      <c r="AX420" s="109" t="s">
        <v>48</v>
      </c>
      <c r="AY420" s="109" t="s">
        <v>48</v>
      </c>
      <c r="AZ420" s="166" t="s">
        <v>48</v>
      </c>
      <c r="BA420" s="162" t="s">
        <v>279</v>
      </c>
      <c r="BB420" s="109" t="s">
        <v>49</v>
      </c>
      <c r="BC420" s="79"/>
    </row>
    <row r="421" spans="1:55" ht="75" hidden="1" customHeight="1">
      <c r="A421" s="109" t="s">
        <v>2336</v>
      </c>
      <c r="B421" s="109" t="s">
        <v>2709</v>
      </c>
      <c r="C421" s="109" t="s">
        <v>141</v>
      </c>
      <c r="D421" s="109" t="s">
        <v>142</v>
      </c>
      <c r="E421" s="161">
        <v>30000</v>
      </c>
      <c r="F421" s="165" t="s">
        <v>145</v>
      </c>
      <c r="G421" s="109" t="s">
        <v>145</v>
      </c>
      <c r="H421" s="109" t="s">
        <v>146</v>
      </c>
      <c r="I421" s="109" t="s">
        <v>1908</v>
      </c>
      <c r="J421" s="109" t="s">
        <v>628</v>
      </c>
      <c r="K421" s="109" t="s">
        <v>628</v>
      </c>
      <c r="L421" s="109">
        <v>5746745</v>
      </c>
      <c r="M421" s="166" t="s">
        <v>514</v>
      </c>
      <c r="N421" s="108" t="s">
        <v>48</v>
      </c>
      <c r="O421" s="109" t="s">
        <v>48</v>
      </c>
      <c r="P421" s="162" t="s">
        <v>48</v>
      </c>
      <c r="Q421" s="109" t="s">
        <v>48</v>
      </c>
      <c r="R421" s="109" t="s">
        <v>48</v>
      </c>
      <c r="S421" s="109" t="s">
        <v>48</v>
      </c>
      <c r="T421" s="109" t="s">
        <v>48</v>
      </c>
      <c r="U421" s="109" t="s">
        <v>48</v>
      </c>
      <c r="V421" s="166" t="s">
        <v>48</v>
      </c>
      <c r="W421" s="165" t="s">
        <v>142</v>
      </c>
      <c r="X421" s="109" t="s">
        <v>142</v>
      </c>
      <c r="Y421" s="109" t="s">
        <v>48</v>
      </c>
      <c r="Z421" s="109" t="s">
        <v>48</v>
      </c>
      <c r="AA421" s="109" t="s">
        <v>48</v>
      </c>
      <c r="AB421" s="109" t="s">
        <v>48</v>
      </c>
      <c r="AC421" s="109" t="s">
        <v>48</v>
      </c>
      <c r="AD421" s="166" t="s">
        <v>48</v>
      </c>
      <c r="AE421" s="165" t="s">
        <v>76</v>
      </c>
      <c r="AF421" s="109" t="s">
        <v>143</v>
      </c>
      <c r="AG421" s="109">
        <v>60889</v>
      </c>
      <c r="AH421" s="109" t="s">
        <v>1908</v>
      </c>
      <c r="AI421" s="109" t="s">
        <v>620</v>
      </c>
      <c r="AJ421" s="109" t="s">
        <v>258</v>
      </c>
      <c r="AK421" s="166" t="s">
        <v>500</v>
      </c>
      <c r="AL421" s="165" t="s">
        <v>142</v>
      </c>
      <c r="AM421" s="109" t="s">
        <v>142</v>
      </c>
      <c r="AN421" s="109" t="s">
        <v>48</v>
      </c>
      <c r="AO421" s="109" t="s">
        <v>48</v>
      </c>
      <c r="AP421" s="109" t="s">
        <v>48</v>
      </c>
      <c r="AQ421" s="109" t="s">
        <v>48</v>
      </c>
      <c r="AR421" s="109" t="s">
        <v>48</v>
      </c>
      <c r="AS421" s="166" t="s">
        <v>48</v>
      </c>
      <c r="AT421" s="165" t="s">
        <v>48</v>
      </c>
      <c r="AU421" s="109" t="s">
        <v>48</v>
      </c>
      <c r="AV421" s="109" t="s">
        <v>48</v>
      </c>
      <c r="AW421" s="109" t="s">
        <v>48</v>
      </c>
      <c r="AX421" s="109" t="s">
        <v>48</v>
      </c>
      <c r="AY421" s="109" t="s">
        <v>48</v>
      </c>
      <c r="AZ421" s="166" t="s">
        <v>48</v>
      </c>
      <c r="BA421" s="162" t="s">
        <v>288</v>
      </c>
      <c r="BB421" s="109" t="s">
        <v>49</v>
      </c>
      <c r="BC421" s="79"/>
    </row>
    <row r="422" spans="1:55" ht="75" hidden="1" customHeight="1">
      <c r="A422" s="109" t="s">
        <v>2337</v>
      </c>
      <c r="B422" s="109" t="s">
        <v>2011</v>
      </c>
      <c r="C422" s="109" t="s">
        <v>141</v>
      </c>
      <c r="D422" s="109" t="s">
        <v>142</v>
      </c>
      <c r="E422" s="161">
        <v>15000</v>
      </c>
      <c r="F422" s="165" t="s">
        <v>142</v>
      </c>
      <c r="G422" s="109" t="s">
        <v>142</v>
      </c>
      <c r="H422" s="109" t="s">
        <v>48</v>
      </c>
      <c r="I422" s="109" t="s">
        <v>48</v>
      </c>
      <c r="J422" s="109" t="s">
        <v>48</v>
      </c>
      <c r="K422" s="109" t="s">
        <v>48</v>
      </c>
      <c r="L422" s="109" t="s">
        <v>48</v>
      </c>
      <c r="M422" s="166" t="s">
        <v>48</v>
      </c>
      <c r="N422" s="108" t="s">
        <v>48</v>
      </c>
      <c r="O422" s="109" t="s">
        <v>48</v>
      </c>
      <c r="P422" s="162" t="s">
        <v>48</v>
      </c>
      <c r="Q422" s="109" t="s">
        <v>48</v>
      </c>
      <c r="R422" s="109" t="s">
        <v>48</v>
      </c>
      <c r="S422" s="109" t="s">
        <v>48</v>
      </c>
      <c r="T422" s="109" t="s">
        <v>48</v>
      </c>
      <c r="U422" s="109" t="s">
        <v>48</v>
      </c>
      <c r="V422" s="166" t="s">
        <v>48</v>
      </c>
      <c r="W422" s="165" t="s">
        <v>142</v>
      </c>
      <c r="X422" s="109" t="s">
        <v>142</v>
      </c>
      <c r="Y422" s="109" t="s">
        <v>48</v>
      </c>
      <c r="Z422" s="109" t="s">
        <v>48</v>
      </c>
      <c r="AA422" s="109" t="s">
        <v>48</v>
      </c>
      <c r="AB422" s="109" t="s">
        <v>48</v>
      </c>
      <c r="AC422" s="109" t="s">
        <v>48</v>
      </c>
      <c r="AD422" s="166" t="s">
        <v>48</v>
      </c>
      <c r="AE422" s="165" t="s">
        <v>76</v>
      </c>
      <c r="AF422" s="109" t="s">
        <v>143</v>
      </c>
      <c r="AG422" s="109">
        <v>60889</v>
      </c>
      <c r="AH422" s="109" t="s">
        <v>1908</v>
      </c>
      <c r="AI422" s="109" t="s">
        <v>620</v>
      </c>
      <c r="AJ422" s="109" t="s">
        <v>258</v>
      </c>
      <c r="AK422" s="166" t="s">
        <v>500</v>
      </c>
      <c r="AL422" s="165" t="s">
        <v>142</v>
      </c>
      <c r="AM422" s="109" t="s">
        <v>142</v>
      </c>
      <c r="AN422" s="109" t="s">
        <v>48</v>
      </c>
      <c r="AO422" s="109" t="s">
        <v>48</v>
      </c>
      <c r="AP422" s="109" t="s">
        <v>48</v>
      </c>
      <c r="AQ422" s="109" t="s">
        <v>48</v>
      </c>
      <c r="AR422" s="109" t="s">
        <v>48</v>
      </c>
      <c r="AS422" s="166" t="s">
        <v>48</v>
      </c>
      <c r="AT422" s="165" t="s">
        <v>48</v>
      </c>
      <c r="AU422" s="109" t="s">
        <v>48</v>
      </c>
      <c r="AV422" s="109" t="s">
        <v>48</v>
      </c>
      <c r="AW422" s="109" t="s">
        <v>48</v>
      </c>
      <c r="AX422" s="109" t="s">
        <v>48</v>
      </c>
      <c r="AY422" s="109" t="s">
        <v>48</v>
      </c>
      <c r="AZ422" s="166" t="s">
        <v>48</v>
      </c>
      <c r="BA422" s="162" t="s">
        <v>279</v>
      </c>
      <c r="BB422" s="109" t="s">
        <v>49</v>
      </c>
      <c r="BC422" s="79"/>
    </row>
    <row r="423" spans="1:55" ht="75" hidden="1" customHeight="1">
      <c r="A423" s="109" t="s">
        <v>2338</v>
      </c>
      <c r="B423" s="109" t="s">
        <v>2012</v>
      </c>
      <c r="C423" s="109" t="s">
        <v>141</v>
      </c>
      <c r="D423" s="109" t="s">
        <v>142</v>
      </c>
      <c r="E423" s="161">
        <v>15000</v>
      </c>
      <c r="F423" s="165" t="s">
        <v>142</v>
      </c>
      <c r="G423" s="109" t="s">
        <v>142</v>
      </c>
      <c r="H423" s="109" t="s">
        <v>48</v>
      </c>
      <c r="I423" s="109" t="s">
        <v>48</v>
      </c>
      <c r="J423" s="109" t="s">
        <v>48</v>
      </c>
      <c r="K423" s="109" t="s">
        <v>48</v>
      </c>
      <c r="L423" s="109" t="s">
        <v>48</v>
      </c>
      <c r="M423" s="166" t="s">
        <v>48</v>
      </c>
      <c r="N423" s="108" t="s">
        <v>48</v>
      </c>
      <c r="O423" s="109" t="s">
        <v>48</v>
      </c>
      <c r="P423" s="162" t="s">
        <v>48</v>
      </c>
      <c r="Q423" s="109" t="s">
        <v>48</v>
      </c>
      <c r="R423" s="109" t="s">
        <v>48</v>
      </c>
      <c r="S423" s="109" t="s">
        <v>48</v>
      </c>
      <c r="T423" s="109" t="s">
        <v>48</v>
      </c>
      <c r="U423" s="109" t="s">
        <v>48</v>
      </c>
      <c r="V423" s="166" t="s">
        <v>48</v>
      </c>
      <c r="W423" s="165" t="s">
        <v>142</v>
      </c>
      <c r="X423" s="109" t="s">
        <v>142</v>
      </c>
      <c r="Y423" s="109" t="s">
        <v>48</v>
      </c>
      <c r="Z423" s="109" t="s">
        <v>48</v>
      </c>
      <c r="AA423" s="109" t="s">
        <v>48</v>
      </c>
      <c r="AB423" s="109" t="s">
        <v>48</v>
      </c>
      <c r="AC423" s="109" t="s">
        <v>48</v>
      </c>
      <c r="AD423" s="166" t="s">
        <v>48</v>
      </c>
      <c r="AE423" s="165" t="s">
        <v>76</v>
      </c>
      <c r="AF423" s="109" t="s">
        <v>143</v>
      </c>
      <c r="AG423" s="109">
        <v>60889</v>
      </c>
      <c r="AH423" s="109" t="s">
        <v>1908</v>
      </c>
      <c r="AI423" s="109" t="s">
        <v>620</v>
      </c>
      <c r="AJ423" s="109" t="s">
        <v>258</v>
      </c>
      <c r="AK423" s="166" t="s">
        <v>500</v>
      </c>
      <c r="AL423" s="165" t="s">
        <v>142</v>
      </c>
      <c r="AM423" s="109" t="s">
        <v>142</v>
      </c>
      <c r="AN423" s="109" t="s">
        <v>48</v>
      </c>
      <c r="AO423" s="109" t="s">
        <v>48</v>
      </c>
      <c r="AP423" s="109" t="s">
        <v>48</v>
      </c>
      <c r="AQ423" s="109" t="s">
        <v>48</v>
      </c>
      <c r="AR423" s="109" t="s">
        <v>48</v>
      </c>
      <c r="AS423" s="166" t="s">
        <v>48</v>
      </c>
      <c r="AT423" s="165" t="s">
        <v>48</v>
      </c>
      <c r="AU423" s="109" t="s">
        <v>48</v>
      </c>
      <c r="AV423" s="109" t="s">
        <v>48</v>
      </c>
      <c r="AW423" s="109" t="s">
        <v>48</v>
      </c>
      <c r="AX423" s="109" t="s">
        <v>48</v>
      </c>
      <c r="AY423" s="109" t="s">
        <v>48</v>
      </c>
      <c r="AZ423" s="166" t="s">
        <v>48</v>
      </c>
      <c r="BA423" s="162" t="s">
        <v>279</v>
      </c>
      <c r="BB423" s="109" t="s">
        <v>49</v>
      </c>
      <c r="BC423" s="79"/>
    </row>
    <row r="424" spans="1:55" ht="75" hidden="1" customHeight="1">
      <c r="A424" s="109" t="s">
        <v>2336</v>
      </c>
      <c r="B424" s="109" t="s">
        <v>2010</v>
      </c>
      <c r="C424" s="109" t="s">
        <v>137</v>
      </c>
      <c r="D424" s="109" t="s">
        <v>138</v>
      </c>
      <c r="E424" s="161">
        <v>15000</v>
      </c>
      <c r="F424" s="165" t="s">
        <v>145</v>
      </c>
      <c r="G424" s="109" t="s">
        <v>145</v>
      </c>
      <c r="H424" s="109" t="s">
        <v>762</v>
      </c>
      <c r="I424" s="109" t="s">
        <v>1908</v>
      </c>
      <c r="J424" s="109" t="s">
        <v>751</v>
      </c>
      <c r="K424" s="109" t="s">
        <v>751</v>
      </c>
      <c r="L424" s="109" t="s">
        <v>763</v>
      </c>
      <c r="M424" s="166" t="s">
        <v>764</v>
      </c>
      <c r="N424" s="108" t="s">
        <v>48</v>
      </c>
      <c r="O424" s="109" t="s">
        <v>48</v>
      </c>
      <c r="P424" s="162" t="s">
        <v>68</v>
      </c>
      <c r="Q424" s="109" t="s">
        <v>139</v>
      </c>
      <c r="R424" s="109">
        <v>60850</v>
      </c>
      <c r="S424" s="109" t="s">
        <v>48</v>
      </c>
      <c r="T424" s="109" t="s">
        <v>585</v>
      </c>
      <c r="U424" s="109">
        <v>5482710</v>
      </c>
      <c r="V424" s="166" t="s">
        <v>486</v>
      </c>
      <c r="W424" s="165" t="s">
        <v>138</v>
      </c>
      <c r="X424" s="109" t="s">
        <v>138</v>
      </c>
      <c r="Y424" s="109" t="s">
        <v>48</v>
      </c>
      <c r="Z424" s="109" t="s">
        <v>48</v>
      </c>
      <c r="AA424" s="109" t="s">
        <v>48</v>
      </c>
      <c r="AB424" s="109" t="s">
        <v>48</v>
      </c>
      <c r="AC424" s="109" t="s">
        <v>48</v>
      </c>
      <c r="AD424" s="166" t="s">
        <v>48</v>
      </c>
      <c r="AE424" s="165" t="s">
        <v>48</v>
      </c>
      <c r="AF424" s="109" t="s">
        <v>48</v>
      </c>
      <c r="AG424" s="109" t="s">
        <v>48</v>
      </c>
      <c r="AH424" s="109" t="s">
        <v>48</v>
      </c>
      <c r="AI424" s="109" t="s">
        <v>48</v>
      </c>
      <c r="AJ424" s="109" t="s">
        <v>48</v>
      </c>
      <c r="AK424" s="166" t="s">
        <v>48</v>
      </c>
      <c r="AL424" s="165" t="s">
        <v>138</v>
      </c>
      <c r="AM424" s="109" t="s">
        <v>138</v>
      </c>
      <c r="AN424" s="109" t="s">
        <v>48</v>
      </c>
      <c r="AO424" s="109" t="s">
        <v>48</v>
      </c>
      <c r="AP424" s="109" t="s">
        <v>48</v>
      </c>
      <c r="AQ424" s="109" t="s">
        <v>48</v>
      </c>
      <c r="AR424" s="109" t="s">
        <v>48</v>
      </c>
      <c r="AS424" s="166" t="s">
        <v>48</v>
      </c>
      <c r="AT424" s="165" t="s">
        <v>48</v>
      </c>
      <c r="AU424" s="109" t="s">
        <v>48</v>
      </c>
      <c r="AV424" s="109" t="s">
        <v>48</v>
      </c>
      <c r="AW424" s="109" t="s">
        <v>48</v>
      </c>
      <c r="AX424" s="109" t="s">
        <v>48</v>
      </c>
      <c r="AY424" s="109" t="s">
        <v>48</v>
      </c>
      <c r="AZ424" s="166" t="s">
        <v>48</v>
      </c>
      <c r="BA424" s="162" t="s">
        <v>278</v>
      </c>
      <c r="BB424" s="109" t="s">
        <v>49</v>
      </c>
      <c r="BC424" s="79"/>
    </row>
    <row r="425" spans="1:55" ht="75" hidden="1" customHeight="1">
      <c r="A425" s="109" t="s">
        <v>2336</v>
      </c>
      <c r="B425" s="109" t="s">
        <v>2709</v>
      </c>
      <c r="C425" s="109" t="s">
        <v>137</v>
      </c>
      <c r="D425" s="109" t="s">
        <v>138</v>
      </c>
      <c r="E425" s="161">
        <v>30000</v>
      </c>
      <c r="F425" s="165" t="s">
        <v>145</v>
      </c>
      <c r="G425" s="109" t="s">
        <v>145</v>
      </c>
      <c r="H425" s="109" t="s">
        <v>146</v>
      </c>
      <c r="I425" s="109" t="s">
        <v>1908</v>
      </c>
      <c r="J425" s="109" t="s">
        <v>628</v>
      </c>
      <c r="K425" s="109" t="s">
        <v>628</v>
      </c>
      <c r="L425" s="109">
        <v>5746745</v>
      </c>
      <c r="M425" s="166" t="s">
        <v>514</v>
      </c>
      <c r="N425" s="108" t="s">
        <v>48</v>
      </c>
      <c r="O425" s="109" t="s">
        <v>48</v>
      </c>
      <c r="P425" s="162" t="s">
        <v>68</v>
      </c>
      <c r="Q425" s="109" t="s">
        <v>139</v>
      </c>
      <c r="R425" s="109">
        <v>60850</v>
      </c>
      <c r="S425" s="109" t="s">
        <v>48</v>
      </c>
      <c r="T425" s="109" t="s">
        <v>585</v>
      </c>
      <c r="U425" s="109">
        <v>5482710</v>
      </c>
      <c r="V425" s="166" t="s">
        <v>486</v>
      </c>
      <c r="W425" s="165" t="s">
        <v>138</v>
      </c>
      <c r="X425" s="109" t="s">
        <v>138</v>
      </c>
      <c r="Y425" s="109" t="s">
        <v>48</v>
      </c>
      <c r="Z425" s="109" t="s">
        <v>48</v>
      </c>
      <c r="AA425" s="109" t="s">
        <v>48</v>
      </c>
      <c r="AB425" s="109" t="s">
        <v>48</v>
      </c>
      <c r="AC425" s="109" t="s">
        <v>48</v>
      </c>
      <c r="AD425" s="166" t="s">
        <v>48</v>
      </c>
      <c r="AE425" s="165" t="s">
        <v>48</v>
      </c>
      <c r="AF425" s="109" t="s">
        <v>48</v>
      </c>
      <c r="AG425" s="109" t="s">
        <v>48</v>
      </c>
      <c r="AH425" s="109" t="s">
        <v>48</v>
      </c>
      <c r="AI425" s="109" t="s">
        <v>48</v>
      </c>
      <c r="AJ425" s="109" t="s">
        <v>48</v>
      </c>
      <c r="AK425" s="166" t="s">
        <v>48</v>
      </c>
      <c r="AL425" s="165" t="s">
        <v>138</v>
      </c>
      <c r="AM425" s="109" t="s">
        <v>138</v>
      </c>
      <c r="AN425" s="109" t="s">
        <v>48</v>
      </c>
      <c r="AO425" s="109" t="s">
        <v>48</v>
      </c>
      <c r="AP425" s="109" t="s">
        <v>48</v>
      </c>
      <c r="AQ425" s="109" t="s">
        <v>48</v>
      </c>
      <c r="AR425" s="109" t="s">
        <v>48</v>
      </c>
      <c r="AS425" s="166" t="s">
        <v>48</v>
      </c>
      <c r="AT425" s="165" t="s">
        <v>48</v>
      </c>
      <c r="AU425" s="109" t="s">
        <v>48</v>
      </c>
      <c r="AV425" s="109" t="s">
        <v>48</v>
      </c>
      <c r="AW425" s="109" t="s">
        <v>48</v>
      </c>
      <c r="AX425" s="109" t="s">
        <v>48</v>
      </c>
      <c r="AY425" s="109" t="s">
        <v>48</v>
      </c>
      <c r="AZ425" s="166" t="s">
        <v>48</v>
      </c>
      <c r="BA425" s="162" t="s">
        <v>288</v>
      </c>
      <c r="BB425" s="109" t="s">
        <v>49</v>
      </c>
      <c r="BC425" s="79"/>
    </row>
    <row r="426" spans="1:55" ht="75" hidden="1" customHeight="1">
      <c r="A426" s="109" t="s">
        <v>2337</v>
      </c>
      <c r="B426" s="109" t="s">
        <v>2011</v>
      </c>
      <c r="C426" s="109" t="s">
        <v>137</v>
      </c>
      <c r="D426" s="109" t="s">
        <v>138</v>
      </c>
      <c r="E426" s="161">
        <v>15000</v>
      </c>
      <c r="F426" s="165" t="s">
        <v>145</v>
      </c>
      <c r="G426" s="109" t="s">
        <v>145</v>
      </c>
      <c r="H426" s="109" t="s">
        <v>762</v>
      </c>
      <c r="I426" s="109" t="s">
        <v>1908</v>
      </c>
      <c r="J426" s="109" t="s">
        <v>751</v>
      </c>
      <c r="K426" s="109" t="s">
        <v>751</v>
      </c>
      <c r="L426" s="109" t="s">
        <v>763</v>
      </c>
      <c r="M426" s="166" t="s">
        <v>764</v>
      </c>
      <c r="N426" s="108" t="s">
        <v>48</v>
      </c>
      <c r="O426" s="109" t="s">
        <v>48</v>
      </c>
      <c r="P426" s="162" t="s">
        <v>68</v>
      </c>
      <c r="Q426" s="109" t="s">
        <v>139</v>
      </c>
      <c r="R426" s="109">
        <v>60850</v>
      </c>
      <c r="S426" s="109" t="s">
        <v>48</v>
      </c>
      <c r="T426" s="109" t="s">
        <v>585</v>
      </c>
      <c r="U426" s="109">
        <v>5482710</v>
      </c>
      <c r="V426" s="166" t="s">
        <v>486</v>
      </c>
      <c r="W426" s="165" t="s">
        <v>138</v>
      </c>
      <c r="X426" s="109" t="s">
        <v>138</v>
      </c>
      <c r="Y426" s="109" t="s">
        <v>48</v>
      </c>
      <c r="Z426" s="109" t="s">
        <v>48</v>
      </c>
      <c r="AA426" s="109" t="s">
        <v>48</v>
      </c>
      <c r="AB426" s="109" t="s">
        <v>48</v>
      </c>
      <c r="AC426" s="109" t="s">
        <v>48</v>
      </c>
      <c r="AD426" s="166" t="s">
        <v>48</v>
      </c>
      <c r="AE426" s="165" t="s">
        <v>48</v>
      </c>
      <c r="AF426" s="109" t="s">
        <v>48</v>
      </c>
      <c r="AG426" s="109" t="s">
        <v>48</v>
      </c>
      <c r="AH426" s="109" t="s">
        <v>48</v>
      </c>
      <c r="AI426" s="109" t="s">
        <v>48</v>
      </c>
      <c r="AJ426" s="109" t="s">
        <v>48</v>
      </c>
      <c r="AK426" s="166" t="s">
        <v>48</v>
      </c>
      <c r="AL426" s="165" t="s">
        <v>138</v>
      </c>
      <c r="AM426" s="109" t="s">
        <v>138</v>
      </c>
      <c r="AN426" s="109" t="s">
        <v>48</v>
      </c>
      <c r="AO426" s="109" t="s">
        <v>48</v>
      </c>
      <c r="AP426" s="109" t="s">
        <v>48</v>
      </c>
      <c r="AQ426" s="109" t="s">
        <v>48</v>
      </c>
      <c r="AR426" s="109" t="s">
        <v>48</v>
      </c>
      <c r="AS426" s="166" t="s">
        <v>48</v>
      </c>
      <c r="AT426" s="165" t="s">
        <v>48</v>
      </c>
      <c r="AU426" s="109" t="s">
        <v>48</v>
      </c>
      <c r="AV426" s="109" t="s">
        <v>48</v>
      </c>
      <c r="AW426" s="109" t="s">
        <v>48</v>
      </c>
      <c r="AX426" s="109" t="s">
        <v>48</v>
      </c>
      <c r="AY426" s="109" t="s">
        <v>48</v>
      </c>
      <c r="AZ426" s="166" t="s">
        <v>48</v>
      </c>
      <c r="BA426" s="162" t="s">
        <v>278</v>
      </c>
      <c r="BB426" s="109" t="s">
        <v>49</v>
      </c>
      <c r="BC426" s="79"/>
    </row>
    <row r="427" spans="1:55" ht="75" hidden="1" customHeight="1">
      <c r="A427" s="109" t="s">
        <v>2338</v>
      </c>
      <c r="B427" s="109" t="s">
        <v>2012</v>
      </c>
      <c r="C427" s="109" t="s">
        <v>137</v>
      </c>
      <c r="D427" s="109" t="s">
        <v>138</v>
      </c>
      <c r="E427" s="161">
        <v>15000</v>
      </c>
      <c r="F427" s="165" t="s">
        <v>145</v>
      </c>
      <c r="G427" s="109" t="s">
        <v>145</v>
      </c>
      <c r="H427" s="109" t="s">
        <v>762</v>
      </c>
      <c r="I427" s="109" t="s">
        <v>1908</v>
      </c>
      <c r="J427" s="109" t="s">
        <v>751</v>
      </c>
      <c r="K427" s="109" t="s">
        <v>751</v>
      </c>
      <c r="L427" s="109" t="s">
        <v>763</v>
      </c>
      <c r="M427" s="166" t="s">
        <v>764</v>
      </c>
      <c r="N427" s="108" t="s">
        <v>48</v>
      </c>
      <c r="O427" s="109" t="s">
        <v>48</v>
      </c>
      <c r="P427" s="162" t="s">
        <v>68</v>
      </c>
      <c r="Q427" s="109" t="s">
        <v>139</v>
      </c>
      <c r="R427" s="109">
        <v>60850</v>
      </c>
      <c r="S427" s="109" t="s">
        <v>48</v>
      </c>
      <c r="T427" s="109" t="s">
        <v>585</v>
      </c>
      <c r="U427" s="109">
        <v>5482710</v>
      </c>
      <c r="V427" s="166" t="s">
        <v>486</v>
      </c>
      <c r="W427" s="165" t="s">
        <v>138</v>
      </c>
      <c r="X427" s="109" t="s">
        <v>138</v>
      </c>
      <c r="Y427" s="109" t="s">
        <v>48</v>
      </c>
      <c r="Z427" s="109" t="s">
        <v>48</v>
      </c>
      <c r="AA427" s="109" t="s">
        <v>48</v>
      </c>
      <c r="AB427" s="109" t="s">
        <v>48</v>
      </c>
      <c r="AC427" s="109" t="s">
        <v>48</v>
      </c>
      <c r="AD427" s="166" t="s">
        <v>48</v>
      </c>
      <c r="AE427" s="165" t="s">
        <v>48</v>
      </c>
      <c r="AF427" s="109" t="s">
        <v>48</v>
      </c>
      <c r="AG427" s="109" t="s">
        <v>48</v>
      </c>
      <c r="AH427" s="109" t="s">
        <v>48</v>
      </c>
      <c r="AI427" s="109" t="s">
        <v>48</v>
      </c>
      <c r="AJ427" s="109" t="s">
        <v>48</v>
      </c>
      <c r="AK427" s="166" t="s">
        <v>48</v>
      </c>
      <c r="AL427" s="165" t="s">
        <v>138</v>
      </c>
      <c r="AM427" s="109" t="s">
        <v>138</v>
      </c>
      <c r="AN427" s="109" t="s">
        <v>48</v>
      </c>
      <c r="AO427" s="109" t="s">
        <v>48</v>
      </c>
      <c r="AP427" s="109" t="s">
        <v>48</v>
      </c>
      <c r="AQ427" s="109" t="s">
        <v>48</v>
      </c>
      <c r="AR427" s="109" t="s">
        <v>48</v>
      </c>
      <c r="AS427" s="166" t="s">
        <v>48</v>
      </c>
      <c r="AT427" s="165" t="s">
        <v>48</v>
      </c>
      <c r="AU427" s="109" t="s">
        <v>48</v>
      </c>
      <c r="AV427" s="109" t="s">
        <v>48</v>
      </c>
      <c r="AW427" s="109" t="s">
        <v>48</v>
      </c>
      <c r="AX427" s="109" t="s">
        <v>48</v>
      </c>
      <c r="AY427" s="109" t="s">
        <v>48</v>
      </c>
      <c r="AZ427" s="166" t="s">
        <v>48</v>
      </c>
      <c r="BA427" s="162" t="s">
        <v>278</v>
      </c>
      <c r="BB427" s="109" t="s">
        <v>49</v>
      </c>
      <c r="BC427" s="79"/>
    </row>
    <row r="428" spans="1:55" ht="75" hidden="1" customHeight="1">
      <c r="A428" s="109" t="s">
        <v>20</v>
      </c>
      <c r="B428" s="109" t="s">
        <v>20</v>
      </c>
      <c r="C428" s="109" t="s">
        <v>107</v>
      </c>
      <c r="D428" s="109" t="s">
        <v>108</v>
      </c>
      <c r="E428" s="161">
        <v>15000</v>
      </c>
      <c r="F428" s="165" t="s">
        <v>109</v>
      </c>
      <c r="G428" s="109" t="str">
        <f t="shared" ref="G428:G439" si="3">F428</f>
        <v>12.0_M5B_0846.d</v>
      </c>
      <c r="H428" s="109" t="s">
        <v>697</v>
      </c>
      <c r="I428" s="109" t="s">
        <v>1908</v>
      </c>
      <c r="J428" s="109" t="s">
        <v>626</v>
      </c>
      <c r="K428" s="109" t="s">
        <v>626</v>
      </c>
      <c r="L428" s="109" t="s">
        <v>699</v>
      </c>
      <c r="M428" s="166" t="s">
        <v>2625</v>
      </c>
      <c r="N428" s="217" t="s">
        <v>2770</v>
      </c>
      <c r="O428" s="109" t="s">
        <v>115</v>
      </c>
      <c r="P428" s="221" t="s">
        <v>2770</v>
      </c>
      <c r="Q428" s="109" t="s">
        <v>115</v>
      </c>
      <c r="R428" s="109" t="s">
        <v>2771</v>
      </c>
      <c r="S428" s="109" t="s">
        <v>1908</v>
      </c>
      <c r="T428" s="109" t="s">
        <v>48</v>
      </c>
      <c r="U428" s="109" t="s">
        <v>699</v>
      </c>
      <c r="V428" s="166" t="s">
        <v>2772</v>
      </c>
      <c r="W428" s="165" t="s">
        <v>108</v>
      </c>
      <c r="X428" s="109" t="s">
        <v>108</v>
      </c>
      <c r="Y428" s="109" t="s">
        <v>48</v>
      </c>
      <c r="Z428" s="109" t="s">
        <v>48</v>
      </c>
      <c r="AA428" s="109" t="s">
        <v>48</v>
      </c>
      <c r="AB428" s="109" t="s">
        <v>48</v>
      </c>
      <c r="AC428" s="109" t="s">
        <v>48</v>
      </c>
      <c r="AD428" s="166" t="s">
        <v>48</v>
      </c>
      <c r="AE428" s="165" t="s">
        <v>48</v>
      </c>
      <c r="AF428" s="109" t="s">
        <v>48</v>
      </c>
      <c r="AG428" s="109" t="s">
        <v>48</v>
      </c>
      <c r="AH428" s="109" t="s">
        <v>48</v>
      </c>
      <c r="AI428" s="109" t="s">
        <v>48</v>
      </c>
      <c r="AJ428" s="109" t="s">
        <v>48</v>
      </c>
      <c r="AK428" s="166" t="s">
        <v>48</v>
      </c>
      <c r="AL428" s="165" t="s">
        <v>108</v>
      </c>
      <c r="AM428" s="109" t="s">
        <v>108</v>
      </c>
      <c r="AN428" s="109" t="s">
        <v>48</v>
      </c>
      <c r="AO428" s="109" t="s">
        <v>48</v>
      </c>
      <c r="AP428" s="109" t="s">
        <v>48</v>
      </c>
      <c r="AQ428" s="109" t="s">
        <v>48</v>
      </c>
      <c r="AR428" s="109" t="s">
        <v>48</v>
      </c>
      <c r="AS428" s="166" t="s">
        <v>48</v>
      </c>
      <c r="AT428" s="165" t="s">
        <v>48</v>
      </c>
      <c r="AU428" s="109" t="s">
        <v>48</v>
      </c>
      <c r="AV428" s="109" t="s">
        <v>48</v>
      </c>
      <c r="AW428" s="109" t="s">
        <v>48</v>
      </c>
      <c r="AX428" s="109" t="s">
        <v>48</v>
      </c>
      <c r="AY428" s="109" t="s">
        <v>48</v>
      </c>
      <c r="AZ428" s="166" t="s">
        <v>48</v>
      </c>
      <c r="BA428" s="162" t="s">
        <v>275</v>
      </c>
      <c r="BB428" s="109" t="s">
        <v>49</v>
      </c>
      <c r="BC428" s="79"/>
    </row>
    <row r="429" spans="1:55" ht="75" hidden="1" customHeight="1">
      <c r="A429" s="109" t="s">
        <v>20</v>
      </c>
      <c r="B429" s="109" t="s">
        <v>20</v>
      </c>
      <c r="C429" s="109" t="s">
        <v>107</v>
      </c>
      <c r="D429" s="109" t="s">
        <v>108</v>
      </c>
      <c r="E429" s="161">
        <v>30000</v>
      </c>
      <c r="F429" s="165" t="s">
        <v>109</v>
      </c>
      <c r="G429" s="109" t="str">
        <f t="shared" si="3"/>
        <v>12.0_M5B_0846.d</v>
      </c>
      <c r="H429" s="109" t="s">
        <v>697</v>
      </c>
      <c r="I429" s="109" t="s">
        <v>1908</v>
      </c>
      <c r="J429" s="109" t="s">
        <v>626</v>
      </c>
      <c r="K429" s="109" t="s">
        <v>626</v>
      </c>
      <c r="L429" s="109" t="s">
        <v>699</v>
      </c>
      <c r="M429" s="166" t="s">
        <v>696</v>
      </c>
      <c r="N429" s="217" t="s">
        <v>2770</v>
      </c>
      <c r="O429" s="218" t="s">
        <v>115</v>
      </c>
      <c r="P429" s="221" t="s">
        <v>2770</v>
      </c>
      <c r="Q429" s="109" t="s">
        <v>115</v>
      </c>
      <c r="R429" s="109" t="s">
        <v>2771</v>
      </c>
      <c r="S429" s="109" t="s">
        <v>1908</v>
      </c>
      <c r="T429" s="109" t="s">
        <v>48</v>
      </c>
      <c r="U429" s="109" t="s">
        <v>699</v>
      </c>
      <c r="V429" s="166" t="s">
        <v>2772</v>
      </c>
      <c r="W429" s="165" t="s">
        <v>108</v>
      </c>
      <c r="X429" s="109" t="str">
        <f>W429</f>
        <v>12.0_M4_0520.a</v>
      </c>
      <c r="Y429" s="109" t="s">
        <v>48</v>
      </c>
      <c r="Z429" s="109" t="s">
        <v>48</v>
      </c>
      <c r="AA429" s="109" t="s">
        <v>48</v>
      </c>
      <c r="AB429" s="109" t="s">
        <v>48</v>
      </c>
      <c r="AC429" s="109" t="s">
        <v>48</v>
      </c>
      <c r="AD429" s="166" t="s">
        <v>48</v>
      </c>
      <c r="AE429" s="165" t="s">
        <v>48</v>
      </c>
      <c r="AF429" s="109" t="s">
        <v>48</v>
      </c>
      <c r="AG429" s="109" t="s">
        <v>48</v>
      </c>
      <c r="AH429" s="109" t="s">
        <v>48</v>
      </c>
      <c r="AI429" s="109" t="s">
        <v>48</v>
      </c>
      <c r="AJ429" s="109" t="s">
        <v>48</v>
      </c>
      <c r="AK429" s="166" t="s">
        <v>48</v>
      </c>
      <c r="AL429" s="165" t="s">
        <v>108</v>
      </c>
      <c r="AM429" s="109" t="s">
        <v>108</v>
      </c>
      <c r="AN429" s="109" t="s">
        <v>48</v>
      </c>
      <c r="AO429" s="109" t="s">
        <v>48</v>
      </c>
      <c r="AP429" s="109" t="s">
        <v>48</v>
      </c>
      <c r="AQ429" s="109" t="s">
        <v>48</v>
      </c>
      <c r="AR429" s="109" t="s">
        <v>48</v>
      </c>
      <c r="AS429" s="166" t="s">
        <v>48</v>
      </c>
      <c r="AT429" s="165" t="s">
        <v>48</v>
      </c>
      <c r="AU429" s="109" t="s">
        <v>48</v>
      </c>
      <c r="AV429" s="109" t="s">
        <v>48</v>
      </c>
      <c r="AW429" s="109" t="s">
        <v>48</v>
      </c>
      <c r="AX429" s="109" t="s">
        <v>48</v>
      </c>
      <c r="AY429" s="109" t="s">
        <v>48</v>
      </c>
      <c r="AZ429" s="166" t="s">
        <v>48</v>
      </c>
      <c r="BA429" s="162" t="s">
        <v>275</v>
      </c>
      <c r="BB429" s="109" t="s">
        <v>49</v>
      </c>
      <c r="BC429" s="79"/>
    </row>
    <row r="430" spans="1:55" ht="75" hidden="1" customHeight="1">
      <c r="A430" s="109" t="s">
        <v>20</v>
      </c>
      <c r="B430" s="109" t="s">
        <v>20</v>
      </c>
      <c r="C430" s="109" t="s">
        <v>107</v>
      </c>
      <c r="D430" s="109" t="s">
        <v>111</v>
      </c>
      <c r="E430" s="161">
        <v>15000</v>
      </c>
      <c r="F430" s="165" t="s">
        <v>109</v>
      </c>
      <c r="G430" s="109" t="str">
        <f t="shared" si="3"/>
        <v>12.0_M5B_0846.d</v>
      </c>
      <c r="H430" s="109" t="s">
        <v>697</v>
      </c>
      <c r="I430" s="109" t="s">
        <v>1908</v>
      </c>
      <c r="J430" s="109" t="s">
        <v>626</v>
      </c>
      <c r="K430" s="109" t="s">
        <v>626</v>
      </c>
      <c r="L430" s="109" t="s">
        <v>699</v>
      </c>
      <c r="M430" s="166" t="s">
        <v>696</v>
      </c>
      <c r="N430" s="217" t="s">
        <v>2770</v>
      </c>
      <c r="O430" s="218" t="s">
        <v>115</v>
      </c>
      <c r="P430" s="221" t="s">
        <v>2770</v>
      </c>
      <c r="Q430" s="109" t="s">
        <v>115</v>
      </c>
      <c r="R430" s="109" t="s">
        <v>2771</v>
      </c>
      <c r="S430" s="109" t="s">
        <v>1908</v>
      </c>
      <c r="T430" s="109" t="s">
        <v>48</v>
      </c>
      <c r="U430" s="109" t="s">
        <v>699</v>
      </c>
      <c r="V430" s="166" t="s">
        <v>2772</v>
      </c>
      <c r="W430" s="165" t="s">
        <v>111</v>
      </c>
      <c r="X430" s="109" t="str">
        <f>W430</f>
        <v>12.0_M5_0606.a</v>
      </c>
      <c r="Y430" s="109" t="s">
        <v>48</v>
      </c>
      <c r="Z430" s="109" t="s">
        <v>48</v>
      </c>
      <c r="AA430" s="109" t="s">
        <v>48</v>
      </c>
      <c r="AB430" s="109" t="s">
        <v>48</v>
      </c>
      <c r="AC430" s="109" t="s">
        <v>48</v>
      </c>
      <c r="AD430" s="166" t="s">
        <v>48</v>
      </c>
      <c r="AE430" s="165" t="s">
        <v>48</v>
      </c>
      <c r="AF430" s="109" t="s">
        <v>48</v>
      </c>
      <c r="AG430" s="109" t="s">
        <v>48</v>
      </c>
      <c r="AH430" s="109" t="s">
        <v>48</v>
      </c>
      <c r="AI430" s="109" t="s">
        <v>48</v>
      </c>
      <c r="AJ430" s="109" t="s">
        <v>48</v>
      </c>
      <c r="AK430" s="166" t="s">
        <v>48</v>
      </c>
      <c r="AL430" s="165" t="s">
        <v>111</v>
      </c>
      <c r="AM430" s="109" t="s">
        <v>111</v>
      </c>
      <c r="AN430" s="109" t="s">
        <v>48</v>
      </c>
      <c r="AO430" s="109" t="s">
        <v>48</v>
      </c>
      <c r="AP430" s="109" t="s">
        <v>48</v>
      </c>
      <c r="AQ430" s="109" t="s">
        <v>48</v>
      </c>
      <c r="AR430" s="109" t="s">
        <v>48</v>
      </c>
      <c r="AS430" s="166" t="s">
        <v>48</v>
      </c>
      <c r="AT430" s="165" t="s">
        <v>48</v>
      </c>
      <c r="AU430" s="109" t="s">
        <v>48</v>
      </c>
      <c r="AV430" s="109" t="s">
        <v>48</v>
      </c>
      <c r="AW430" s="109" t="s">
        <v>48</v>
      </c>
      <c r="AX430" s="109" t="s">
        <v>48</v>
      </c>
      <c r="AY430" s="109" t="s">
        <v>48</v>
      </c>
      <c r="AZ430" s="166" t="s">
        <v>48</v>
      </c>
      <c r="BA430" s="162" t="s">
        <v>275</v>
      </c>
      <c r="BB430" s="109" t="s">
        <v>49</v>
      </c>
      <c r="BC430" s="79"/>
    </row>
    <row r="431" spans="1:55" ht="75" hidden="1" customHeight="1">
      <c r="A431" s="109" t="s">
        <v>20</v>
      </c>
      <c r="B431" s="109" t="s">
        <v>20</v>
      </c>
      <c r="C431" s="109" t="s">
        <v>107</v>
      </c>
      <c r="D431" s="109" t="s">
        <v>111</v>
      </c>
      <c r="E431" s="161">
        <v>30000</v>
      </c>
      <c r="F431" s="165" t="s">
        <v>109</v>
      </c>
      <c r="G431" s="109" t="str">
        <f t="shared" si="3"/>
        <v>12.0_M5B_0846.d</v>
      </c>
      <c r="H431" s="109" t="s">
        <v>697</v>
      </c>
      <c r="I431" s="109" t="s">
        <v>1908</v>
      </c>
      <c r="J431" s="109" t="s">
        <v>626</v>
      </c>
      <c r="K431" s="109" t="s">
        <v>626</v>
      </c>
      <c r="L431" s="109" t="s">
        <v>699</v>
      </c>
      <c r="M431" s="166" t="s">
        <v>696</v>
      </c>
      <c r="N431" s="217" t="s">
        <v>2770</v>
      </c>
      <c r="O431" s="218" t="s">
        <v>115</v>
      </c>
      <c r="P431" s="221" t="s">
        <v>2770</v>
      </c>
      <c r="Q431" s="109" t="s">
        <v>115</v>
      </c>
      <c r="R431" s="109" t="s">
        <v>2771</v>
      </c>
      <c r="S431" s="109" t="s">
        <v>1908</v>
      </c>
      <c r="T431" s="109" t="s">
        <v>48</v>
      </c>
      <c r="U431" s="109" t="s">
        <v>699</v>
      </c>
      <c r="V431" s="166" t="s">
        <v>2772</v>
      </c>
      <c r="W431" s="165" t="s">
        <v>111</v>
      </c>
      <c r="X431" s="109" t="s">
        <v>111</v>
      </c>
      <c r="Y431" s="109" t="s">
        <v>48</v>
      </c>
      <c r="Z431" s="109" t="s">
        <v>48</v>
      </c>
      <c r="AA431" s="109" t="s">
        <v>48</v>
      </c>
      <c r="AB431" s="109" t="s">
        <v>48</v>
      </c>
      <c r="AC431" s="109" t="s">
        <v>48</v>
      </c>
      <c r="AD431" s="166" t="s">
        <v>48</v>
      </c>
      <c r="AE431" s="165" t="s">
        <v>48</v>
      </c>
      <c r="AF431" s="109" t="s">
        <v>48</v>
      </c>
      <c r="AG431" s="109" t="s">
        <v>48</v>
      </c>
      <c r="AH431" s="109" t="s">
        <v>48</v>
      </c>
      <c r="AI431" s="109" t="s">
        <v>48</v>
      </c>
      <c r="AJ431" s="109" t="s">
        <v>48</v>
      </c>
      <c r="AK431" s="166" t="s">
        <v>48</v>
      </c>
      <c r="AL431" s="165" t="s">
        <v>111</v>
      </c>
      <c r="AM431" s="109" t="s">
        <v>111</v>
      </c>
      <c r="AN431" s="109" t="s">
        <v>48</v>
      </c>
      <c r="AO431" s="109" t="s">
        <v>48</v>
      </c>
      <c r="AP431" s="109" t="s">
        <v>48</v>
      </c>
      <c r="AQ431" s="109" t="s">
        <v>48</v>
      </c>
      <c r="AR431" s="109" t="s">
        <v>48</v>
      </c>
      <c r="AS431" s="166" t="s">
        <v>48</v>
      </c>
      <c r="AT431" s="165" t="s">
        <v>48</v>
      </c>
      <c r="AU431" s="109" t="s">
        <v>48</v>
      </c>
      <c r="AV431" s="109" t="s">
        <v>48</v>
      </c>
      <c r="AW431" s="109" t="s">
        <v>48</v>
      </c>
      <c r="AX431" s="109" t="s">
        <v>48</v>
      </c>
      <c r="AY431" s="109" t="s">
        <v>48</v>
      </c>
      <c r="AZ431" s="166" t="s">
        <v>48</v>
      </c>
      <c r="BA431" s="162" t="s">
        <v>275</v>
      </c>
      <c r="BB431" s="109" t="s">
        <v>49</v>
      </c>
      <c r="BC431" s="79"/>
    </row>
    <row r="432" spans="1:55" ht="75" hidden="1" customHeight="1">
      <c r="A432" s="109" t="s">
        <v>20</v>
      </c>
      <c r="B432" s="109" t="s">
        <v>20</v>
      </c>
      <c r="C432" s="109" t="s">
        <v>107</v>
      </c>
      <c r="D432" s="109" t="s">
        <v>112</v>
      </c>
      <c r="E432" s="161">
        <v>15000</v>
      </c>
      <c r="F432" s="165" t="s">
        <v>109</v>
      </c>
      <c r="G432" s="109" t="str">
        <f t="shared" si="3"/>
        <v>12.0_M5B_0846.d</v>
      </c>
      <c r="H432" s="109" t="s">
        <v>697</v>
      </c>
      <c r="I432" s="109" t="s">
        <v>1908</v>
      </c>
      <c r="J432" s="109" t="s">
        <v>626</v>
      </c>
      <c r="K432" s="109" t="s">
        <v>626</v>
      </c>
      <c r="L432" s="109" t="s">
        <v>699</v>
      </c>
      <c r="M432" s="166" t="s">
        <v>696</v>
      </c>
      <c r="N432" s="217" t="s">
        <v>2770</v>
      </c>
      <c r="O432" s="218" t="s">
        <v>115</v>
      </c>
      <c r="P432" s="221" t="s">
        <v>2770</v>
      </c>
      <c r="Q432" s="109" t="s">
        <v>115</v>
      </c>
      <c r="R432" s="109" t="s">
        <v>2771</v>
      </c>
      <c r="S432" s="109" t="s">
        <v>1908</v>
      </c>
      <c r="T432" s="109" t="s">
        <v>48</v>
      </c>
      <c r="U432" s="109" t="s">
        <v>699</v>
      </c>
      <c r="V432" s="166" t="s">
        <v>2772</v>
      </c>
      <c r="W432" s="165" t="s">
        <v>112</v>
      </c>
      <c r="X432" s="109" t="s">
        <v>112</v>
      </c>
      <c r="Y432" s="109" t="s">
        <v>48</v>
      </c>
      <c r="Z432" s="109" t="s">
        <v>48</v>
      </c>
      <c r="AA432" s="109" t="s">
        <v>48</v>
      </c>
      <c r="AB432" s="109" t="s">
        <v>48</v>
      </c>
      <c r="AC432" s="109" t="s">
        <v>48</v>
      </c>
      <c r="AD432" s="166" t="s">
        <v>48</v>
      </c>
      <c r="AE432" s="165" t="s">
        <v>48</v>
      </c>
      <c r="AF432" s="109" t="s">
        <v>48</v>
      </c>
      <c r="AG432" s="109" t="s">
        <v>48</v>
      </c>
      <c r="AH432" s="109" t="s">
        <v>48</v>
      </c>
      <c r="AI432" s="109" t="s">
        <v>48</v>
      </c>
      <c r="AJ432" s="109" t="s">
        <v>48</v>
      </c>
      <c r="AK432" s="166" t="s">
        <v>48</v>
      </c>
      <c r="AL432" s="109" t="s">
        <v>112</v>
      </c>
      <c r="AM432" s="109" t="s">
        <v>112</v>
      </c>
      <c r="AN432" s="109" t="s">
        <v>48</v>
      </c>
      <c r="AO432" s="109" t="s">
        <v>48</v>
      </c>
      <c r="AP432" s="109" t="s">
        <v>48</v>
      </c>
      <c r="AQ432" s="109" t="s">
        <v>48</v>
      </c>
      <c r="AR432" s="109" t="s">
        <v>48</v>
      </c>
      <c r="AS432" s="166" t="s">
        <v>48</v>
      </c>
      <c r="AT432" s="165" t="s">
        <v>48</v>
      </c>
      <c r="AU432" s="109" t="s">
        <v>48</v>
      </c>
      <c r="AV432" s="109" t="s">
        <v>48</v>
      </c>
      <c r="AW432" s="109" t="s">
        <v>48</v>
      </c>
      <c r="AX432" s="109" t="s">
        <v>48</v>
      </c>
      <c r="AY432" s="109" t="s">
        <v>48</v>
      </c>
      <c r="AZ432" s="166" t="s">
        <v>48</v>
      </c>
      <c r="BA432" s="162" t="s">
        <v>275</v>
      </c>
      <c r="BB432" s="109" t="s">
        <v>49</v>
      </c>
      <c r="BC432" s="79"/>
    </row>
    <row r="433" spans="1:55" ht="75" hidden="1" customHeight="1">
      <c r="A433" s="109" t="s">
        <v>20</v>
      </c>
      <c r="B433" s="109" t="s">
        <v>20</v>
      </c>
      <c r="C433" s="109" t="s">
        <v>107</v>
      </c>
      <c r="D433" s="109" t="s">
        <v>112</v>
      </c>
      <c r="E433" s="161">
        <v>30000</v>
      </c>
      <c r="F433" s="165" t="s">
        <v>109</v>
      </c>
      <c r="G433" s="109" t="str">
        <f t="shared" si="3"/>
        <v>12.0_M5B_0846.d</v>
      </c>
      <c r="H433" s="109" t="s">
        <v>697</v>
      </c>
      <c r="I433" s="109" t="s">
        <v>1908</v>
      </c>
      <c r="J433" s="109" t="s">
        <v>626</v>
      </c>
      <c r="K433" s="109" t="s">
        <v>626</v>
      </c>
      <c r="L433" s="109" t="s">
        <v>699</v>
      </c>
      <c r="M433" s="166" t="s">
        <v>696</v>
      </c>
      <c r="N433" s="217" t="s">
        <v>2770</v>
      </c>
      <c r="O433" s="218" t="s">
        <v>115</v>
      </c>
      <c r="P433" s="221" t="s">
        <v>2770</v>
      </c>
      <c r="Q433" s="109" t="s">
        <v>115</v>
      </c>
      <c r="R433" s="109" t="s">
        <v>2771</v>
      </c>
      <c r="S433" s="109" t="s">
        <v>1908</v>
      </c>
      <c r="T433" s="109" t="s">
        <v>48</v>
      </c>
      <c r="U433" s="109" t="s">
        <v>699</v>
      </c>
      <c r="V433" s="166" t="s">
        <v>2772</v>
      </c>
      <c r="W433" s="165" t="s">
        <v>112</v>
      </c>
      <c r="X433" s="109" t="s">
        <v>112</v>
      </c>
      <c r="Y433" s="109" t="s">
        <v>48</v>
      </c>
      <c r="Z433" s="109" t="s">
        <v>48</v>
      </c>
      <c r="AA433" s="109" t="s">
        <v>48</v>
      </c>
      <c r="AB433" s="109" t="s">
        <v>48</v>
      </c>
      <c r="AC433" s="109" t="s">
        <v>48</v>
      </c>
      <c r="AD433" s="166" t="s">
        <v>48</v>
      </c>
      <c r="AE433" s="165" t="s">
        <v>48</v>
      </c>
      <c r="AF433" s="109" t="s">
        <v>48</v>
      </c>
      <c r="AG433" s="109" t="s">
        <v>48</v>
      </c>
      <c r="AH433" s="109" t="s">
        <v>48</v>
      </c>
      <c r="AI433" s="109" t="s">
        <v>48</v>
      </c>
      <c r="AJ433" s="109" t="s">
        <v>48</v>
      </c>
      <c r="AK433" s="166" t="s">
        <v>48</v>
      </c>
      <c r="AL433" s="109" t="s">
        <v>112</v>
      </c>
      <c r="AM433" s="109" t="s">
        <v>112</v>
      </c>
      <c r="AN433" s="109" t="s">
        <v>48</v>
      </c>
      <c r="AO433" s="109" t="s">
        <v>48</v>
      </c>
      <c r="AP433" s="109" t="s">
        <v>48</v>
      </c>
      <c r="AQ433" s="109" t="s">
        <v>48</v>
      </c>
      <c r="AR433" s="109" t="s">
        <v>48</v>
      </c>
      <c r="AS433" s="166" t="s">
        <v>48</v>
      </c>
      <c r="AT433" s="165" t="s">
        <v>48</v>
      </c>
      <c r="AU433" s="109" t="s">
        <v>48</v>
      </c>
      <c r="AV433" s="109" t="s">
        <v>48</v>
      </c>
      <c r="AW433" s="109" t="s">
        <v>48</v>
      </c>
      <c r="AX433" s="109" t="s">
        <v>48</v>
      </c>
      <c r="AY433" s="109" t="s">
        <v>48</v>
      </c>
      <c r="AZ433" s="166" t="s">
        <v>48</v>
      </c>
      <c r="BA433" s="162" t="s">
        <v>275</v>
      </c>
      <c r="BB433" s="109" t="s">
        <v>49</v>
      </c>
      <c r="BC433" s="79"/>
    </row>
    <row r="434" spans="1:55" ht="75" hidden="1" customHeight="1">
      <c r="A434" s="109" t="s">
        <v>20</v>
      </c>
      <c r="B434" s="109" t="s">
        <v>20</v>
      </c>
      <c r="C434" s="109" t="s">
        <v>107</v>
      </c>
      <c r="D434" s="109" t="s">
        <v>113</v>
      </c>
      <c r="E434" s="161">
        <v>15000</v>
      </c>
      <c r="F434" s="165" t="s">
        <v>109</v>
      </c>
      <c r="G434" s="109" t="str">
        <f t="shared" si="3"/>
        <v>12.0_M5B_0846.d</v>
      </c>
      <c r="H434" s="109" t="s">
        <v>697</v>
      </c>
      <c r="I434" s="109" t="s">
        <v>1908</v>
      </c>
      <c r="J434" s="109" t="s">
        <v>626</v>
      </c>
      <c r="K434" s="109" t="s">
        <v>626</v>
      </c>
      <c r="L434" s="109" t="s">
        <v>699</v>
      </c>
      <c r="M434" s="166" t="s">
        <v>696</v>
      </c>
      <c r="N434" s="217" t="s">
        <v>2770</v>
      </c>
      <c r="O434" s="218" t="s">
        <v>115</v>
      </c>
      <c r="P434" s="221" t="s">
        <v>2770</v>
      </c>
      <c r="Q434" s="109" t="s">
        <v>115</v>
      </c>
      <c r="R434" s="109" t="s">
        <v>2771</v>
      </c>
      <c r="S434" s="109" t="s">
        <v>1908</v>
      </c>
      <c r="T434" s="109" t="s">
        <v>48</v>
      </c>
      <c r="U434" s="109" t="s">
        <v>699</v>
      </c>
      <c r="V434" s="166" t="s">
        <v>2772</v>
      </c>
      <c r="W434" s="165" t="s">
        <v>113</v>
      </c>
      <c r="X434" s="109" t="s">
        <v>113</v>
      </c>
      <c r="Y434" s="109" t="s">
        <v>48</v>
      </c>
      <c r="Z434" s="109" t="s">
        <v>48</v>
      </c>
      <c r="AA434" s="109" t="s">
        <v>48</v>
      </c>
      <c r="AB434" s="109" t="s">
        <v>48</v>
      </c>
      <c r="AC434" s="109" t="s">
        <v>48</v>
      </c>
      <c r="AD434" s="166" t="s">
        <v>48</v>
      </c>
      <c r="AE434" s="165" t="s">
        <v>48</v>
      </c>
      <c r="AF434" s="109" t="s">
        <v>48</v>
      </c>
      <c r="AG434" s="109" t="s">
        <v>48</v>
      </c>
      <c r="AH434" s="109" t="s">
        <v>48</v>
      </c>
      <c r="AI434" s="109" t="s">
        <v>48</v>
      </c>
      <c r="AJ434" s="109" t="s">
        <v>48</v>
      </c>
      <c r="AK434" s="166" t="s">
        <v>48</v>
      </c>
      <c r="AL434" s="109" t="s">
        <v>113</v>
      </c>
      <c r="AM434" s="109" t="s">
        <v>113</v>
      </c>
      <c r="AN434" s="109" t="s">
        <v>48</v>
      </c>
      <c r="AO434" s="109" t="s">
        <v>48</v>
      </c>
      <c r="AP434" s="109" t="s">
        <v>48</v>
      </c>
      <c r="AQ434" s="109" t="s">
        <v>48</v>
      </c>
      <c r="AR434" s="109" t="s">
        <v>48</v>
      </c>
      <c r="AS434" s="166" t="s">
        <v>48</v>
      </c>
      <c r="AT434" s="165" t="s">
        <v>48</v>
      </c>
      <c r="AU434" s="109" t="s">
        <v>48</v>
      </c>
      <c r="AV434" s="109" t="s">
        <v>48</v>
      </c>
      <c r="AW434" s="109" t="s">
        <v>48</v>
      </c>
      <c r="AX434" s="109" t="s">
        <v>48</v>
      </c>
      <c r="AY434" s="109" t="s">
        <v>48</v>
      </c>
      <c r="AZ434" s="166" t="s">
        <v>48</v>
      </c>
      <c r="BA434" s="162" t="s">
        <v>275</v>
      </c>
      <c r="BB434" s="109" t="s">
        <v>49</v>
      </c>
      <c r="BC434" s="79"/>
    </row>
    <row r="435" spans="1:55" ht="75" hidden="1" customHeight="1">
      <c r="A435" s="109" t="s">
        <v>20</v>
      </c>
      <c r="B435" s="109" t="s">
        <v>20</v>
      </c>
      <c r="C435" s="109" t="s">
        <v>107</v>
      </c>
      <c r="D435" s="109" t="s">
        <v>113</v>
      </c>
      <c r="E435" s="161">
        <v>30000</v>
      </c>
      <c r="F435" s="165" t="s">
        <v>109</v>
      </c>
      <c r="G435" s="109" t="str">
        <f t="shared" si="3"/>
        <v>12.0_M5B_0846.d</v>
      </c>
      <c r="H435" s="109" t="s">
        <v>697</v>
      </c>
      <c r="I435" s="109" t="s">
        <v>1908</v>
      </c>
      <c r="J435" s="109" t="s">
        <v>626</v>
      </c>
      <c r="K435" s="109" t="s">
        <v>626</v>
      </c>
      <c r="L435" s="109" t="s">
        <v>699</v>
      </c>
      <c r="M435" s="166" t="s">
        <v>696</v>
      </c>
      <c r="N435" s="217" t="s">
        <v>2770</v>
      </c>
      <c r="O435" s="218" t="s">
        <v>115</v>
      </c>
      <c r="P435" s="221" t="s">
        <v>2770</v>
      </c>
      <c r="Q435" s="109" t="s">
        <v>115</v>
      </c>
      <c r="R435" s="109" t="s">
        <v>2771</v>
      </c>
      <c r="S435" s="109" t="s">
        <v>1908</v>
      </c>
      <c r="T435" s="109" t="s">
        <v>48</v>
      </c>
      <c r="U435" s="109" t="s">
        <v>699</v>
      </c>
      <c r="V435" s="166" t="s">
        <v>2772</v>
      </c>
      <c r="W435" s="165" t="s">
        <v>113</v>
      </c>
      <c r="X435" s="109" t="s">
        <v>113</v>
      </c>
      <c r="Y435" s="109" t="s">
        <v>48</v>
      </c>
      <c r="Z435" s="109" t="s">
        <v>48</v>
      </c>
      <c r="AA435" s="109" t="s">
        <v>48</v>
      </c>
      <c r="AB435" s="109" t="s">
        <v>48</v>
      </c>
      <c r="AC435" s="109" t="s">
        <v>48</v>
      </c>
      <c r="AD435" s="166" t="s">
        <v>48</v>
      </c>
      <c r="AE435" s="165" t="s">
        <v>48</v>
      </c>
      <c r="AF435" s="109" t="s">
        <v>48</v>
      </c>
      <c r="AG435" s="109" t="s">
        <v>48</v>
      </c>
      <c r="AH435" s="109" t="s">
        <v>48</v>
      </c>
      <c r="AI435" s="109" t="s">
        <v>48</v>
      </c>
      <c r="AJ435" s="109" t="s">
        <v>48</v>
      </c>
      <c r="AK435" s="166" t="s">
        <v>48</v>
      </c>
      <c r="AL435" s="109" t="s">
        <v>113</v>
      </c>
      <c r="AM435" s="109" t="s">
        <v>113</v>
      </c>
      <c r="AN435" s="109" t="s">
        <v>48</v>
      </c>
      <c r="AO435" s="109" t="s">
        <v>48</v>
      </c>
      <c r="AP435" s="109" t="s">
        <v>48</v>
      </c>
      <c r="AQ435" s="109" t="s">
        <v>48</v>
      </c>
      <c r="AR435" s="109" t="s">
        <v>48</v>
      </c>
      <c r="AS435" s="166" t="s">
        <v>48</v>
      </c>
      <c r="AT435" s="165" t="s">
        <v>48</v>
      </c>
      <c r="AU435" s="109" t="s">
        <v>48</v>
      </c>
      <c r="AV435" s="109" t="s">
        <v>48</v>
      </c>
      <c r="AW435" s="109" t="s">
        <v>48</v>
      </c>
      <c r="AX435" s="109" t="s">
        <v>48</v>
      </c>
      <c r="AY435" s="109" t="s">
        <v>48</v>
      </c>
      <c r="AZ435" s="166" t="s">
        <v>48</v>
      </c>
      <c r="BA435" s="162" t="s">
        <v>275</v>
      </c>
      <c r="BB435" s="109" t="s">
        <v>49</v>
      </c>
      <c r="BC435" s="79"/>
    </row>
    <row r="436" spans="1:55" ht="75" hidden="1" customHeight="1">
      <c r="A436" s="109" t="s">
        <v>20</v>
      </c>
      <c r="B436" s="109" t="s">
        <v>20</v>
      </c>
      <c r="C436" s="109" t="s">
        <v>107</v>
      </c>
      <c r="D436" s="109" t="s">
        <v>114</v>
      </c>
      <c r="E436" s="161">
        <v>15000</v>
      </c>
      <c r="F436" s="165" t="s">
        <v>109</v>
      </c>
      <c r="G436" s="109" t="str">
        <f t="shared" si="3"/>
        <v>12.0_M5B_0846.d</v>
      </c>
      <c r="H436" s="109" t="s">
        <v>697</v>
      </c>
      <c r="I436" s="109" t="s">
        <v>1908</v>
      </c>
      <c r="J436" s="109" t="s">
        <v>626</v>
      </c>
      <c r="K436" s="109" t="s">
        <v>626</v>
      </c>
      <c r="L436" s="109" t="s">
        <v>699</v>
      </c>
      <c r="M436" s="166" t="s">
        <v>696</v>
      </c>
      <c r="N436" s="217" t="s">
        <v>2770</v>
      </c>
      <c r="O436" s="218" t="s">
        <v>115</v>
      </c>
      <c r="P436" s="221" t="s">
        <v>2770</v>
      </c>
      <c r="Q436" s="109" t="s">
        <v>115</v>
      </c>
      <c r="R436" s="109" t="s">
        <v>2771</v>
      </c>
      <c r="S436" s="109" t="s">
        <v>1908</v>
      </c>
      <c r="T436" s="109" t="s">
        <v>48</v>
      </c>
      <c r="U436" s="109" t="s">
        <v>699</v>
      </c>
      <c r="V436" s="166" t="s">
        <v>2772</v>
      </c>
      <c r="W436" s="165" t="s">
        <v>114</v>
      </c>
      <c r="X436" s="109" t="s">
        <v>114</v>
      </c>
      <c r="Y436" s="109" t="s">
        <v>48</v>
      </c>
      <c r="Z436" s="109" t="s">
        <v>48</v>
      </c>
      <c r="AA436" s="109" t="s">
        <v>48</v>
      </c>
      <c r="AB436" s="109" t="s">
        <v>48</v>
      </c>
      <c r="AC436" s="109" t="s">
        <v>48</v>
      </c>
      <c r="AD436" s="166" t="s">
        <v>48</v>
      </c>
      <c r="AE436" s="165" t="s">
        <v>48</v>
      </c>
      <c r="AF436" s="109" t="s">
        <v>48</v>
      </c>
      <c r="AG436" s="109" t="s">
        <v>48</v>
      </c>
      <c r="AH436" s="109" t="s">
        <v>48</v>
      </c>
      <c r="AI436" s="109" t="s">
        <v>48</v>
      </c>
      <c r="AJ436" s="109" t="s">
        <v>48</v>
      </c>
      <c r="AK436" s="166" t="s">
        <v>48</v>
      </c>
      <c r="AL436" s="165" t="s">
        <v>114</v>
      </c>
      <c r="AM436" s="109" t="s">
        <v>114</v>
      </c>
      <c r="AN436" s="109" t="s">
        <v>48</v>
      </c>
      <c r="AO436" s="109" t="s">
        <v>48</v>
      </c>
      <c r="AP436" s="109" t="s">
        <v>48</v>
      </c>
      <c r="AQ436" s="109" t="s">
        <v>48</v>
      </c>
      <c r="AR436" s="109" t="s">
        <v>48</v>
      </c>
      <c r="AS436" s="166" t="s">
        <v>48</v>
      </c>
      <c r="AT436" s="165" t="s">
        <v>48</v>
      </c>
      <c r="AU436" s="109" t="s">
        <v>48</v>
      </c>
      <c r="AV436" s="109" t="s">
        <v>48</v>
      </c>
      <c r="AW436" s="109" t="s">
        <v>48</v>
      </c>
      <c r="AX436" s="109" t="s">
        <v>48</v>
      </c>
      <c r="AY436" s="109" t="s">
        <v>48</v>
      </c>
      <c r="AZ436" s="166" t="s">
        <v>48</v>
      </c>
      <c r="BA436" s="162" t="s">
        <v>275</v>
      </c>
      <c r="BB436" s="109" t="s">
        <v>49</v>
      </c>
      <c r="BC436" s="79"/>
    </row>
    <row r="437" spans="1:55" ht="75" hidden="1" customHeight="1">
      <c r="A437" s="109" t="s">
        <v>20</v>
      </c>
      <c r="B437" s="109" t="s">
        <v>20</v>
      </c>
      <c r="C437" s="109" t="s">
        <v>107</v>
      </c>
      <c r="D437" s="109" t="s">
        <v>114</v>
      </c>
      <c r="E437" s="161">
        <v>30000</v>
      </c>
      <c r="F437" s="165" t="s">
        <v>109</v>
      </c>
      <c r="G437" s="109" t="str">
        <f t="shared" si="3"/>
        <v>12.0_M5B_0846.d</v>
      </c>
      <c r="H437" s="109" t="s">
        <v>697</v>
      </c>
      <c r="I437" s="109" t="s">
        <v>1908</v>
      </c>
      <c r="J437" s="109" t="s">
        <v>626</v>
      </c>
      <c r="K437" s="109" t="s">
        <v>626</v>
      </c>
      <c r="L437" s="109" t="s">
        <v>699</v>
      </c>
      <c r="M437" s="166" t="s">
        <v>696</v>
      </c>
      <c r="N437" s="217" t="s">
        <v>2770</v>
      </c>
      <c r="O437" s="218" t="s">
        <v>115</v>
      </c>
      <c r="P437" s="221" t="s">
        <v>2770</v>
      </c>
      <c r="Q437" s="109" t="s">
        <v>115</v>
      </c>
      <c r="R437" s="109" t="s">
        <v>2771</v>
      </c>
      <c r="S437" s="109" t="s">
        <v>1908</v>
      </c>
      <c r="T437" s="109" t="s">
        <v>48</v>
      </c>
      <c r="U437" s="109" t="s">
        <v>699</v>
      </c>
      <c r="V437" s="166" t="s">
        <v>2772</v>
      </c>
      <c r="W437" s="165" t="s">
        <v>114</v>
      </c>
      <c r="X437" s="109" t="s">
        <v>114</v>
      </c>
      <c r="Y437" s="109" t="s">
        <v>48</v>
      </c>
      <c r="Z437" s="109" t="s">
        <v>48</v>
      </c>
      <c r="AA437" s="109" t="s">
        <v>48</v>
      </c>
      <c r="AB437" s="109" t="s">
        <v>48</v>
      </c>
      <c r="AC437" s="109" t="s">
        <v>48</v>
      </c>
      <c r="AD437" s="166" t="s">
        <v>48</v>
      </c>
      <c r="AE437" s="165" t="s">
        <v>48</v>
      </c>
      <c r="AF437" s="109" t="s">
        <v>48</v>
      </c>
      <c r="AG437" s="109" t="s">
        <v>48</v>
      </c>
      <c r="AH437" s="109" t="s">
        <v>48</v>
      </c>
      <c r="AI437" s="109" t="s">
        <v>48</v>
      </c>
      <c r="AJ437" s="109" t="s">
        <v>48</v>
      </c>
      <c r="AK437" s="166" t="s">
        <v>48</v>
      </c>
      <c r="AL437" s="165" t="s">
        <v>114</v>
      </c>
      <c r="AM437" s="109" t="s">
        <v>114</v>
      </c>
      <c r="AN437" s="109" t="s">
        <v>48</v>
      </c>
      <c r="AO437" s="109" t="s">
        <v>48</v>
      </c>
      <c r="AP437" s="109" t="s">
        <v>48</v>
      </c>
      <c r="AQ437" s="109" t="s">
        <v>48</v>
      </c>
      <c r="AR437" s="109" t="s">
        <v>48</v>
      </c>
      <c r="AS437" s="166" t="s">
        <v>48</v>
      </c>
      <c r="AT437" s="165" t="s">
        <v>48</v>
      </c>
      <c r="AU437" s="109" t="s">
        <v>48</v>
      </c>
      <c r="AV437" s="109" t="s">
        <v>48</v>
      </c>
      <c r="AW437" s="109" t="s">
        <v>48</v>
      </c>
      <c r="AX437" s="109" t="s">
        <v>48</v>
      </c>
      <c r="AY437" s="109" t="s">
        <v>48</v>
      </c>
      <c r="AZ437" s="166" t="s">
        <v>48</v>
      </c>
      <c r="BA437" s="162" t="s">
        <v>275</v>
      </c>
      <c r="BB437" s="109" t="s">
        <v>49</v>
      </c>
      <c r="BC437" s="79"/>
    </row>
    <row r="438" spans="1:55" ht="75" hidden="1" customHeight="1">
      <c r="A438" s="109" t="s">
        <v>20</v>
      </c>
      <c r="B438" s="109" t="s">
        <v>20</v>
      </c>
      <c r="C438" s="109" t="s">
        <v>107</v>
      </c>
      <c r="D438" s="109" t="s">
        <v>2706</v>
      </c>
      <c r="E438" s="161">
        <v>15000</v>
      </c>
      <c r="F438" s="109" t="s">
        <v>2706</v>
      </c>
      <c r="G438" s="109" t="str">
        <f t="shared" si="3"/>
        <v>12.0_M5B_0846.d</v>
      </c>
      <c r="H438" s="109" t="s">
        <v>697</v>
      </c>
      <c r="I438" s="109" t="s">
        <v>1908</v>
      </c>
      <c r="J438" s="109" t="s">
        <v>698</v>
      </c>
      <c r="K438" s="109" t="s">
        <v>698</v>
      </c>
      <c r="L438" s="109" t="s">
        <v>699</v>
      </c>
      <c r="M438" s="166" t="s">
        <v>696</v>
      </c>
      <c r="N438" s="217" t="s">
        <v>2770</v>
      </c>
      <c r="O438" s="218" t="s">
        <v>115</v>
      </c>
      <c r="P438" s="221" t="s">
        <v>2770</v>
      </c>
      <c r="Q438" s="109" t="s">
        <v>115</v>
      </c>
      <c r="R438" s="109" t="s">
        <v>2771</v>
      </c>
      <c r="S438" s="109" t="s">
        <v>1908</v>
      </c>
      <c r="T438" s="109" t="s">
        <v>48</v>
      </c>
      <c r="U438" s="109" t="s">
        <v>699</v>
      </c>
      <c r="V438" s="166" t="s">
        <v>2772</v>
      </c>
      <c r="W438" s="109" t="s">
        <v>2706</v>
      </c>
      <c r="X438" s="109" t="str">
        <f>W438</f>
        <v>12.0_M5B_0846.d</v>
      </c>
      <c r="Y438" s="109" t="s">
        <v>48</v>
      </c>
      <c r="Z438" s="109" t="s">
        <v>48</v>
      </c>
      <c r="AA438" s="109" t="s">
        <v>48</v>
      </c>
      <c r="AB438" s="109" t="s">
        <v>48</v>
      </c>
      <c r="AC438" s="109" t="s">
        <v>48</v>
      </c>
      <c r="AD438" s="166" t="s">
        <v>48</v>
      </c>
      <c r="AE438" s="165" t="s">
        <v>48</v>
      </c>
      <c r="AF438" s="109" t="s">
        <v>48</v>
      </c>
      <c r="AG438" s="109" t="s">
        <v>48</v>
      </c>
      <c r="AH438" s="109" t="s">
        <v>48</v>
      </c>
      <c r="AI438" s="109" t="s">
        <v>48</v>
      </c>
      <c r="AJ438" s="109" t="s">
        <v>48</v>
      </c>
      <c r="AK438" s="166" t="s">
        <v>48</v>
      </c>
      <c r="AL438" s="109" t="s">
        <v>2706</v>
      </c>
      <c r="AM438" s="109" t="str">
        <f>AL438</f>
        <v>12.0_M5B_0846.d</v>
      </c>
      <c r="AN438" s="109" t="s">
        <v>48</v>
      </c>
      <c r="AO438" s="109" t="s">
        <v>48</v>
      </c>
      <c r="AP438" s="109" t="s">
        <v>48</v>
      </c>
      <c r="AQ438" s="109" t="s">
        <v>48</v>
      </c>
      <c r="AR438" s="109" t="s">
        <v>48</v>
      </c>
      <c r="AS438" s="166" t="s">
        <v>48</v>
      </c>
      <c r="AT438" s="165" t="s">
        <v>48</v>
      </c>
      <c r="AU438" s="109" t="s">
        <v>48</v>
      </c>
      <c r="AV438" s="109" t="s">
        <v>48</v>
      </c>
      <c r="AW438" s="109" t="s">
        <v>48</v>
      </c>
      <c r="AX438" s="109" t="s">
        <v>48</v>
      </c>
      <c r="AY438" s="109" t="s">
        <v>48</v>
      </c>
      <c r="AZ438" s="166" t="s">
        <v>48</v>
      </c>
      <c r="BA438" s="162" t="s">
        <v>275</v>
      </c>
      <c r="BB438" s="109" t="s">
        <v>49</v>
      </c>
      <c r="BC438" s="79"/>
    </row>
    <row r="439" spans="1:55" ht="75" hidden="1" customHeight="1">
      <c r="A439" s="109" t="s">
        <v>20</v>
      </c>
      <c r="B439" s="109" t="s">
        <v>20</v>
      </c>
      <c r="C439" s="109" t="s">
        <v>107</v>
      </c>
      <c r="D439" s="109" t="s">
        <v>2706</v>
      </c>
      <c r="E439" s="161">
        <v>30000</v>
      </c>
      <c r="F439" s="109" t="s">
        <v>2706</v>
      </c>
      <c r="G439" s="109" t="str">
        <f t="shared" si="3"/>
        <v>12.0_M5B_0846.d</v>
      </c>
      <c r="H439" s="109" t="s">
        <v>697</v>
      </c>
      <c r="I439" s="109" t="s">
        <v>1908</v>
      </c>
      <c r="J439" s="109" t="s">
        <v>698</v>
      </c>
      <c r="K439" s="109" t="s">
        <v>698</v>
      </c>
      <c r="L439" s="109" t="s">
        <v>699</v>
      </c>
      <c r="M439" s="166" t="s">
        <v>696</v>
      </c>
      <c r="N439" s="217" t="s">
        <v>2770</v>
      </c>
      <c r="O439" s="218" t="s">
        <v>115</v>
      </c>
      <c r="P439" s="221" t="s">
        <v>2770</v>
      </c>
      <c r="Q439" s="109" t="s">
        <v>115</v>
      </c>
      <c r="R439" s="109" t="s">
        <v>2771</v>
      </c>
      <c r="S439" s="109" t="s">
        <v>1908</v>
      </c>
      <c r="T439" s="109" t="s">
        <v>48</v>
      </c>
      <c r="U439" s="109" t="s">
        <v>699</v>
      </c>
      <c r="V439" s="166" t="s">
        <v>2772</v>
      </c>
      <c r="W439" s="109" t="s">
        <v>2706</v>
      </c>
      <c r="X439" s="109" t="str">
        <f>W439</f>
        <v>12.0_M5B_0846.d</v>
      </c>
      <c r="Y439" s="109" t="s">
        <v>48</v>
      </c>
      <c r="Z439" s="109" t="s">
        <v>48</v>
      </c>
      <c r="AA439" s="109" t="s">
        <v>48</v>
      </c>
      <c r="AB439" s="109" t="s">
        <v>48</v>
      </c>
      <c r="AC439" s="109" t="s">
        <v>48</v>
      </c>
      <c r="AD439" s="166" t="s">
        <v>48</v>
      </c>
      <c r="AE439" s="165" t="s">
        <v>48</v>
      </c>
      <c r="AF439" s="109" t="s">
        <v>48</v>
      </c>
      <c r="AG439" s="109" t="s">
        <v>48</v>
      </c>
      <c r="AH439" s="109" t="s">
        <v>48</v>
      </c>
      <c r="AI439" s="109" t="s">
        <v>48</v>
      </c>
      <c r="AJ439" s="109" t="s">
        <v>48</v>
      </c>
      <c r="AK439" s="166" t="s">
        <v>48</v>
      </c>
      <c r="AL439" s="109" t="s">
        <v>2706</v>
      </c>
      <c r="AM439" s="109" t="str">
        <f>AL439</f>
        <v>12.0_M5B_0846.d</v>
      </c>
      <c r="AN439" s="109" t="s">
        <v>48</v>
      </c>
      <c r="AO439" s="109" t="s">
        <v>48</v>
      </c>
      <c r="AP439" s="109" t="s">
        <v>48</v>
      </c>
      <c r="AQ439" s="109" t="s">
        <v>48</v>
      </c>
      <c r="AR439" s="109" t="s">
        <v>48</v>
      </c>
      <c r="AS439" s="166" t="s">
        <v>48</v>
      </c>
      <c r="AT439" s="165" t="s">
        <v>48</v>
      </c>
      <c r="AU439" s="109" t="s">
        <v>48</v>
      </c>
      <c r="AV439" s="109" t="s">
        <v>48</v>
      </c>
      <c r="AW439" s="109" t="s">
        <v>48</v>
      </c>
      <c r="AX439" s="109" t="s">
        <v>48</v>
      </c>
      <c r="AY439" s="109" t="s">
        <v>48</v>
      </c>
      <c r="AZ439" s="166" t="s">
        <v>48</v>
      </c>
      <c r="BA439" s="162" t="s">
        <v>275</v>
      </c>
      <c r="BB439" s="109" t="s">
        <v>49</v>
      </c>
      <c r="BC439" s="79"/>
    </row>
    <row r="440" spans="1:55" ht="75" hidden="1" customHeight="1">
      <c r="A440" s="109" t="s">
        <v>38</v>
      </c>
      <c r="B440" s="109" t="s">
        <v>2024</v>
      </c>
      <c r="C440" s="109" t="s">
        <v>164</v>
      </c>
      <c r="D440" s="109" t="s">
        <v>165</v>
      </c>
      <c r="E440" s="161">
        <v>15000</v>
      </c>
      <c r="F440" s="165" t="s">
        <v>165</v>
      </c>
      <c r="G440" s="109" t="s">
        <v>165</v>
      </c>
      <c r="H440" s="109" t="s">
        <v>48</v>
      </c>
      <c r="I440" s="109" t="s">
        <v>48</v>
      </c>
      <c r="J440" s="109" t="s">
        <v>48</v>
      </c>
      <c r="K440" s="109" t="s">
        <v>48</v>
      </c>
      <c r="L440" s="109" t="s">
        <v>48</v>
      </c>
      <c r="M440" s="166" t="s">
        <v>48</v>
      </c>
      <c r="N440" s="165" t="s">
        <v>48</v>
      </c>
      <c r="O440" s="109" t="s">
        <v>48</v>
      </c>
      <c r="P440" s="162" t="s">
        <v>76</v>
      </c>
      <c r="Q440" s="109" t="s">
        <v>166</v>
      </c>
      <c r="R440" s="109" t="s">
        <v>476</v>
      </c>
      <c r="S440" s="109" t="s">
        <v>48</v>
      </c>
      <c r="T440" s="109" t="s">
        <v>580</v>
      </c>
      <c r="U440" s="109" t="s">
        <v>477</v>
      </c>
      <c r="V440" s="166" t="s">
        <v>478</v>
      </c>
      <c r="W440" s="165" t="s">
        <v>1011</v>
      </c>
      <c r="X440" s="109" t="s">
        <v>165</v>
      </c>
      <c r="Y440" s="109" t="s">
        <v>2043</v>
      </c>
      <c r="Z440" s="109" t="s">
        <v>1908</v>
      </c>
      <c r="AA440" s="109" t="s">
        <v>1034</v>
      </c>
      <c r="AB440" s="109" t="s">
        <v>1034</v>
      </c>
      <c r="AC440" s="109" t="s">
        <v>2044</v>
      </c>
      <c r="AD440" s="166" t="s">
        <v>1038</v>
      </c>
      <c r="AE440" s="165" t="s">
        <v>48</v>
      </c>
      <c r="AF440" s="109" t="s">
        <v>48</v>
      </c>
      <c r="AG440" s="109" t="s">
        <v>48</v>
      </c>
      <c r="AH440" s="109" t="s">
        <v>48</v>
      </c>
      <c r="AI440" s="109" t="s">
        <v>48</v>
      </c>
      <c r="AJ440" s="109" t="s">
        <v>48</v>
      </c>
      <c r="AK440" s="166" t="s">
        <v>48</v>
      </c>
      <c r="AL440" s="165" t="s">
        <v>165</v>
      </c>
      <c r="AM440" s="109" t="s">
        <v>165</v>
      </c>
      <c r="AN440" s="109" t="s">
        <v>48</v>
      </c>
      <c r="AO440" s="109" t="s">
        <v>48</v>
      </c>
      <c r="AP440" s="109" t="s">
        <v>48</v>
      </c>
      <c r="AQ440" s="109" t="s">
        <v>48</v>
      </c>
      <c r="AR440" s="109" t="s">
        <v>48</v>
      </c>
      <c r="AS440" s="166" t="s">
        <v>48</v>
      </c>
      <c r="AT440" s="165" t="s">
        <v>48</v>
      </c>
      <c r="AU440" s="109" t="s">
        <v>48</v>
      </c>
      <c r="AV440" s="109" t="s">
        <v>48</v>
      </c>
      <c r="AW440" s="109" t="s">
        <v>48</v>
      </c>
      <c r="AX440" s="109" t="s">
        <v>48</v>
      </c>
      <c r="AY440" s="109" t="s">
        <v>48</v>
      </c>
      <c r="AZ440" s="166" t="s">
        <v>48</v>
      </c>
      <c r="BA440" s="162" t="s">
        <v>1043</v>
      </c>
      <c r="BB440" s="109" t="s">
        <v>49</v>
      </c>
      <c r="BC440" s="79"/>
    </row>
    <row r="441" spans="1:55" ht="75" hidden="1" customHeight="1">
      <c r="A441" s="109" t="s">
        <v>2344</v>
      </c>
      <c r="B441" s="117" t="s">
        <v>2021</v>
      </c>
      <c r="C441" s="109" t="s">
        <v>1796</v>
      </c>
      <c r="D441" s="109" t="s">
        <v>1777</v>
      </c>
      <c r="E441" s="161">
        <v>30000</v>
      </c>
      <c r="F441" s="165" t="s">
        <v>1777</v>
      </c>
      <c r="G441" s="109" t="s">
        <v>1777</v>
      </c>
      <c r="H441" s="109" t="s">
        <v>48</v>
      </c>
      <c r="I441" s="109" t="s">
        <v>48</v>
      </c>
      <c r="J441" s="109" t="s">
        <v>48</v>
      </c>
      <c r="K441" s="109" t="s">
        <v>48</v>
      </c>
      <c r="L441" s="109" t="s">
        <v>48</v>
      </c>
      <c r="M441" s="166" t="s">
        <v>1687</v>
      </c>
      <c r="N441" s="165" t="s">
        <v>48</v>
      </c>
      <c r="O441" s="109" t="s">
        <v>48</v>
      </c>
      <c r="P441" s="162" t="s">
        <v>48</v>
      </c>
      <c r="Q441" s="109" t="s">
        <v>48</v>
      </c>
      <c r="R441" s="109" t="s">
        <v>48</v>
      </c>
      <c r="S441" s="109" t="s">
        <v>48</v>
      </c>
      <c r="T441" s="109" t="s">
        <v>48</v>
      </c>
      <c r="U441" s="109" t="s">
        <v>48</v>
      </c>
      <c r="V441" s="166" t="s">
        <v>48</v>
      </c>
      <c r="W441" s="165" t="s">
        <v>1777</v>
      </c>
      <c r="X441" s="109" t="s">
        <v>1777</v>
      </c>
      <c r="Y441" s="109" t="s">
        <v>48</v>
      </c>
      <c r="Z441" s="109" t="s">
        <v>48</v>
      </c>
      <c r="AA441" s="109" t="s">
        <v>48</v>
      </c>
      <c r="AB441" s="109" t="s">
        <v>48</v>
      </c>
      <c r="AC441" s="109" t="s">
        <v>48</v>
      </c>
      <c r="AD441" s="166" t="s">
        <v>48</v>
      </c>
      <c r="AE441" s="165" t="s">
        <v>48</v>
      </c>
      <c r="AF441" s="109" t="s">
        <v>48</v>
      </c>
      <c r="AG441" s="109" t="s">
        <v>48</v>
      </c>
      <c r="AH441" s="109" t="s">
        <v>48</v>
      </c>
      <c r="AI441" s="109" t="s">
        <v>48</v>
      </c>
      <c r="AJ441" s="109" t="s">
        <v>48</v>
      </c>
      <c r="AK441" s="166" t="s">
        <v>48</v>
      </c>
      <c r="AL441" s="165" t="s">
        <v>1777</v>
      </c>
      <c r="AM441" s="109" t="s">
        <v>1777</v>
      </c>
      <c r="AN441" s="109" t="s">
        <v>48</v>
      </c>
      <c r="AO441" s="109" t="s">
        <v>48</v>
      </c>
      <c r="AP441" s="109" t="s">
        <v>48</v>
      </c>
      <c r="AQ441" s="109" t="s">
        <v>48</v>
      </c>
      <c r="AR441" s="109" t="s">
        <v>48</v>
      </c>
      <c r="AS441" s="166" t="s">
        <v>1687</v>
      </c>
      <c r="AT441" s="165" t="s">
        <v>48</v>
      </c>
      <c r="AU441" s="109" t="s">
        <v>48</v>
      </c>
      <c r="AV441" s="109" t="s">
        <v>48</v>
      </c>
      <c r="AW441" s="109" t="s">
        <v>48</v>
      </c>
      <c r="AX441" s="109" t="s">
        <v>48</v>
      </c>
      <c r="AY441" s="109" t="s">
        <v>48</v>
      </c>
      <c r="AZ441" s="166" t="s">
        <v>48</v>
      </c>
      <c r="BA441" s="162" t="s">
        <v>48</v>
      </c>
      <c r="BB441" s="109" t="s">
        <v>49</v>
      </c>
      <c r="BC441" s="183" t="s">
        <v>1689</v>
      </c>
    </row>
    <row r="442" spans="1:55" ht="75" customHeight="1">
      <c r="A442" s="109" t="s">
        <v>34</v>
      </c>
      <c r="B442" s="109" t="s">
        <v>2025</v>
      </c>
      <c r="C442" s="109" t="s">
        <v>1320</v>
      </c>
      <c r="D442" s="109" t="s">
        <v>907</v>
      </c>
      <c r="E442" s="161">
        <v>15000</v>
      </c>
      <c r="F442" s="165" t="s">
        <v>907</v>
      </c>
      <c r="G442" s="109" t="s">
        <v>907</v>
      </c>
      <c r="H442" s="109" t="s">
        <v>48</v>
      </c>
      <c r="I442" s="109" t="s">
        <v>48</v>
      </c>
      <c r="J442" s="109" t="s">
        <v>48</v>
      </c>
      <c r="K442" s="109" t="s">
        <v>48</v>
      </c>
      <c r="L442" s="109" t="s">
        <v>48</v>
      </c>
      <c r="M442" s="166" t="s">
        <v>1119</v>
      </c>
      <c r="N442" s="165" t="s">
        <v>48</v>
      </c>
      <c r="O442" s="109" t="s">
        <v>48</v>
      </c>
      <c r="P442" s="162" t="s">
        <v>48</v>
      </c>
      <c r="Q442" s="109" t="s">
        <v>48</v>
      </c>
      <c r="R442" s="109" t="s">
        <v>48</v>
      </c>
      <c r="S442" s="109" t="s">
        <v>48</v>
      </c>
      <c r="T442" s="109" t="s">
        <v>48</v>
      </c>
      <c r="U442" s="109" t="s">
        <v>48</v>
      </c>
      <c r="V442" s="166" t="s">
        <v>48</v>
      </c>
      <c r="W442" s="165" t="s">
        <v>907</v>
      </c>
      <c r="X442" s="109" t="s">
        <v>907</v>
      </c>
      <c r="Y442" s="109" t="s">
        <v>48</v>
      </c>
      <c r="Z442" s="109" t="s">
        <v>48</v>
      </c>
      <c r="AA442" s="109" t="s">
        <v>48</v>
      </c>
      <c r="AB442" s="109" t="s">
        <v>48</v>
      </c>
      <c r="AC442" s="109" t="s">
        <v>48</v>
      </c>
      <c r="AD442" s="166" t="s">
        <v>48</v>
      </c>
      <c r="AE442" s="174" t="s">
        <v>48</v>
      </c>
      <c r="AF442" s="117" t="s">
        <v>48</v>
      </c>
      <c r="AG442" s="117" t="s">
        <v>48</v>
      </c>
      <c r="AH442" s="109" t="s">
        <v>48</v>
      </c>
      <c r="AI442" s="117" t="s">
        <v>48</v>
      </c>
      <c r="AJ442" s="117" t="s">
        <v>48</v>
      </c>
      <c r="AK442" s="182" t="s">
        <v>48</v>
      </c>
      <c r="AL442" s="165" t="s">
        <v>907</v>
      </c>
      <c r="AM442" s="109" t="s">
        <v>907</v>
      </c>
      <c r="AN442" s="109" t="s">
        <v>48</v>
      </c>
      <c r="AO442" s="109" t="s">
        <v>48</v>
      </c>
      <c r="AP442" s="109" t="s">
        <v>48</v>
      </c>
      <c r="AQ442" s="109" t="s">
        <v>48</v>
      </c>
      <c r="AR442" s="109" t="s">
        <v>48</v>
      </c>
      <c r="AS442" s="166" t="s">
        <v>1119</v>
      </c>
      <c r="AT442" s="165" t="s">
        <v>48</v>
      </c>
      <c r="AU442" s="109" t="s">
        <v>48</v>
      </c>
      <c r="AV442" s="109" t="s">
        <v>48</v>
      </c>
      <c r="AW442" s="109" t="s">
        <v>48</v>
      </c>
      <c r="AX442" s="109" t="s">
        <v>48</v>
      </c>
      <c r="AY442" s="109" t="s">
        <v>48</v>
      </c>
      <c r="AZ442" s="166" t="s">
        <v>48</v>
      </c>
      <c r="BA442" s="162" t="s">
        <v>48</v>
      </c>
      <c r="BB442" s="109" t="s">
        <v>82</v>
      </c>
      <c r="BC442" s="109"/>
    </row>
    <row r="443" spans="1:55" ht="75" hidden="1" customHeight="1">
      <c r="A443" s="109" t="s">
        <v>1115</v>
      </c>
      <c r="B443" s="109" t="s">
        <v>2478</v>
      </c>
      <c r="C443" s="109" t="s">
        <v>946</v>
      </c>
      <c r="D443" s="109" t="s">
        <v>945</v>
      </c>
      <c r="E443" s="161">
        <v>15000</v>
      </c>
      <c r="F443" s="165" t="s">
        <v>945</v>
      </c>
      <c r="G443" s="109" t="s">
        <v>945</v>
      </c>
      <c r="H443" s="109" t="s">
        <v>48</v>
      </c>
      <c r="I443" s="109" t="s">
        <v>48</v>
      </c>
      <c r="J443" s="109" t="s">
        <v>48</v>
      </c>
      <c r="K443" s="109" t="s">
        <v>48</v>
      </c>
      <c r="L443" s="109" t="s">
        <v>48</v>
      </c>
      <c r="M443" s="166" t="s">
        <v>48</v>
      </c>
      <c r="N443" s="165" t="s">
        <v>48</v>
      </c>
      <c r="O443" s="109" t="s">
        <v>48</v>
      </c>
      <c r="P443" s="162" t="s">
        <v>48</v>
      </c>
      <c r="Q443" s="109" t="s">
        <v>48</v>
      </c>
      <c r="R443" s="109" t="s">
        <v>48</v>
      </c>
      <c r="S443" s="109" t="s">
        <v>48</v>
      </c>
      <c r="T443" s="109" t="s">
        <v>48</v>
      </c>
      <c r="U443" s="109" t="s">
        <v>48</v>
      </c>
      <c r="V443" s="166" t="s">
        <v>48</v>
      </c>
      <c r="W443" s="165" t="s">
        <v>945</v>
      </c>
      <c r="X443" s="109" t="s">
        <v>945</v>
      </c>
      <c r="Y443" s="109" t="s">
        <v>48</v>
      </c>
      <c r="Z443" s="109" t="s">
        <v>48</v>
      </c>
      <c r="AA443" s="184" t="s">
        <v>48</v>
      </c>
      <c r="AB443" s="184" t="s">
        <v>48</v>
      </c>
      <c r="AC443" s="109" t="s">
        <v>48</v>
      </c>
      <c r="AD443" s="166" t="s">
        <v>48</v>
      </c>
      <c r="AE443" s="174" t="s">
        <v>48</v>
      </c>
      <c r="AF443" s="117" t="s">
        <v>48</v>
      </c>
      <c r="AG443" s="117" t="s">
        <v>48</v>
      </c>
      <c r="AH443" s="109" t="s">
        <v>48</v>
      </c>
      <c r="AI443" s="117" t="s">
        <v>48</v>
      </c>
      <c r="AJ443" s="117" t="s">
        <v>48</v>
      </c>
      <c r="AK443" s="182" t="s">
        <v>48</v>
      </c>
      <c r="AL443" s="165" t="s">
        <v>1117</v>
      </c>
      <c r="AM443" s="109" t="s">
        <v>945</v>
      </c>
      <c r="AN443" s="109" t="s">
        <v>1135</v>
      </c>
      <c r="AO443" s="109" t="s">
        <v>1908</v>
      </c>
      <c r="AP443" s="109" t="s">
        <v>48</v>
      </c>
      <c r="AQ443" s="109" t="s">
        <v>48</v>
      </c>
      <c r="AR443" s="109">
        <v>5836176</v>
      </c>
      <c r="AS443" s="166" t="s">
        <v>1119</v>
      </c>
      <c r="AT443" s="165" t="s">
        <v>48</v>
      </c>
      <c r="AU443" s="109" t="s">
        <v>48</v>
      </c>
      <c r="AV443" s="109" t="s">
        <v>48</v>
      </c>
      <c r="AW443" s="109" t="s">
        <v>48</v>
      </c>
      <c r="AX443" s="109" t="s">
        <v>48</v>
      </c>
      <c r="AY443" s="109" t="s">
        <v>48</v>
      </c>
      <c r="AZ443" s="166" t="s">
        <v>48</v>
      </c>
      <c r="BA443" s="162" t="s">
        <v>1242</v>
      </c>
      <c r="BB443" s="109" t="s">
        <v>82</v>
      </c>
      <c r="BC443" s="109" t="s">
        <v>2494</v>
      </c>
    </row>
    <row r="444" spans="1:55" ht="75" customHeight="1">
      <c r="A444" s="109" t="s">
        <v>35</v>
      </c>
      <c r="B444" s="109" t="s">
        <v>2017</v>
      </c>
      <c r="C444" s="109" t="s">
        <v>946</v>
      </c>
      <c r="D444" s="109" t="s">
        <v>907</v>
      </c>
      <c r="E444" s="161">
        <v>15000</v>
      </c>
      <c r="F444" s="165" t="s">
        <v>907</v>
      </c>
      <c r="G444" s="109" t="s">
        <v>907</v>
      </c>
      <c r="H444" s="109" t="s">
        <v>48</v>
      </c>
      <c r="I444" s="109" t="s">
        <v>48</v>
      </c>
      <c r="J444" s="109" t="s">
        <v>48</v>
      </c>
      <c r="K444" s="109" t="s">
        <v>48</v>
      </c>
      <c r="L444" s="109" t="s">
        <v>48</v>
      </c>
      <c r="M444" s="166" t="s">
        <v>48</v>
      </c>
      <c r="N444" s="165" t="s">
        <v>48</v>
      </c>
      <c r="O444" s="109" t="s">
        <v>48</v>
      </c>
      <c r="P444" s="162" t="s">
        <v>48</v>
      </c>
      <c r="Q444" s="109" t="s">
        <v>48</v>
      </c>
      <c r="R444" s="109" t="s">
        <v>48</v>
      </c>
      <c r="S444" s="109" t="s">
        <v>48</v>
      </c>
      <c r="T444" s="109" t="s">
        <v>48</v>
      </c>
      <c r="U444" s="109" t="s">
        <v>48</v>
      </c>
      <c r="V444" s="166" t="s">
        <v>48</v>
      </c>
      <c r="W444" s="165" t="s">
        <v>907</v>
      </c>
      <c r="X444" s="109" t="s">
        <v>907</v>
      </c>
      <c r="Y444" s="109" t="s">
        <v>48</v>
      </c>
      <c r="Z444" s="109" t="s">
        <v>48</v>
      </c>
      <c r="AA444" s="109" t="s">
        <v>48</v>
      </c>
      <c r="AB444" s="109" t="s">
        <v>48</v>
      </c>
      <c r="AC444" s="109" t="s">
        <v>48</v>
      </c>
      <c r="AD444" s="166" t="s">
        <v>48</v>
      </c>
      <c r="AE444" s="174" t="s">
        <v>48</v>
      </c>
      <c r="AF444" s="117" t="s">
        <v>48</v>
      </c>
      <c r="AG444" s="117" t="s">
        <v>48</v>
      </c>
      <c r="AH444" s="109" t="s">
        <v>48</v>
      </c>
      <c r="AI444" s="117" t="s">
        <v>48</v>
      </c>
      <c r="AJ444" s="117" t="s">
        <v>48</v>
      </c>
      <c r="AK444" s="182" t="s">
        <v>48</v>
      </c>
      <c r="AL444" s="165" t="s">
        <v>907</v>
      </c>
      <c r="AM444" s="109" t="s">
        <v>907</v>
      </c>
      <c r="AN444" s="109" t="s">
        <v>48</v>
      </c>
      <c r="AO444" s="109" t="s">
        <v>48</v>
      </c>
      <c r="AP444" s="109" t="s">
        <v>48</v>
      </c>
      <c r="AQ444" s="109" t="s">
        <v>48</v>
      </c>
      <c r="AR444" s="109" t="s">
        <v>48</v>
      </c>
      <c r="AS444" s="166" t="s">
        <v>48</v>
      </c>
      <c r="AT444" s="165" t="s">
        <v>48</v>
      </c>
      <c r="AU444" s="109" t="s">
        <v>48</v>
      </c>
      <c r="AV444" s="109" t="s">
        <v>48</v>
      </c>
      <c r="AW444" s="109" t="s">
        <v>48</v>
      </c>
      <c r="AX444" s="109" t="s">
        <v>48</v>
      </c>
      <c r="AY444" s="109" t="s">
        <v>48</v>
      </c>
      <c r="AZ444" s="166" t="s">
        <v>48</v>
      </c>
      <c r="BA444" s="162" t="s">
        <v>48</v>
      </c>
      <c r="BB444" s="109" t="s">
        <v>82</v>
      </c>
      <c r="BC444" s="109"/>
    </row>
    <row r="445" spans="1:55" ht="75" customHeight="1">
      <c r="A445" s="109" t="s">
        <v>34</v>
      </c>
      <c r="B445" s="109" t="s">
        <v>2025</v>
      </c>
      <c r="C445" s="117" t="s">
        <v>946</v>
      </c>
      <c r="D445" s="109" t="s">
        <v>1318</v>
      </c>
      <c r="E445" s="161">
        <v>15000</v>
      </c>
      <c r="F445" s="165" t="s">
        <v>1318</v>
      </c>
      <c r="G445" s="109" t="s">
        <v>1318</v>
      </c>
      <c r="H445" s="109" t="s">
        <v>48</v>
      </c>
      <c r="I445" s="109" t="s">
        <v>48</v>
      </c>
      <c r="J445" s="109" t="s">
        <v>48</v>
      </c>
      <c r="K445" s="109" t="s">
        <v>48</v>
      </c>
      <c r="L445" s="109" t="s">
        <v>48</v>
      </c>
      <c r="M445" s="166" t="s">
        <v>1119</v>
      </c>
      <c r="N445" s="165" t="s">
        <v>48</v>
      </c>
      <c r="O445" s="109" t="s">
        <v>48</v>
      </c>
      <c r="P445" s="162" t="s">
        <v>48</v>
      </c>
      <c r="Q445" s="109" t="s">
        <v>48</v>
      </c>
      <c r="R445" s="109" t="s">
        <v>48</v>
      </c>
      <c r="S445" s="109" t="s">
        <v>48</v>
      </c>
      <c r="T445" s="109" t="s">
        <v>48</v>
      </c>
      <c r="U445" s="109" t="s">
        <v>48</v>
      </c>
      <c r="V445" s="166" t="s">
        <v>48</v>
      </c>
      <c r="W445" s="165" t="s">
        <v>1318</v>
      </c>
      <c r="X445" s="109" t="s">
        <v>1318</v>
      </c>
      <c r="Y445" s="109" t="s">
        <v>48</v>
      </c>
      <c r="Z445" s="109" t="s">
        <v>48</v>
      </c>
      <c r="AA445" s="109" t="s">
        <v>48</v>
      </c>
      <c r="AB445" s="109" t="s">
        <v>48</v>
      </c>
      <c r="AC445" s="109" t="s">
        <v>48</v>
      </c>
      <c r="AD445" s="166" t="s">
        <v>48</v>
      </c>
      <c r="AE445" s="174" t="s">
        <v>48</v>
      </c>
      <c r="AF445" s="117" t="s">
        <v>48</v>
      </c>
      <c r="AG445" s="117" t="s">
        <v>48</v>
      </c>
      <c r="AH445" s="109" t="s">
        <v>48</v>
      </c>
      <c r="AI445" s="117" t="s">
        <v>48</v>
      </c>
      <c r="AJ445" s="117" t="s">
        <v>48</v>
      </c>
      <c r="AK445" s="182" t="s">
        <v>48</v>
      </c>
      <c r="AL445" s="165" t="s">
        <v>1318</v>
      </c>
      <c r="AM445" s="109" t="s">
        <v>1318</v>
      </c>
      <c r="AN445" s="109" t="s">
        <v>48</v>
      </c>
      <c r="AO445" s="109" t="s">
        <v>48</v>
      </c>
      <c r="AP445" s="109" t="s">
        <v>48</v>
      </c>
      <c r="AQ445" s="109" t="s">
        <v>48</v>
      </c>
      <c r="AR445" s="109" t="s">
        <v>48</v>
      </c>
      <c r="AS445" s="166" t="s">
        <v>1119</v>
      </c>
      <c r="AT445" s="165" t="s">
        <v>48</v>
      </c>
      <c r="AU445" s="109" t="s">
        <v>48</v>
      </c>
      <c r="AV445" s="109" t="s">
        <v>48</v>
      </c>
      <c r="AW445" s="109" t="s">
        <v>48</v>
      </c>
      <c r="AX445" s="109" t="s">
        <v>48</v>
      </c>
      <c r="AY445" s="109" t="s">
        <v>48</v>
      </c>
      <c r="AZ445" s="166" t="s">
        <v>48</v>
      </c>
      <c r="BA445" s="162" t="s">
        <v>48</v>
      </c>
      <c r="BB445" s="109" t="s">
        <v>82</v>
      </c>
      <c r="BC445" s="109"/>
    </row>
    <row r="446" spans="1:55" ht="75" customHeight="1">
      <c r="A446" s="109" t="s">
        <v>34</v>
      </c>
      <c r="B446" s="109" t="s">
        <v>2025</v>
      </c>
      <c r="C446" s="117" t="s">
        <v>946</v>
      </c>
      <c r="D446" s="109" t="s">
        <v>1319</v>
      </c>
      <c r="E446" s="161">
        <v>15000</v>
      </c>
      <c r="F446" s="165" t="s">
        <v>1319</v>
      </c>
      <c r="G446" s="109" t="s">
        <v>1319</v>
      </c>
      <c r="H446" s="109" t="s">
        <v>48</v>
      </c>
      <c r="I446" s="109" t="s">
        <v>48</v>
      </c>
      <c r="J446" s="109" t="s">
        <v>48</v>
      </c>
      <c r="K446" s="109" t="s">
        <v>48</v>
      </c>
      <c r="L446" s="109" t="s">
        <v>48</v>
      </c>
      <c r="M446" s="166" t="s">
        <v>1119</v>
      </c>
      <c r="N446" s="165" t="s">
        <v>48</v>
      </c>
      <c r="O446" s="109" t="s">
        <v>48</v>
      </c>
      <c r="P446" s="162" t="s">
        <v>48</v>
      </c>
      <c r="Q446" s="109" t="s">
        <v>48</v>
      </c>
      <c r="R446" s="109" t="s">
        <v>48</v>
      </c>
      <c r="S446" s="109" t="s">
        <v>48</v>
      </c>
      <c r="T446" s="109" t="s">
        <v>48</v>
      </c>
      <c r="U446" s="109" t="s">
        <v>48</v>
      </c>
      <c r="V446" s="166" t="s">
        <v>48</v>
      </c>
      <c r="W446" s="165" t="s">
        <v>1319</v>
      </c>
      <c r="X446" s="109" t="s">
        <v>1319</v>
      </c>
      <c r="Y446" s="109" t="s">
        <v>48</v>
      </c>
      <c r="Z446" s="109" t="s">
        <v>48</v>
      </c>
      <c r="AA446" s="109" t="s">
        <v>48</v>
      </c>
      <c r="AB446" s="109" t="s">
        <v>48</v>
      </c>
      <c r="AC446" s="109" t="s">
        <v>48</v>
      </c>
      <c r="AD446" s="166" t="s">
        <v>48</v>
      </c>
      <c r="AE446" s="174" t="s">
        <v>48</v>
      </c>
      <c r="AF446" s="117" t="s">
        <v>48</v>
      </c>
      <c r="AG446" s="117" t="s">
        <v>48</v>
      </c>
      <c r="AH446" s="109" t="s">
        <v>48</v>
      </c>
      <c r="AI446" s="117" t="s">
        <v>48</v>
      </c>
      <c r="AJ446" s="117" t="s">
        <v>48</v>
      </c>
      <c r="AK446" s="182" t="s">
        <v>48</v>
      </c>
      <c r="AL446" s="165" t="s">
        <v>1319</v>
      </c>
      <c r="AM446" s="109" t="s">
        <v>1319</v>
      </c>
      <c r="AN446" s="109" t="s">
        <v>48</v>
      </c>
      <c r="AO446" s="109" t="s">
        <v>48</v>
      </c>
      <c r="AP446" s="109" t="s">
        <v>48</v>
      </c>
      <c r="AQ446" s="109" t="s">
        <v>48</v>
      </c>
      <c r="AR446" s="109" t="s">
        <v>48</v>
      </c>
      <c r="AS446" s="166" t="s">
        <v>1119</v>
      </c>
      <c r="AT446" s="165" t="s">
        <v>48</v>
      </c>
      <c r="AU446" s="109" t="s">
        <v>48</v>
      </c>
      <c r="AV446" s="109" t="s">
        <v>48</v>
      </c>
      <c r="AW446" s="109" t="s">
        <v>48</v>
      </c>
      <c r="AX446" s="109" t="s">
        <v>48</v>
      </c>
      <c r="AY446" s="109" t="s">
        <v>48</v>
      </c>
      <c r="AZ446" s="166" t="s">
        <v>48</v>
      </c>
      <c r="BA446" s="162" t="s">
        <v>48</v>
      </c>
      <c r="BB446" s="109" t="s">
        <v>82</v>
      </c>
      <c r="BC446" s="109"/>
    </row>
    <row r="447" spans="1:55" ht="75" hidden="1" customHeight="1">
      <c r="A447" s="109" t="s">
        <v>1115</v>
      </c>
      <c r="B447" s="109" t="s">
        <v>2478</v>
      </c>
      <c r="C447" s="109" t="s">
        <v>946</v>
      </c>
      <c r="D447" s="109" t="s">
        <v>904</v>
      </c>
      <c r="E447" s="161">
        <v>15000</v>
      </c>
      <c r="F447" s="165" t="s">
        <v>1819</v>
      </c>
      <c r="G447" s="109" t="s">
        <v>1819</v>
      </c>
      <c r="H447" s="109" t="s">
        <v>1952</v>
      </c>
      <c r="I447" s="109" t="s">
        <v>1908</v>
      </c>
      <c r="J447" s="109" t="s">
        <v>1708</v>
      </c>
      <c r="K447" s="109" t="s">
        <v>1708</v>
      </c>
      <c r="L447" s="109" t="s">
        <v>1995</v>
      </c>
      <c r="M447" s="166" t="s">
        <v>1687</v>
      </c>
      <c r="N447" s="165" t="s">
        <v>48</v>
      </c>
      <c r="O447" s="109" t="s">
        <v>48</v>
      </c>
      <c r="P447" s="162" t="s">
        <v>48</v>
      </c>
      <c r="Q447" s="109" t="s">
        <v>48</v>
      </c>
      <c r="R447" s="109" t="s">
        <v>48</v>
      </c>
      <c r="S447" s="109" t="s">
        <v>48</v>
      </c>
      <c r="T447" s="109" t="s">
        <v>48</v>
      </c>
      <c r="U447" s="109" t="s">
        <v>48</v>
      </c>
      <c r="V447" s="166" t="s">
        <v>48</v>
      </c>
      <c r="W447" s="165" t="s">
        <v>904</v>
      </c>
      <c r="X447" s="109" t="s">
        <v>904</v>
      </c>
      <c r="Y447" s="109" t="s">
        <v>48</v>
      </c>
      <c r="Z447" s="109" t="s">
        <v>48</v>
      </c>
      <c r="AA447" s="109" t="s">
        <v>48</v>
      </c>
      <c r="AB447" s="109" t="s">
        <v>48</v>
      </c>
      <c r="AC447" s="109" t="s">
        <v>48</v>
      </c>
      <c r="AD447" s="166" t="s">
        <v>48</v>
      </c>
      <c r="AE447" s="174" t="s">
        <v>48</v>
      </c>
      <c r="AF447" s="117" t="s">
        <v>48</v>
      </c>
      <c r="AG447" s="117" t="s">
        <v>48</v>
      </c>
      <c r="AH447" s="109" t="s">
        <v>48</v>
      </c>
      <c r="AI447" s="117" t="s">
        <v>48</v>
      </c>
      <c r="AJ447" s="117" t="s">
        <v>48</v>
      </c>
      <c r="AK447" s="182" t="s">
        <v>48</v>
      </c>
      <c r="AL447" s="165" t="s">
        <v>904</v>
      </c>
      <c r="AM447" s="109" t="s">
        <v>904</v>
      </c>
      <c r="AN447" s="109" t="s">
        <v>48</v>
      </c>
      <c r="AO447" s="109" t="s">
        <v>48</v>
      </c>
      <c r="AP447" s="109" t="s">
        <v>48</v>
      </c>
      <c r="AQ447" s="109" t="s">
        <v>48</v>
      </c>
      <c r="AR447" s="109" t="s">
        <v>48</v>
      </c>
      <c r="AS447" s="166" t="s">
        <v>48</v>
      </c>
      <c r="AT447" s="165" t="s">
        <v>48</v>
      </c>
      <c r="AU447" s="109" t="s">
        <v>48</v>
      </c>
      <c r="AV447" s="109" t="s">
        <v>48</v>
      </c>
      <c r="AW447" s="109" t="s">
        <v>48</v>
      </c>
      <c r="AX447" s="109" t="s">
        <v>48</v>
      </c>
      <c r="AY447" s="109" t="s">
        <v>48</v>
      </c>
      <c r="AZ447" s="166" t="s">
        <v>48</v>
      </c>
      <c r="BA447" s="162" t="s">
        <v>1816</v>
      </c>
      <c r="BB447" s="109" t="s">
        <v>82</v>
      </c>
      <c r="BC447" s="109" t="s">
        <v>876</v>
      </c>
    </row>
    <row r="448" spans="1:55" ht="75" customHeight="1">
      <c r="A448" s="109" t="s">
        <v>1118</v>
      </c>
      <c r="B448" s="109" t="s">
        <v>2476</v>
      </c>
      <c r="C448" s="109" t="s">
        <v>946</v>
      </c>
      <c r="D448" s="109" t="s">
        <v>904</v>
      </c>
      <c r="E448" s="161">
        <v>15000</v>
      </c>
      <c r="F448" s="165" t="s">
        <v>1819</v>
      </c>
      <c r="G448" s="109" t="s">
        <v>1819</v>
      </c>
      <c r="H448" s="109" t="s">
        <v>1952</v>
      </c>
      <c r="I448" s="109" t="s">
        <v>1908</v>
      </c>
      <c r="J448" s="109" t="s">
        <v>1708</v>
      </c>
      <c r="K448" s="109" t="s">
        <v>1708</v>
      </c>
      <c r="L448" s="109" t="s">
        <v>1995</v>
      </c>
      <c r="M448" s="166" t="s">
        <v>1687</v>
      </c>
      <c r="N448" s="165" t="s">
        <v>48</v>
      </c>
      <c r="O448" s="109" t="s">
        <v>48</v>
      </c>
      <c r="P448" s="162" t="s">
        <v>48</v>
      </c>
      <c r="Q448" s="109" t="s">
        <v>48</v>
      </c>
      <c r="R448" s="109" t="s">
        <v>48</v>
      </c>
      <c r="S448" s="109" t="s">
        <v>48</v>
      </c>
      <c r="T448" s="109" t="s">
        <v>48</v>
      </c>
      <c r="U448" s="109" t="s">
        <v>48</v>
      </c>
      <c r="V448" s="166" t="s">
        <v>48</v>
      </c>
      <c r="W448" s="165" t="s">
        <v>904</v>
      </c>
      <c r="X448" s="109" t="s">
        <v>904</v>
      </c>
      <c r="Y448" s="109" t="s">
        <v>48</v>
      </c>
      <c r="Z448" s="109" t="s">
        <v>48</v>
      </c>
      <c r="AA448" s="109" t="s">
        <v>48</v>
      </c>
      <c r="AB448" s="109" t="s">
        <v>48</v>
      </c>
      <c r="AC448" s="109" t="s">
        <v>48</v>
      </c>
      <c r="AD448" s="166" t="s">
        <v>48</v>
      </c>
      <c r="AE448" s="174" t="s">
        <v>48</v>
      </c>
      <c r="AF448" s="117" t="s">
        <v>48</v>
      </c>
      <c r="AG448" s="117" t="s">
        <v>48</v>
      </c>
      <c r="AH448" s="109" t="s">
        <v>48</v>
      </c>
      <c r="AI448" s="117" t="s">
        <v>48</v>
      </c>
      <c r="AJ448" s="117" t="s">
        <v>48</v>
      </c>
      <c r="AK448" s="182" t="s">
        <v>48</v>
      </c>
      <c r="AL448" s="165" t="s">
        <v>904</v>
      </c>
      <c r="AM448" s="109" t="s">
        <v>904</v>
      </c>
      <c r="AN448" s="109" t="s">
        <v>48</v>
      </c>
      <c r="AO448" s="109" t="s">
        <v>48</v>
      </c>
      <c r="AP448" s="109" t="s">
        <v>48</v>
      </c>
      <c r="AQ448" s="109" t="s">
        <v>48</v>
      </c>
      <c r="AR448" s="109" t="s">
        <v>48</v>
      </c>
      <c r="AS448" s="166" t="s">
        <v>48</v>
      </c>
      <c r="AT448" s="165" t="s">
        <v>48</v>
      </c>
      <c r="AU448" s="109" t="s">
        <v>48</v>
      </c>
      <c r="AV448" s="109" t="s">
        <v>48</v>
      </c>
      <c r="AW448" s="109" t="s">
        <v>48</v>
      </c>
      <c r="AX448" s="109" t="s">
        <v>48</v>
      </c>
      <c r="AY448" s="109" t="s">
        <v>48</v>
      </c>
      <c r="AZ448" s="166" t="s">
        <v>48</v>
      </c>
      <c r="BA448" s="162" t="s">
        <v>1816</v>
      </c>
      <c r="BB448" s="109" t="s">
        <v>82</v>
      </c>
      <c r="BC448" s="109" t="s">
        <v>876</v>
      </c>
    </row>
    <row r="449" spans="1:55" ht="75" hidden="1" customHeight="1">
      <c r="A449" s="109" t="s">
        <v>38</v>
      </c>
      <c r="B449" s="109" t="s">
        <v>2470</v>
      </c>
      <c r="C449" s="109" t="s">
        <v>1749</v>
      </c>
      <c r="D449" s="109" t="s">
        <v>1748</v>
      </c>
      <c r="E449" s="161">
        <v>15000</v>
      </c>
      <c r="F449" s="165" t="s">
        <v>1748</v>
      </c>
      <c r="G449" s="109" t="s">
        <v>1748</v>
      </c>
      <c r="H449" s="109" t="s">
        <v>48</v>
      </c>
      <c r="I449" s="109" t="s">
        <v>48</v>
      </c>
      <c r="J449" s="109" t="s">
        <v>48</v>
      </c>
      <c r="K449" s="109" t="s">
        <v>48</v>
      </c>
      <c r="L449" s="109" t="s">
        <v>48</v>
      </c>
      <c r="M449" s="166" t="s">
        <v>1687</v>
      </c>
      <c r="N449" s="165" t="s">
        <v>48</v>
      </c>
      <c r="O449" s="109" t="s">
        <v>48</v>
      </c>
      <c r="P449" s="162" t="s">
        <v>48</v>
      </c>
      <c r="Q449" s="109" t="s">
        <v>48</v>
      </c>
      <c r="R449" s="109" t="s">
        <v>48</v>
      </c>
      <c r="S449" s="109" t="s">
        <v>48</v>
      </c>
      <c r="T449" s="109" t="s">
        <v>48</v>
      </c>
      <c r="U449" s="109" t="s">
        <v>48</v>
      </c>
      <c r="V449" s="166" t="s">
        <v>48</v>
      </c>
      <c r="W449" s="165" t="s">
        <v>1748</v>
      </c>
      <c r="X449" s="109" t="s">
        <v>1748</v>
      </c>
      <c r="Y449" s="109" t="s">
        <v>48</v>
      </c>
      <c r="Z449" s="109" t="s">
        <v>48</v>
      </c>
      <c r="AA449" s="109" t="s">
        <v>48</v>
      </c>
      <c r="AB449" s="109" t="s">
        <v>48</v>
      </c>
      <c r="AC449" s="109" t="s">
        <v>48</v>
      </c>
      <c r="AD449" s="166" t="s">
        <v>48</v>
      </c>
      <c r="AE449" s="165" t="s">
        <v>48</v>
      </c>
      <c r="AF449" s="109" t="s">
        <v>48</v>
      </c>
      <c r="AG449" s="109" t="s">
        <v>48</v>
      </c>
      <c r="AH449" s="109" t="s">
        <v>48</v>
      </c>
      <c r="AI449" s="109" t="s">
        <v>48</v>
      </c>
      <c r="AJ449" s="109" t="s">
        <v>48</v>
      </c>
      <c r="AK449" s="166" t="s">
        <v>48</v>
      </c>
      <c r="AL449" s="165" t="s">
        <v>1748</v>
      </c>
      <c r="AM449" s="109" t="s">
        <v>1748</v>
      </c>
      <c r="AN449" s="109" t="s">
        <v>48</v>
      </c>
      <c r="AO449" s="109" t="s">
        <v>48</v>
      </c>
      <c r="AP449" s="109" t="s">
        <v>48</v>
      </c>
      <c r="AQ449" s="109" t="s">
        <v>48</v>
      </c>
      <c r="AR449" s="109" t="s">
        <v>48</v>
      </c>
      <c r="AS449" s="166" t="s">
        <v>1687</v>
      </c>
      <c r="AT449" s="165" t="s">
        <v>48</v>
      </c>
      <c r="AU449" s="109" t="s">
        <v>48</v>
      </c>
      <c r="AV449" s="109" t="s">
        <v>48</v>
      </c>
      <c r="AW449" s="109" t="s">
        <v>48</v>
      </c>
      <c r="AX449" s="109" t="s">
        <v>48</v>
      </c>
      <c r="AY449" s="109" t="s">
        <v>48</v>
      </c>
      <c r="AZ449" s="166" t="s">
        <v>48</v>
      </c>
      <c r="BA449" s="162" t="s">
        <v>48</v>
      </c>
      <c r="BB449" s="109" t="s">
        <v>49</v>
      </c>
      <c r="BC449" s="109" t="s">
        <v>1744</v>
      </c>
    </row>
    <row r="450" spans="1:55" ht="75" hidden="1" customHeight="1">
      <c r="A450" s="109" t="s">
        <v>38</v>
      </c>
      <c r="B450" s="109" t="s">
        <v>2024</v>
      </c>
      <c r="C450" s="109" t="s">
        <v>1749</v>
      </c>
      <c r="D450" s="109" t="s">
        <v>1748</v>
      </c>
      <c r="E450" s="161">
        <v>15000</v>
      </c>
      <c r="F450" s="165" t="s">
        <v>1748</v>
      </c>
      <c r="G450" s="109" t="s">
        <v>1748</v>
      </c>
      <c r="H450" s="109" t="s">
        <v>48</v>
      </c>
      <c r="I450" s="109" t="s">
        <v>48</v>
      </c>
      <c r="J450" s="109" t="s">
        <v>48</v>
      </c>
      <c r="K450" s="109" t="s">
        <v>48</v>
      </c>
      <c r="L450" s="109" t="s">
        <v>48</v>
      </c>
      <c r="M450" s="166" t="s">
        <v>1687</v>
      </c>
      <c r="N450" s="165" t="s">
        <v>48</v>
      </c>
      <c r="O450" s="109" t="s">
        <v>48</v>
      </c>
      <c r="P450" s="162" t="s">
        <v>48</v>
      </c>
      <c r="Q450" s="109" t="s">
        <v>48</v>
      </c>
      <c r="R450" s="109" t="s">
        <v>48</v>
      </c>
      <c r="S450" s="109" t="s">
        <v>48</v>
      </c>
      <c r="T450" s="109" t="s">
        <v>48</v>
      </c>
      <c r="U450" s="109" t="s">
        <v>48</v>
      </c>
      <c r="V450" s="166" t="s">
        <v>48</v>
      </c>
      <c r="W450" s="165" t="s">
        <v>1748</v>
      </c>
      <c r="X450" s="109" t="s">
        <v>1748</v>
      </c>
      <c r="Y450" s="109" t="s">
        <v>48</v>
      </c>
      <c r="Z450" s="109" t="s">
        <v>48</v>
      </c>
      <c r="AA450" s="109" t="s">
        <v>48</v>
      </c>
      <c r="AB450" s="109" t="s">
        <v>48</v>
      </c>
      <c r="AC450" s="109" t="s">
        <v>48</v>
      </c>
      <c r="AD450" s="166" t="s">
        <v>48</v>
      </c>
      <c r="AE450" s="165" t="s">
        <v>48</v>
      </c>
      <c r="AF450" s="109" t="s">
        <v>48</v>
      </c>
      <c r="AG450" s="109" t="s">
        <v>48</v>
      </c>
      <c r="AH450" s="109" t="s">
        <v>48</v>
      </c>
      <c r="AI450" s="109" t="s">
        <v>48</v>
      </c>
      <c r="AJ450" s="109" t="s">
        <v>48</v>
      </c>
      <c r="AK450" s="166" t="s">
        <v>48</v>
      </c>
      <c r="AL450" s="165" t="s">
        <v>1748</v>
      </c>
      <c r="AM450" s="109" t="s">
        <v>1748</v>
      </c>
      <c r="AN450" s="109" t="s">
        <v>48</v>
      </c>
      <c r="AO450" s="109" t="s">
        <v>48</v>
      </c>
      <c r="AP450" s="109" t="s">
        <v>48</v>
      </c>
      <c r="AQ450" s="109" t="s">
        <v>48</v>
      </c>
      <c r="AR450" s="109" t="s">
        <v>48</v>
      </c>
      <c r="AS450" s="166" t="s">
        <v>1687</v>
      </c>
      <c r="AT450" s="165" t="s">
        <v>48</v>
      </c>
      <c r="AU450" s="109" t="s">
        <v>48</v>
      </c>
      <c r="AV450" s="109" t="s">
        <v>48</v>
      </c>
      <c r="AW450" s="109" t="s">
        <v>48</v>
      </c>
      <c r="AX450" s="109" t="s">
        <v>48</v>
      </c>
      <c r="AY450" s="109" t="s">
        <v>48</v>
      </c>
      <c r="AZ450" s="166" t="s">
        <v>48</v>
      </c>
      <c r="BA450" s="162" t="s">
        <v>48</v>
      </c>
      <c r="BB450" s="109" t="s">
        <v>49</v>
      </c>
      <c r="BC450" s="109" t="s">
        <v>1744</v>
      </c>
    </row>
    <row r="451" spans="1:55" ht="75" hidden="1" customHeight="1">
      <c r="A451" s="109" t="s">
        <v>2341</v>
      </c>
      <c r="B451" s="109" t="s">
        <v>2474</v>
      </c>
      <c r="C451" s="109" t="s">
        <v>1749</v>
      </c>
      <c r="D451" s="109" t="s">
        <v>1748</v>
      </c>
      <c r="E451" s="161">
        <v>30000</v>
      </c>
      <c r="F451" s="165" t="s">
        <v>1748</v>
      </c>
      <c r="G451" s="109" t="s">
        <v>1748</v>
      </c>
      <c r="H451" s="109" t="s">
        <v>48</v>
      </c>
      <c r="I451" s="109" t="s">
        <v>48</v>
      </c>
      <c r="J451" s="109" t="s">
        <v>48</v>
      </c>
      <c r="K451" s="109" t="s">
        <v>48</v>
      </c>
      <c r="L451" s="109" t="s">
        <v>48</v>
      </c>
      <c r="M451" s="166" t="s">
        <v>1687</v>
      </c>
      <c r="N451" s="165" t="s">
        <v>48</v>
      </c>
      <c r="O451" s="109" t="s">
        <v>48</v>
      </c>
      <c r="P451" s="162" t="s">
        <v>48</v>
      </c>
      <c r="Q451" s="109" t="s">
        <v>48</v>
      </c>
      <c r="R451" s="109" t="s">
        <v>48</v>
      </c>
      <c r="S451" s="109" t="s">
        <v>48</v>
      </c>
      <c r="T451" s="109" t="s">
        <v>48</v>
      </c>
      <c r="U451" s="109" t="s">
        <v>48</v>
      </c>
      <c r="V451" s="166" t="s">
        <v>48</v>
      </c>
      <c r="W451" s="165" t="s">
        <v>1748</v>
      </c>
      <c r="X451" s="109" t="s">
        <v>1748</v>
      </c>
      <c r="Y451" s="109" t="s">
        <v>48</v>
      </c>
      <c r="Z451" s="109" t="s">
        <v>48</v>
      </c>
      <c r="AA451" s="109" t="s">
        <v>48</v>
      </c>
      <c r="AB451" s="109" t="s">
        <v>48</v>
      </c>
      <c r="AC451" s="109" t="s">
        <v>48</v>
      </c>
      <c r="AD451" s="166" t="s">
        <v>48</v>
      </c>
      <c r="AE451" s="165" t="s">
        <v>48</v>
      </c>
      <c r="AF451" s="109" t="s">
        <v>48</v>
      </c>
      <c r="AG451" s="109" t="s">
        <v>48</v>
      </c>
      <c r="AH451" s="109" t="s">
        <v>48</v>
      </c>
      <c r="AI451" s="109" t="s">
        <v>48</v>
      </c>
      <c r="AJ451" s="109" t="s">
        <v>48</v>
      </c>
      <c r="AK451" s="166" t="s">
        <v>48</v>
      </c>
      <c r="AL451" s="165" t="s">
        <v>1748</v>
      </c>
      <c r="AM451" s="109" t="s">
        <v>1748</v>
      </c>
      <c r="AN451" s="109" t="s">
        <v>48</v>
      </c>
      <c r="AO451" s="109" t="s">
        <v>48</v>
      </c>
      <c r="AP451" s="109" t="s">
        <v>48</v>
      </c>
      <c r="AQ451" s="109" t="s">
        <v>48</v>
      </c>
      <c r="AR451" s="109" t="s">
        <v>48</v>
      </c>
      <c r="AS451" s="166" t="s">
        <v>1687</v>
      </c>
      <c r="AT451" s="165" t="s">
        <v>48</v>
      </c>
      <c r="AU451" s="109" t="s">
        <v>48</v>
      </c>
      <c r="AV451" s="109" t="s">
        <v>48</v>
      </c>
      <c r="AW451" s="109" t="s">
        <v>48</v>
      </c>
      <c r="AX451" s="109" t="s">
        <v>48</v>
      </c>
      <c r="AY451" s="109" t="s">
        <v>48</v>
      </c>
      <c r="AZ451" s="166" t="s">
        <v>48</v>
      </c>
      <c r="BA451" s="162" t="s">
        <v>48</v>
      </c>
      <c r="BB451" s="109" t="s">
        <v>49</v>
      </c>
      <c r="BC451" s="109" t="s">
        <v>1744</v>
      </c>
    </row>
    <row r="452" spans="1:55" ht="75" hidden="1" customHeight="1">
      <c r="A452" s="109" t="s">
        <v>2340</v>
      </c>
      <c r="B452" s="109" t="s">
        <v>2471</v>
      </c>
      <c r="C452" s="109" t="s">
        <v>1749</v>
      </c>
      <c r="D452" s="109" t="s">
        <v>1748</v>
      </c>
      <c r="E452" s="161">
        <v>30000</v>
      </c>
      <c r="F452" s="165" t="s">
        <v>1748</v>
      </c>
      <c r="G452" s="109" t="s">
        <v>1748</v>
      </c>
      <c r="H452" s="109" t="s">
        <v>48</v>
      </c>
      <c r="I452" s="109" t="s">
        <v>48</v>
      </c>
      <c r="J452" s="109" t="s">
        <v>48</v>
      </c>
      <c r="K452" s="109" t="s">
        <v>48</v>
      </c>
      <c r="L452" s="109" t="s">
        <v>48</v>
      </c>
      <c r="M452" s="166" t="s">
        <v>1687</v>
      </c>
      <c r="N452" s="165" t="s">
        <v>48</v>
      </c>
      <c r="O452" s="109" t="s">
        <v>48</v>
      </c>
      <c r="P452" s="162" t="s">
        <v>48</v>
      </c>
      <c r="Q452" s="109" t="s">
        <v>48</v>
      </c>
      <c r="R452" s="109" t="s">
        <v>48</v>
      </c>
      <c r="S452" s="109" t="s">
        <v>48</v>
      </c>
      <c r="T452" s="109" t="s">
        <v>48</v>
      </c>
      <c r="U452" s="109" t="s">
        <v>48</v>
      </c>
      <c r="V452" s="166" t="s">
        <v>48</v>
      </c>
      <c r="W452" s="165" t="s">
        <v>1748</v>
      </c>
      <c r="X452" s="109" t="s">
        <v>1748</v>
      </c>
      <c r="Y452" s="109" t="s">
        <v>48</v>
      </c>
      <c r="Z452" s="109" t="s">
        <v>48</v>
      </c>
      <c r="AA452" s="109" t="s">
        <v>48</v>
      </c>
      <c r="AB452" s="109" t="s">
        <v>48</v>
      </c>
      <c r="AC452" s="109" t="s">
        <v>48</v>
      </c>
      <c r="AD452" s="166" t="s">
        <v>48</v>
      </c>
      <c r="AE452" s="165" t="s">
        <v>48</v>
      </c>
      <c r="AF452" s="109" t="s">
        <v>48</v>
      </c>
      <c r="AG452" s="109" t="s">
        <v>48</v>
      </c>
      <c r="AH452" s="109" t="s">
        <v>48</v>
      </c>
      <c r="AI452" s="109" t="s">
        <v>48</v>
      </c>
      <c r="AJ452" s="109" t="s">
        <v>48</v>
      </c>
      <c r="AK452" s="166" t="s">
        <v>48</v>
      </c>
      <c r="AL452" s="165" t="s">
        <v>1748</v>
      </c>
      <c r="AM452" s="109" t="s">
        <v>1748</v>
      </c>
      <c r="AN452" s="109" t="s">
        <v>48</v>
      </c>
      <c r="AO452" s="109" t="s">
        <v>48</v>
      </c>
      <c r="AP452" s="109" t="s">
        <v>48</v>
      </c>
      <c r="AQ452" s="109" t="s">
        <v>48</v>
      </c>
      <c r="AR452" s="109" t="s">
        <v>48</v>
      </c>
      <c r="AS452" s="166" t="s">
        <v>1687</v>
      </c>
      <c r="AT452" s="165" t="s">
        <v>48</v>
      </c>
      <c r="AU452" s="109" t="s">
        <v>48</v>
      </c>
      <c r="AV452" s="109" t="s">
        <v>48</v>
      </c>
      <c r="AW452" s="109" t="s">
        <v>48</v>
      </c>
      <c r="AX452" s="109" t="s">
        <v>48</v>
      </c>
      <c r="AY452" s="109" t="s">
        <v>48</v>
      </c>
      <c r="AZ452" s="166" t="s">
        <v>48</v>
      </c>
      <c r="BA452" s="162" t="s">
        <v>48</v>
      </c>
      <c r="BB452" s="109" t="s">
        <v>49</v>
      </c>
      <c r="BC452" s="109" t="s">
        <v>1744</v>
      </c>
    </row>
    <row r="453" spans="1:55" ht="75" hidden="1" customHeight="1">
      <c r="A453" s="109" t="s">
        <v>2339</v>
      </c>
      <c r="B453" s="109" t="s">
        <v>2468</v>
      </c>
      <c r="C453" s="109" t="s">
        <v>1749</v>
      </c>
      <c r="D453" s="109" t="s">
        <v>1748</v>
      </c>
      <c r="E453" s="161">
        <v>15000</v>
      </c>
      <c r="F453" s="165" t="s">
        <v>1748</v>
      </c>
      <c r="G453" s="109" t="s">
        <v>1748</v>
      </c>
      <c r="H453" s="109" t="s">
        <v>48</v>
      </c>
      <c r="I453" s="109" t="s">
        <v>48</v>
      </c>
      <c r="J453" s="109" t="s">
        <v>48</v>
      </c>
      <c r="K453" s="109" t="s">
        <v>48</v>
      </c>
      <c r="L453" s="109" t="s">
        <v>48</v>
      </c>
      <c r="M453" s="166" t="s">
        <v>1687</v>
      </c>
      <c r="N453" s="165" t="s">
        <v>48</v>
      </c>
      <c r="O453" s="109" t="s">
        <v>48</v>
      </c>
      <c r="P453" s="162" t="s">
        <v>48</v>
      </c>
      <c r="Q453" s="109" t="s">
        <v>48</v>
      </c>
      <c r="R453" s="109" t="s">
        <v>48</v>
      </c>
      <c r="S453" s="109" t="s">
        <v>48</v>
      </c>
      <c r="T453" s="109" t="s">
        <v>48</v>
      </c>
      <c r="U453" s="109" t="s">
        <v>48</v>
      </c>
      <c r="V453" s="166" t="s">
        <v>48</v>
      </c>
      <c r="W453" s="165" t="s">
        <v>1748</v>
      </c>
      <c r="X453" s="109" t="s">
        <v>1748</v>
      </c>
      <c r="Y453" s="109" t="s">
        <v>48</v>
      </c>
      <c r="Z453" s="109" t="s">
        <v>48</v>
      </c>
      <c r="AA453" s="109" t="s">
        <v>48</v>
      </c>
      <c r="AB453" s="109" t="s">
        <v>48</v>
      </c>
      <c r="AC453" s="109" t="s">
        <v>48</v>
      </c>
      <c r="AD453" s="166" t="s">
        <v>48</v>
      </c>
      <c r="AE453" s="165" t="s">
        <v>48</v>
      </c>
      <c r="AF453" s="109" t="s">
        <v>48</v>
      </c>
      <c r="AG453" s="109" t="s">
        <v>48</v>
      </c>
      <c r="AH453" s="109" t="s">
        <v>48</v>
      </c>
      <c r="AI453" s="109" t="s">
        <v>48</v>
      </c>
      <c r="AJ453" s="109" t="s">
        <v>48</v>
      </c>
      <c r="AK453" s="166" t="s">
        <v>48</v>
      </c>
      <c r="AL453" s="165" t="s">
        <v>1748</v>
      </c>
      <c r="AM453" s="109" t="s">
        <v>1748</v>
      </c>
      <c r="AN453" s="109" t="s">
        <v>48</v>
      </c>
      <c r="AO453" s="109" t="s">
        <v>48</v>
      </c>
      <c r="AP453" s="109" t="s">
        <v>48</v>
      </c>
      <c r="AQ453" s="109" t="s">
        <v>48</v>
      </c>
      <c r="AR453" s="109" t="s">
        <v>48</v>
      </c>
      <c r="AS453" s="166" t="s">
        <v>1687</v>
      </c>
      <c r="AT453" s="165" t="s">
        <v>48</v>
      </c>
      <c r="AU453" s="109" t="s">
        <v>48</v>
      </c>
      <c r="AV453" s="109" t="s">
        <v>48</v>
      </c>
      <c r="AW453" s="109" t="s">
        <v>48</v>
      </c>
      <c r="AX453" s="109" t="s">
        <v>48</v>
      </c>
      <c r="AY453" s="109" t="s">
        <v>48</v>
      </c>
      <c r="AZ453" s="166" t="s">
        <v>48</v>
      </c>
      <c r="BA453" s="162" t="s">
        <v>48</v>
      </c>
      <c r="BB453" s="109" t="s">
        <v>49</v>
      </c>
      <c r="BC453" s="109" t="s">
        <v>1744</v>
      </c>
    </row>
    <row r="454" spans="1:55" ht="75" hidden="1" customHeight="1">
      <c r="A454" s="109" t="s">
        <v>38</v>
      </c>
      <c r="B454" s="109" t="s">
        <v>2470</v>
      </c>
      <c r="C454" s="109" t="s">
        <v>1742</v>
      </c>
      <c r="D454" s="109" t="s">
        <v>1706</v>
      </c>
      <c r="E454" s="161">
        <v>15000</v>
      </c>
      <c r="F454" s="165" t="s">
        <v>1706</v>
      </c>
      <c r="G454" s="109" t="s">
        <v>1706</v>
      </c>
      <c r="H454" s="109" t="s">
        <v>48</v>
      </c>
      <c r="I454" s="109" t="s">
        <v>48</v>
      </c>
      <c r="J454" s="109" t="s">
        <v>48</v>
      </c>
      <c r="K454" s="109" t="s">
        <v>48</v>
      </c>
      <c r="L454" s="109" t="s">
        <v>48</v>
      </c>
      <c r="M454" s="166" t="s">
        <v>1687</v>
      </c>
      <c r="N454" s="165" t="s">
        <v>48</v>
      </c>
      <c r="O454" s="109" t="s">
        <v>48</v>
      </c>
      <c r="P454" s="162" t="s">
        <v>48</v>
      </c>
      <c r="Q454" s="109" t="s">
        <v>48</v>
      </c>
      <c r="R454" s="109" t="s">
        <v>48</v>
      </c>
      <c r="S454" s="109" t="s">
        <v>48</v>
      </c>
      <c r="T454" s="109" t="s">
        <v>48</v>
      </c>
      <c r="U454" s="109" t="s">
        <v>48</v>
      </c>
      <c r="V454" s="166" t="s">
        <v>48</v>
      </c>
      <c r="W454" s="165" t="s">
        <v>1706</v>
      </c>
      <c r="X454" s="109" t="s">
        <v>1706</v>
      </c>
      <c r="Y454" s="109" t="s">
        <v>48</v>
      </c>
      <c r="Z454" s="109" t="s">
        <v>48</v>
      </c>
      <c r="AA454" s="109" t="s">
        <v>48</v>
      </c>
      <c r="AB454" s="109" t="s">
        <v>48</v>
      </c>
      <c r="AC454" s="109" t="s">
        <v>48</v>
      </c>
      <c r="AD454" s="166" t="s">
        <v>48</v>
      </c>
      <c r="AE454" s="165" t="s">
        <v>48</v>
      </c>
      <c r="AF454" s="109" t="s">
        <v>48</v>
      </c>
      <c r="AG454" s="109" t="s">
        <v>48</v>
      </c>
      <c r="AH454" s="109" t="s">
        <v>48</v>
      </c>
      <c r="AI454" s="109" t="s">
        <v>48</v>
      </c>
      <c r="AJ454" s="109" t="s">
        <v>48</v>
      </c>
      <c r="AK454" s="166" t="s">
        <v>48</v>
      </c>
      <c r="AL454" s="165" t="s">
        <v>1706</v>
      </c>
      <c r="AM454" s="109" t="s">
        <v>1706</v>
      </c>
      <c r="AN454" s="109" t="s">
        <v>48</v>
      </c>
      <c r="AO454" s="109" t="s">
        <v>48</v>
      </c>
      <c r="AP454" s="109" t="s">
        <v>48</v>
      </c>
      <c r="AQ454" s="109" t="s">
        <v>48</v>
      </c>
      <c r="AR454" s="109" t="s">
        <v>48</v>
      </c>
      <c r="AS454" s="166" t="s">
        <v>1687</v>
      </c>
      <c r="AT454" s="165" t="s">
        <v>48</v>
      </c>
      <c r="AU454" s="109" t="s">
        <v>48</v>
      </c>
      <c r="AV454" s="109" t="s">
        <v>48</v>
      </c>
      <c r="AW454" s="109" t="s">
        <v>48</v>
      </c>
      <c r="AX454" s="109" t="s">
        <v>48</v>
      </c>
      <c r="AY454" s="109" t="s">
        <v>48</v>
      </c>
      <c r="AZ454" s="166" t="s">
        <v>48</v>
      </c>
      <c r="BA454" s="162" t="s">
        <v>48</v>
      </c>
      <c r="BB454" s="109" t="s">
        <v>49</v>
      </c>
      <c r="BC454" s="109" t="s">
        <v>1743</v>
      </c>
    </row>
    <row r="455" spans="1:55" ht="75" hidden="1" customHeight="1">
      <c r="A455" s="109" t="s">
        <v>38</v>
      </c>
      <c r="B455" s="109" t="s">
        <v>2024</v>
      </c>
      <c r="C455" s="109" t="s">
        <v>1742</v>
      </c>
      <c r="D455" s="109" t="s">
        <v>1706</v>
      </c>
      <c r="E455" s="161">
        <v>15000</v>
      </c>
      <c r="F455" s="165" t="s">
        <v>1706</v>
      </c>
      <c r="G455" s="109" t="s">
        <v>1706</v>
      </c>
      <c r="H455" s="109" t="s">
        <v>48</v>
      </c>
      <c r="I455" s="109" t="s">
        <v>48</v>
      </c>
      <c r="J455" s="109" t="s">
        <v>48</v>
      </c>
      <c r="K455" s="109" t="s">
        <v>48</v>
      </c>
      <c r="L455" s="109" t="s">
        <v>48</v>
      </c>
      <c r="M455" s="166" t="s">
        <v>1687</v>
      </c>
      <c r="N455" s="165" t="s">
        <v>48</v>
      </c>
      <c r="O455" s="109" t="s">
        <v>48</v>
      </c>
      <c r="P455" s="162" t="s">
        <v>48</v>
      </c>
      <c r="Q455" s="109" t="s">
        <v>48</v>
      </c>
      <c r="R455" s="109" t="s">
        <v>48</v>
      </c>
      <c r="S455" s="109" t="s">
        <v>48</v>
      </c>
      <c r="T455" s="109" t="s">
        <v>48</v>
      </c>
      <c r="U455" s="109" t="s">
        <v>48</v>
      </c>
      <c r="V455" s="166" t="s">
        <v>48</v>
      </c>
      <c r="W455" s="165" t="s">
        <v>1706</v>
      </c>
      <c r="X455" s="109" t="s">
        <v>1706</v>
      </c>
      <c r="Y455" s="109" t="s">
        <v>48</v>
      </c>
      <c r="Z455" s="109" t="s">
        <v>48</v>
      </c>
      <c r="AA455" s="109" t="s">
        <v>48</v>
      </c>
      <c r="AB455" s="109" t="s">
        <v>48</v>
      </c>
      <c r="AC455" s="109" t="s">
        <v>48</v>
      </c>
      <c r="AD455" s="166" t="s">
        <v>48</v>
      </c>
      <c r="AE455" s="165" t="s">
        <v>48</v>
      </c>
      <c r="AF455" s="109" t="s">
        <v>48</v>
      </c>
      <c r="AG455" s="109" t="s">
        <v>48</v>
      </c>
      <c r="AH455" s="109" t="s">
        <v>48</v>
      </c>
      <c r="AI455" s="109" t="s">
        <v>48</v>
      </c>
      <c r="AJ455" s="109" t="s">
        <v>48</v>
      </c>
      <c r="AK455" s="166" t="s">
        <v>48</v>
      </c>
      <c r="AL455" s="165" t="s">
        <v>1706</v>
      </c>
      <c r="AM455" s="109" t="s">
        <v>1706</v>
      </c>
      <c r="AN455" s="109" t="s">
        <v>48</v>
      </c>
      <c r="AO455" s="109" t="s">
        <v>48</v>
      </c>
      <c r="AP455" s="109" t="s">
        <v>48</v>
      </c>
      <c r="AQ455" s="109" t="s">
        <v>48</v>
      </c>
      <c r="AR455" s="109" t="s">
        <v>48</v>
      </c>
      <c r="AS455" s="166" t="s">
        <v>1687</v>
      </c>
      <c r="AT455" s="165" t="s">
        <v>48</v>
      </c>
      <c r="AU455" s="109" t="s">
        <v>48</v>
      </c>
      <c r="AV455" s="109" t="s">
        <v>48</v>
      </c>
      <c r="AW455" s="109" t="s">
        <v>48</v>
      </c>
      <c r="AX455" s="109" t="s">
        <v>48</v>
      </c>
      <c r="AY455" s="109" t="s">
        <v>48</v>
      </c>
      <c r="AZ455" s="166" t="s">
        <v>48</v>
      </c>
      <c r="BA455" s="162" t="s">
        <v>48</v>
      </c>
      <c r="BB455" s="109" t="s">
        <v>49</v>
      </c>
      <c r="BC455" s="109" t="s">
        <v>1743</v>
      </c>
    </row>
    <row r="456" spans="1:55" ht="75" hidden="1" customHeight="1">
      <c r="A456" s="109" t="s">
        <v>2341</v>
      </c>
      <c r="B456" s="109" t="s">
        <v>2474</v>
      </c>
      <c r="C456" s="109" t="s">
        <v>1742</v>
      </c>
      <c r="D456" s="109" t="s">
        <v>1706</v>
      </c>
      <c r="E456" s="161">
        <v>30000</v>
      </c>
      <c r="F456" s="165" t="s">
        <v>1706</v>
      </c>
      <c r="G456" s="109" t="s">
        <v>1706</v>
      </c>
      <c r="H456" s="109" t="s">
        <v>48</v>
      </c>
      <c r="I456" s="109" t="s">
        <v>48</v>
      </c>
      <c r="J456" s="109" t="s">
        <v>48</v>
      </c>
      <c r="K456" s="109" t="s">
        <v>48</v>
      </c>
      <c r="L456" s="109" t="s">
        <v>48</v>
      </c>
      <c r="M456" s="166" t="s">
        <v>1687</v>
      </c>
      <c r="N456" s="165" t="s">
        <v>48</v>
      </c>
      <c r="O456" s="109" t="s">
        <v>48</v>
      </c>
      <c r="P456" s="162" t="s">
        <v>48</v>
      </c>
      <c r="Q456" s="109" t="s">
        <v>48</v>
      </c>
      <c r="R456" s="109" t="s">
        <v>48</v>
      </c>
      <c r="S456" s="109" t="s">
        <v>48</v>
      </c>
      <c r="T456" s="109" t="s">
        <v>48</v>
      </c>
      <c r="U456" s="109" t="s">
        <v>48</v>
      </c>
      <c r="V456" s="166" t="s">
        <v>48</v>
      </c>
      <c r="W456" s="165" t="s">
        <v>1706</v>
      </c>
      <c r="X456" s="109" t="s">
        <v>1706</v>
      </c>
      <c r="Y456" s="109" t="s">
        <v>48</v>
      </c>
      <c r="Z456" s="109" t="s">
        <v>48</v>
      </c>
      <c r="AA456" s="109" t="s">
        <v>48</v>
      </c>
      <c r="AB456" s="109" t="s">
        <v>48</v>
      </c>
      <c r="AC456" s="109" t="s">
        <v>48</v>
      </c>
      <c r="AD456" s="166" t="s">
        <v>48</v>
      </c>
      <c r="AE456" s="165" t="s">
        <v>48</v>
      </c>
      <c r="AF456" s="109" t="s">
        <v>48</v>
      </c>
      <c r="AG456" s="109" t="s">
        <v>48</v>
      </c>
      <c r="AH456" s="109" t="s">
        <v>48</v>
      </c>
      <c r="AI456" s="109" t="s">
        <v>48</v>
      </c>
      <c r="AJ456" s="109" t="s">
        <v>48</v>
      </c>
      <c r="AK456" s="166" t="s">
        <v>48</v>
      </c>
      <c r="AL456" s="165" t="s">
        <v>1706</v>
      </c>
      <c r="AM456" s="109" t="s">
        <v>1706</v>
      </c>
      <c r="AN456" s="109" t="s">
        <v>48</v>
      </c>
      <c r="AO456" s="109" t="s">
        <v>48</v>
      </c>
      <c r="AP456" s="109" t="s">
        <v>48</v>
      </c>
      <c r="AQ456" s="109" t="s">
        <v>48</v>
      </c>
      <c r="AR456" s="109" t="s">
        <v>48</v>
      </c>
      <c r="AS456" s="166" t="s">
        <v>1687</v>
      </c>
      <c r="AT456" s="165" t="s">
        <v>48</v>
      </c>
      <c r="AU456" s="109" t="s">
        <v>48</v>
      </c>
      <c r="AV456" s="109" t="s">
        <v>48</v>
      </c>
      <c r="AW456" s="109" t="s">
        <v>48</v>
      </c>
      <c r="AX456" s="109" t="s">
        <v>48</v>
      </c>
      <c r="AY456" s="109" t="s">
        <v>48</v>
      </c>
      <c r="AZ456" s="166" t="s">
        <v>48</v>
      </c>
      <c r="BA456" s="162" t="s">
        <v>48</v>
      </c>
      <c r="BB456" s="109" t="s">
        <v>49</v>
      </c>
      <c r="BC456" s="109" t="s">
        <v>1743</v>
      </c>
    </row>
    <row r="457" spans="1:55" ht="75" hidden="1" customHeight="1">
      <c r="A457" s="109" t="s">
        <v>2340</v>
      </c>
      <c r="B457" s="109" t="s">
        <v>2471</v>
      </c>
      <c r="C457" s="109" t="s">
        <v>1742</v>
      </c>
      <c r="D457" s="109" t="s">
        <v>1706</v>
      </c>
      <c r="E457" s="161">
        <v>30000</v>
      </c>
      <c r="F457" s="165" t="s">
        <v>1706</v>
      </c>
      <c r="G457" s="109" t="s">
        <v>1706</v>
      </c>
      <c r="H457" s="109" t="s">
        <v>48</v>
      </c>
      <c r="I457" s="109" t="s">
        <v>48</v>
      </c>
      <c r="J457" s="109" t="s">
        <v>48</v>
      </c>
      <c r="K457" s="109" t="s">
        <v>48</v>
      </c>
      <c r="L457" s="109" t="s">
        <v>48</v>
      </c>
      <c r="M457" s="166" t="s">
        <v>1687</v>
      </c>
      <c r="N457" s="165" t="s">
        <v>48</v>
      </c>
      <c r="O457" s="109" t="s">
        <v>48</v>
      </c>
      <c r="P457" s="162" t="s">
        <v>48</v>
      </c>
      <c r="Q457" s="109" t="s">
        <v>48</v>
      </c>
      <c r="R457" s="109" t="s">
        <v>48</v>
      </c>
      <c r="S457" s="109" t="s">
        <v>48</v>
      </c>
      <c r="T457" s="109" t="s">
        <v>48</v>
      </c>
      <c r="U457" s="109" t="s">
        <v>48</v>
      </c>
      <c r="V457" s="166" t="s">
        <v>48</v>
      </c>
      <c r="W457" s="165" t="s">
        <v>1706</v>
      </c>
      <c r="X457" s="109" t="s">
        <v>1706</v>
      </c>
      <c r="Y457" s="109" t="s">
        <v>48</v>
      </c>
      <c r="Z457" s="109" t="s">
        <v>48</v>
      </c>
      <c r="AA457" s="109" t="s">
        <v>48</v>
      </c>
      <c r="AB457" s="109" t="s">
        <v>48</v>
      </c>
      <c r="AC457" s="109" t="s">
        <v>48</v>
      </c>
      <c r="AD457" s="166" t="s">
        <v>48</v>
      </c>
      <c r="AE457" s="165" t="s">
        <v>48</v>
      </c>
      <c r="AF457" s="109" t="s">
        <v>48</v>
      </c>
      <c r="AG457" s="109" t="s">
        <v>48</v>
      </c>
      <c r="AH457" s="109" t="s">
        <v>48</v>
      </c>
      <c r="AI457" s="109" t="s">
        <v>48</v>
      </c>
      <c r="AJ457" s="109" t="s">
        <v>48</v>
      </c>
      <c r="AK457" s="166" t="s">
        <v>48</v>
      </c>
      <c r="AL457" s="165" t="s">
        <v>1706</v>
      </c>
      <c r="AM457" s="109" t="s">
        <v>1706</v>
      </c>
      <c r="AN457" s="109" t="s">
        <v>48</v>
      </c>
      <c r="AO457" s="109" t="s">
        <v>48</v>
      </c>
      <c r="AP457" s="109" t="s">
        <v>48</v>
      </c>
      <c r="AQ457" s="109" t="s">
        <v>48</v>
      </c>
      <c r="AR457" s="109" t="s">
        <v>48</v>
      </c>
      <c r="AS457" s="166" t="s">
        <v>1687</v>
      </c>
      <c r="AT457" s="165" t="s">
        <v>48</v>
      </c>
      <c r="AU457" s="109" t="s">
        <v>48</v>
      </c>
      <c r="AV457" s="109" t="s">
        <v>48</v>
      </c>
      <c r="AW457" s="109" t="s">
        <v>48</v>
      </c>
      <c r="AX457" s="109" t="s">
        <v>48</v>
      </c>
      <c r="AY457" s="109" t="s">
        <v>48</v>
      </c>
      <c r="AZ457" s="166" t="s">
        <v>48</v>
      </c>
      <c r="BA457" s="162" t="s">
        <v>48</v>
      </c>
      <c r="BB457" s="109" t="s">
        <v>49</v>
      </c>
      <c r="BC457" s="109" t="s">
        <v>1743</v>
      </c>
    </row>
    <row r="458" spans="1:55" ht="75" hidden="1" customHeight="1">
      <c r="A458" s="109" t="s">
        <v>2339</v>
      </c>
      <c r="B458" s="109" t="s">
        <v>2468</v>
      </c>
      <c r="C458" s="109" t="s">
        <v>1742</v>
      </c>
      <c r="D458" s="109" t="s">
        <v>1706</v>
      </c>
      <c r="E458" s="161">
        <v>15000</v>
      </c>
      <c r="F458" s="165" t="s">
        <v>1706</v>
      </c>
      <c r="G458" s="109" t="s">
        <v>1706</v>
      </c>
      <c r="H458" s="109" t="s">
        <v>48</v>
      </c>
      <c r="I458" s="109" t="s">
        <v>48</v>
      </c>
      <c r="J458" s="109" t="s">
        <v>48</v>
      </c>
      <c r="K458" s="109" t="s">
        <v>48</v>
      </c>
      <c r="L458" s="109" t="s">
        <v>48</v>
      </c>
      <c r="M458" s="166" t="s">
        <v>1687</v>
      </c>
      <c r="N458" s="165" t="s">
        <v>48</v>
      </c>
      <c r="O458" s="109" t="s">
        <v>48</v>
      </c>
      <c r="P458" s="162" t="s">
        <v>48</v>
      </c>
      <c r="Q458" s="109" t="s">
        <v>48</v>
      </c>
      <c r="R458" s="109" t="s">
        <v>48</v>
      </c>
      <c r="S458" s="109" t="s">
        <v>48</v>
      </c>
      <c r="T458" s="109" t="s">
        <v>48</v>
      </c>
      <c r="U458" s="109" t="s">
        <v>48</v>
      </c>
      <c r="V458" s="166" t="s">
        <v>48</v>
      </c>
      <c r="W458" s="165" t="s">
        <v>1706</v>
      </c>
      <c r="X458" s="109" t="s">
        <v>1706</v>
      </c>
      <c r="Y458" s="109" t="s">
        <v>48</v>
      </c>
      <c r="Z458" s="109" t="s">
        <v>48</v>
      </c>
      <c r="AA458" s="109" t="s">
        <v>48</v>
      </c>
      <c r="AB458" s="109" t="s">
        <v>48</v>
      </c>
      <c r="AC458" s="109" t="s">
        <v>48</v>
      </c>
      <c r="AD458" s="166" t="s">
        <v>48</v>
      </c>
      <c r="AE458" s="165" t="s">
        <v>48</v>
      </c>
      <c r="AF458" s="109" t="s">
        <v>48</v>
      </c>
      <c r="AG458" s="109" t="s">
        <v>48</v>
      </c>
      <c r="AH458" s="109" t="s">
        <v>48</v>
      </c>
      <c r="AI458" s="109" t="s">
        <v>48</v>
      </c>
      <c r="AJ458" s="109" t="s">
        <v>48</v>
      </c>
      <c r="AK458" s="166" t="s">
        <v>48</v>
      </c>
      <c r="AL458" s="165" t="s">
        <v>1706</v>
      </c>
      <c r="AM458" s="109" t="s">
        <v>1706</v>
      </c>
      <c r="AN458" s="109" t="s">
        <v>48</v>
      </c>
      <c r="AO458" s="109" t="s">
        <v>48</v>
      </c>
      <c r="AP458" s="109" t="s">
        <v>48</v>
      </c>
      <c r="AQ458" s="109" t="s">
        <v>48</v>
      </c>
      <c r="AR458" s="109" t="s">
        <v>48</v>
      </c>
      <c r="AS458" s="166" t="s">
        <v>1687</v>
      </c>
      <c r="AT458" s="165" t="s">
        <v>48</v>
      </c>
      <c r="AU458" s="109" t="s">
        <v>48</v>
      </c>
      <c r="AV458" s="109" t="s">
        <v>48</v>
      </c>
      <c r="AW458" s="109" t="s">
        <v>48</v>
      </c>
      <c r="AX458" s="109" t="s">
        <v>48</v>
      </c>
      <c r="AY458" s="109" t="s">
        <v>48</v>
      </c>
      <c r="AZ458" s="166" t="s">
        <v>48</v>
      </c>
      <c r="BA458" s="162" t="s">
        <v>48</v>
      </c>
      <c r="BB458" s="109" t="s">
        <v>49</v>
      </c>
      <c r="BC458" s="109" t="s">
        <v>1743</v>
      </c>
    </row>
    <row r="459" spans="1:55" ht="75" hidden="1" customHeight="1">
      <c r="A459" s="109" t="s">
        <v>40</v>
      </c>
      <c r="B459" s="117" t="s">
        <v>2467</v>
      </c>
      <c r="C459" s="109" t="s">
        <v>1712</v>
      </c>
      <c r="D459" s="109" t="s">
        <v>1753</v>
      </c>
      <c r="E459" s="161">
        <v>30000</v>
      </c>
      <c r="F459" s="165" t="s">
        <v>1753</v>
      </c>
      <c r="G459" s="109" t="s">
        <v>1753</v>
      </c>
      <c r="H459" s="109" t="s">
        <v>48</v>
      </c>
      <c r="I459" s="109" t="s">
        <v>48</v>
      </c>
      <c r="J459" s="109" t="s">
        <v>48</v>
      </c>
      <c r="K459" s="109" t="s">
        <v>48</v>
      </c>
      <c r="L459" s="109" t="s">
        <v>48</v>
      </c>
      <c r="M459" s="166" t="s">
        <v>1687</v>
      </c>
      <c r="N459" s="165" t="s">
        <v>48</v>
      </c>
      <c r="O459" s="109" t="s">
        <v>48</v>
      </c>
      <c r="P459" s="162" t="s">
        <v>48</v>
      </c>
      <c r="Q459" s="109" t="s">
        <v>48</v>
      </c>
      <c r="R459" s="109" t="s">
        <v>48</v>
      </c>
      <c r="S459" s="109" t="s">
        <v>48</v>
      </c>
      <c r="T459" s="109" t="s">
        <v>48</v>
      </c>
      <c r="U459" s="109" t="s">
        <v>48</v>
      </c>
      <c r="V459" s="166" t="s">
        <v>48</v>
      </c>
      <c r="W459" s="165" t="s">
        <v>1753</v>
      </c>
      <c r="X459" s="109" t="s">
        <v>1753</v>
      </c>
      <c r="Y459" s="109" t="s">
        <v>48</v>
      </c>
      <c r="Z459" s="109" t="s">
        <v>48</v>
      </c>
      <c r="AA459" s="109" t="s">
        <v>48</v>
      </c>
      <c r="AB459" s="109" t="s">
        <v>48</v>
      </c>
      <c r="AC459" s="109" t="s">
        <v>48</v>
      </c>
      <c r="AD459" s="166" t="s">
        <v>48</v>
      </c>
      <c r="AE459" s="165" t="s">
        <v>48</v>
      </c>
      <c r="AF459" s="109" t="s">
        <v>48</v>
      </c>
      <c r="AG459" s="109" t="s">
        <v>48</v>
      </c>
      <c r="AH459" s="109" t="s">
        <v>48</v>
      </c>
      <c r="AI459" s="109" t="s">
        <v>48</v>
      </c>
      <c r="AJ459" s="109" t="s">
        <v>48</v>
      </c>
      <c r="AK459" s="166" t="s">
        <v>48</v>
      </c>
      <c r="AL459" s="165" t="s">
        <v>1753</v>
      </c>
      <c r="AM459" s="109" t="s">
        <v>1753</v>
      </c>
      <c r="AN459" s="109" t="s">
        <v>48</v>
      </c>
      <c r="AO459" s="109" t="s">
        <v>48</v>
      </c>
      <c r="AP459" s="109" t="s">
        <v>48</v>
      </c>
      <c r="AQ459" s="109" t="s">
        <v>48</v>
      </c>
      <c r="AR459" s="109" t="s">
        <v>48</v>
      </c>
      <c r="AS459" s="166" t="s">
        <v>1687</v>
      </c>
      <c r="AT459" s="165" t="s">
        <v>48</v>
      </c>
      <c r="AU459" s="109" t="s">
        <v>48</v>
      </c>
      <c r="AV459" s="109" t="s">
        <v>48</v>
      </c>
      <c r="AW459" s="109" t="s">
        <v>48</v>
      </c>
      <c r="AX459" s="109" t="s">
        <v>48</v>
      </c>
      <c r="AY459" s="109" t="s">
        <v>48</v>
      </c>
      <c r="AZ459" s="166" t="s">
        <v>48</v>
      </c>
      <c r="BA459" s="162" t="s">
        <v>48</v>
      </c>
      <c r="BB459" s="109" t="s">
        <v>49</v>
      </c>
      <c r="BC459" s="109"/>
    </row>
    <row r="460" spans="1:55" ht="75" hidden="1" customHeight="1">
      <c r="A460" s="109" t="s">
        <v>40</v>
      </c>
      <c r="B460" s="117" t="s">
        <v>2020</v>
      </c>
      <c r="C460" s="109" t="s">
        <v>1712</v>
      </c>
      <c r="D460" s="109" t="s">
        <v>1761</v>
      </c>
      <c r="E460" s="161">
        <v>30000</v>
      </c>
      <c r="F460" s="165" t="s">
        <v>1761</v>
      </c>
      <c r="G460" s="109" t="s">
        <v>1761</v>
      </c>
      <c r="H460" s="109" t="s">
        <v>48</v>
      </c>
      <c r="I460" s="109" t="s">
        <v>48</v>
      </c>
      <c r="J460" s="109" t="s">
        <v>48</v>
      </c>
      <c r="K460" s="109" t="s">
        <v>48</v>
      </c>
      <c r="L460" s="109" t="s">
        <v>48</v>
      </c>
      <c r="M460" s="166" t="s">
        <v>1687</v>
      </c>
      <c r="N460" s="165" t="s">
        <v>48</v>
      </c>
      <c r="O460" s="109" t="s">
        <v>48</v>
      </c>
      <c r="P460" s="162" t="s">
        <v>48</v>
      </c>
      <c r="Q460" s="109" t="s">
        <v>48</v>
      </c>
      <c r="R460" s="109" t="s">
        <v>48</v>
      </c>
      <c r="S460" s="109" t="s">
        <v>48</v>
      </c>
      <c r="T460" s="109" t="s">
        <v>48</v>
      </c>
      <c r="U460" s="109" t="s">
        <v>48</v>
      </c>
      <c r="V460" s="166" t="s">
        <v>48</v>
      </c>
      <c r="W460" s="165" t="s">
        <v>1761</v>
      </c>
      <c r="X460" s="109" t="s">
        <v>1761</v>
      </c>
      <c r="Y460" s="109" t="s">
        <v>48</v>
      </c>
      <c r="Z460" s="109" t="s">
        <v>48</v>
      </c>
      <c r="AA460" s="109" t="s">
        <v>48</v>
      </c>
      <c r="AB460" s="109" t="s">
        <v>48</v>
      </c>
      <c r="AC460" s="109" t="s">
        <v>48</v>
      </c>
      <c r="AD460" s="166" t="s">
        <v>48</v>
      </c>
      <c r="AE460" s="165" t="s">
        <v>48</v>
      </c>
      <c r="AF460" s="109" t="s">
        <v>48</v>
      </c>
      <c r="AG460" s="109" t="s">
        <v>48</v>
      </c>
      <c r="AH460" s="109" t="s">
        <v>48</v>
      </c>
      <c r="AI460" s="109" t="s">
        <v>48</v>
      </c>
      <c r="AJ460" s="109" t="s">
        <v>48</v>
      </c>
      <c r="AK460" s="166" t="s">
        <v>48</v>
      </c>
      <c r="AL460" s="165" t="s">
        <v>1761</v>
      </c>
      <c r="AM460" s="109" t="s">
        <v>1761</v>
      </c>
      <c r="AN460" s="109" t="s">
        <v>48</v>
      </c>
      <c r="AO460" s="109" t="s">
        <v>48</v>
      </c>
      <c r="AP460" s="109" t="s">
        <v>48</v>
      </c>
      <c r="AQ460" s="109" t="s">
        <v>48</v>
      </c>
      <c r="AR460" s="109" t="s">
        <v>48</v>
      </c>
      <c r="AS460" s="166" t="s">
        <v>1687</v>
      </c>
      <c r="AT460" s="165" t="s">
        <v>48</v>
      </c>
      <c r="AU460" s="109" t="s">
        <v>48</v>
      </c>
      <c r="AV460" s="109" t="s">
        <v>48</v>
      </c>
      <c r="AW460" s="109" t="s">
        <v>48</v>
      </c>
      <c r="AX460" s="109" t="s">
        <v>48</v>
      </c>
      <c r="AY460" s="109" t="s">
        <v>48</v>
      </c>
      <c r="AZ460" s="166" t="s">
        <v>48</v>
      </c>
      <c r="BA460" s="162" t="s">
        <v>48</v>
      </c>
      <c r="BB460" s="109" t="s">
        <v>49</v>
      </c>
      <c r="BC460" s="109"/>
    </row>
    <row r="461" spans="1:55" ht="75" customHeight="1">
      <c r="A461" s="109" t="s">
        <v>2485</v>
      </c>
      <c r="B461" s="117" t="s">
        <v>2803</v>
      </c>
      <c r="C461" s="109" t="s">
        <v>1712</v>
      </c>
      <c r="D461" s="109" t="s">
        <v>2526</v>
      </c>
      <c r="E461" s="161">
        <v>30000</v>
      </c>
      <c r="F461" s="165" t="s">
        <v>1803</v>
      </c>
      <c r="G461" s="109" t="s">
        <v>1803</v>
      </c>
      <c r="H461" s="109" t="s">
        <v>1943</v>
      </c>
      <c r="I461" s="109" t="s">
        <v>1908</v>
      </c>
      <c r="J461" s="109" t="s">
        <v>1708</v>
      </c>
      <c r="K461" s="109" t="s">
        <v>1708</v>
      </c>
      <c r="L461" s="109" t="s">
        <v>1993</v>
      </c>
      <c r="M461" s="166" t="s">
        <v>935</v>
      </c>
      <c r="N461" s="165" t="s">
        <v>48</v>
      </c>
      <c r="O461" s="109" t="s">
        <v>48</v>
      </c>
      <c r="P461" s="162" t="s">
        <v>893</v>
      </c>
      <c r="Q461" s="109" t="s">
        <v>2053</v>
      </c>
      <c r="R461" s="109" t="s">
        <v>1943</v>
      </c>
      <c r="S461" s="109" t="s">
        <v>1908</v>
      </c>
      <c r="T461" s="109" t="s">
        <v>1708</v>
      </c>
      <c r="U461" s="109" t="s">
        <v>1993</v>
      </c>
      <c r="V461" s="166" t="s">
        <v>2054</v>
      </c>
      <c r="W461" s="165" t="s">
        <v>1803</v>
      </c>
      <c r="X461" s="109" t="s">
        <v>1803</v>
      </c>
      <c r="Y461" s="109" t="s">
        <v>48</v>
      </c>
      <c r="Z461" s="109" t="s">
        <v>48</v>
      </c>
      <c r="AA461" s="109" t="s">
        <v>48</v>
      </c>
      <c r="AB461" s="109" t="s">
        <v>48</v>
      </c>
      <c r="AC461" s="109" t="s">
        <v>48</v>
      </c>
      <c r="AD461" s="166" t="s">
        <v>48</v>
      </c>
      <c r="AE461" s="165" t="s">
        <v>48</v>
      </c>
      <c r="AF461" s="109" t="s">
        <v>48</v>
      </c>
      <c r="AG461" s="109" t="s">
        <v>48</v>
      </c>
      <c r="AH461" s="109" t="s">
        <v>48</v>
      </c>
      <c r="AI461" s="109" t="s">
        <v>48</v>
      </c>
      <c r="AJ461" s="109" t="s">
        <v>48</v>
      </c>
      <c r="AK461" s="166" t="s">
        <v>48</v>
      </c>
      <c r="AL461" s="165" t="s">
        <v>1803</v>
      </c>
      <c r="AM461" s="109" t="s">
        <v>1803</v>
      </c>
      <c r="AN461" s="109" t="s">
        <v>48</v>
      </c>
      <c r="AO461" s="109" t="s">
        <v>48</v>
      </c>
      <c r="AP461" s="109" t="s">
        <v>48</v>
      </c>
      <c r="AQ461" s="109" t="s">
        <v>48</v>
      </c>
      <c r="AR461" s="109" t="s">
        <v>48</v>
      </c>
      <c r="AS461" s="166" t="s">
        <v>1687</v>
      </c>
      <c r="AT461" s="165" t="s">
        <v>48</v>
      </c>
      <c r="AU461" s="109" t="s">
        <v>48</v>
      </c>
      <c r="AV461" s="109" t="s">
        <v>48</v>
      </c>
      <c r="AW461" s="109" t="s">
        <v>48</v>
      </c>
      <c r="AX461" s="109" t="s">
        <v>48</v>
      </c>
      <c r="AY461" s="109" t="s">
        <v>48</v>
      </c>
      <c r="AZ461" s="166" t="s">
        <v>48</v>
      </c>
      <c r="BA461" s="162" t="s">
        <v>2392</v>
      </c>
      <c r="BB461" s="109" t="s">
        <v>49</v>
      </c>
      <c r="BC461" s="109" t="s">
        <v>2394</v>
      </c>
    </row>
    <row r="462" spans="1:55" ht="75" hidden="1" customHeight="1">
      <c r="A462" s="109" t="s">
        <v>2344</v>
      </c>
      <c r="B462" s="117" t="s">
        <v>2021</v>
      </c>
      <c r="C462" s="109" t="s">
        <v>1712</v>
      </c>
      <c r="D462" s="109" t="s">
        <v>1775</v>
      </c>
      <c r="E462" s="161">
        <v>30000</v>
      </c>
      <c r="F462" s="165" t="s">
        <v>1775</v>
      </c>
      <c r="G462" s="109" t="s">
        <v>1775</v>
      </c>
      <c r="H462" s="109" t="s">
        <v>48</v>
      </c>
      <c r="I462" s="109" t="s">
        <v>48</v>
      </c>
      <c r="J462" s="109" t="s">
        <v>48</v>
      </c>
      <c r="K462" s="109" t="s">
        <v>48</v>
      </c>
      <c r="L462" s="109" t="s">
        <v>48</v>
      </c>
      <c r="M462" s="166" t="s">
        <v>1687</v>
      </c>
      <c r="N462" s="165" t="s">
        <v>48</v>
      </c>
      <c r="O462" s="109" t="s">
        <v>48</v>
      </c>
      <c r="P462" s="162" t="s">
        <v>48</v>
      </c>
      <c r="Q462" s="109" t="s">
        <v>48</v>
      </c>
      <c r="R462" s="109" t="s">
        <v>48</v>
      </c>
      <c r="S462" s="109" t="s">
        <v>48</v>
      </c>
      <c r="T462" s="109" t="s">
        <v>48</v>
      </c>
      <c r="U462" s="109" t="s">
        <v>48</v>
      </c>
      <c r="V462" s="166" t="s">
        <v>48</v>
      </c>
      <c r="W462" s="165" t="s">
        <v>1775</v>
      </c>
      <c r="X462" s="109" t="s">
        <v>1775</v>
      </c>
      <c r="Y462" s="109" t="s">
        <v>48</v>
      </c>
      <c r="Z462" s="109" t="s">
        <v>48</v>
      </c>
      <c r="AA462" s="109" t="s">
        <v>48</v>
      </c>
      <c r="AB462" s="109" t="s">
        <v>48</v>
      </c>
      <c r="AC462" s="109" t="s">
        <v>48</v>
      </c>
      <c r="AD462" s="166" t="s">
        <v>48</v>
      </c>
      <c r="AE462" s="165" t="s">
        <v>48</v>
      </c>
      <c r="AF462" s="109" t="s">
        <v>48</v>
      </c>
      <c r="AG462" s="109" t="s">
        <v>48</v>
      </c>
      <c r="AH462" s="109" t="s">
        <v>48</v>
      </c>
      <c r="AI462" s="109" t="s">
        <v>48</v>
      </c>
      <c r="AJ462" s="109" t="s">
        <v>48</v>
      </c>
      <c r="AK462" s="166" t="s">
        <v>48</v>
      </c>
      <c r="AL462" s="165" t="s">
        <v>1775</v>
      </c>
      <c r="AM462" s="109" t="s">
        <v>1775</v>
      </c>
      <c r="AN462" s="109" t="s">
        <v>48</v>
      </c>
      <c r="AO462" s="109" t="s">
        <v>48</v>
      </c>
      <c r="AP462" s="109" t="s">
        <v>48</v>
      </c>
      <c r="AQ462" s="109" t="s">
        <v>48</v>
      </c>
      <c r="AR462" s="109" t="s">
        <v>48</v>
      </c>
      <c r="AS462" s="166" t="s">
        <v>1687</v>
      </c>
      <c r="AT462" s="165" t="s">
        <v>48</v>
      </c>
      <c r="AU462" s="109" t="s">
        <v>48</v>
      </c>
      <c r="AV462" s="109" t="s">
        <v>48</v>
      </c>
      <c r="AW462" s="109" t="s">
        <v>48</v>
      </c>
      <c r="AX462" s="109" t="s">
        <v>48</v>
      </c>
      <c r="AY462" s="109" t="s">
        <v>48</v>
      </c>
      <c r="AZ462" s="166" t="s">
        <v>48</v>
      </c>
      <c r="BA462" s="162" t="s">
        <v>48</v>
      </c>
      <c r="BB462" s="109" t="s">
        <v>49</v>
      </c>
      <c r="BC462" s="109"/>
    </row>
    <row r="463" spans="1:55" ht="75" hidden="1" customHeight="1">
      <c r="A463" s="109" t="s">
        <v>2344</v>
      </c>
      <c r="B463" s="117" t="s">
        <v>2021</v>
      </c>
      <c r="C463" s="109" t="s">
        <v>1712</v>
      </c>
      <c r="D463" s="109" t="s">
        <v>1776</v>
      </c>
      <c r="E463" s="161">
        <v>30000</v>
      </c>
      <c r="F463" s="165" t="s">
        <v>1776</v>
      </c>
      <c r="G463" s="109" t="s">
        <v>1776</v>
      </c>
      <c r="H463" s="109" t="s">
        <v>48</v>
      </c>
      <c r="I463" s="109" t="s">
        <v>48</v>
      </c>
      <c r="J463" s="109" t="s">
        <v>48</v>
      </c>
      <c r="K463" s="109" t="s">
        <v>48</v>
      </c>
      <c r="L463" s="109" t="s">
        <v>48</v>
      </c>
      <c r="M463" s="166" t="s">
        <v>1687</v>
      </c>
      <c r="N463" s="165" t="s">
        <v>48</v>
      </c>
      <c r="O463" s="109" t="s">
        <v>48</v>
      </c>
      <c r="P463" s="162" t="s">
        <v>48</v>
      </c>
      <c r="Q463" s="109" t="s">
        <v>48</v>
      </c>
      <c r="R463" s="109" t="s">
        <v>48</v>
      </c>
      <c r="S463" s="109" t="s">
        <v>48</v>
      </c>
      <c r="T463" s="109" t="s">
        <v>48</v>
      </c>
      <c r="U463" s="109" t="s">
        <v>48</v>
      </c>
      <c r="V463" s="166" t="s">
        <v>48</v>
      </c>
      <c r="W463" s="165" t="s">
        <v>1776</v>
      </c>
      <c r="X463" s="109" t="s">
        <v>1776</v>
      </c>
      <c r="Y463" s="109" t="s">
        <v>48</v>
      </c>
      <c r="Z463" s="109" t="s">
        <v>48</v>
      </c>
      <c r="AA463" s="109" t="s">
        <v>48</v>
      </c>
      <c r="AB463" s="109" t="s">
        <v>48</v>
      </c>
      <c r="AC463" s="109" t="s">
        <v>48</v>
      </c>
      <c r="AD463" s="166" t="s">
        <v>48</v>
      </c>
      <c r="AE463" s="165" t="s">
        <v>48</v>
      </c>
      <c r="AF463" s="109" t="s">
        <v>48</v>
      </c>
      <c r="AG463" s="109" t="s">
        <v>48</v>
      </c>
      <c r="AH463" s="109" t="s">
        <v>48</v>
      </c>
      <c r="AI463" s="109" t="s">
        <v>48</v>
      </c>
      <c r="AJ463" s="109" t="s">
        <v>48</v>
      </c>
      <c r="AK463" s="166" t="s">
        <v>48</v>
      </c>
      <c r="AL463" s="165" t="s">
        <v>1776</v>
      </c>
      <c r="AM463" s="109" t="s">
        <v>1776</v>
      </c>
      <c r="AN463" s="109" t="s">
        <v>48</v>
      </c>
      <c r="AO463" s="109" t="s">
        <v>48</v>
      </c>
      <c r="AP463" s="109" t="s">
        <v>48</v>
      </c>
      <c r="AQ463" s="109" t="s">
        <v>48</v>
      </c>
      <c r="AR463" s="109" t="s">
        <v>48</v>
      </c>
      <c r="AS463" s="166" t="s">
        <v>1687</v>
      </c>
      <c r="AT463" s="165" t="s">
        <v>48</v>
      </c>
      <c r="AU463" s="109" t="s">
        <v>48</v>
      </c>
      <c r="AV463" s="109" t="s">
        <v>48</v>
      </c>
      <c r="AW463" s="109" t="s">
        <v>48</v>
      </c>
      <c r="AX463" s="109" t="s">
        <v>48</v>
      </c>
      <c r="AY463" s="109" t="s">
        <v>48</v>
      </c>
      <c r="AZ463" s="166" t="s">
        <v>48</v>
      </c>
      <c r="BA463" s="162" t="s">
        <v>48</v>
      </c>
      <c r="BB463" s="109" t="s">
        <v>49</v>
      </c>
      <c r="BC463" s="109"/>
    </row>
    <row r="464" spans="1:55" ht="75" hidden="1" customHeight="1">
      <c r="A464" s="109" t="s">
        <v>14</v>
      </c>
      <c r="B464" s="109" t="s">
        <v>14</v>
      </c>
      <c r="C464" s="109" t="s">
        <v>90</v>
      </c>
      <c r="D464" s="109" t="s">
        <v>91</v>
      </c>
      <c r="E464" s="161">
        <v>15000</v>
      </c>
      <c r="F464" s="165" t="s">
        <v>92</v>
      </c>
      <c r="G464" s="109" t="str">
        <f>F464</f>
        <v>11.1_M4_0818.a</v>
      </c>
      <c r="H464" s="109" t="s">
        <v>694</v>
      </c>
      <c r="I464" s="109" t="s">
        <v>1908</v>
      </c>
      <c r="J464" s="109" t="s">
        <v>698</v>
      </c>
      <c r="K464" s="109" t="s">
        <v>698</v>
      </c>
      <c r="L464" s="109" t="s">
        <v>695</v>
      </c>
      <c r="M464" s="166" t="s">
        <v>696</v>
      </c>
      <c r="N464" s="165" t="s">
        <v>48</v>
      </c>
      <c r="O464" s="109" t="s">
        <v>48</v>
      </c>
      <c r="P464" s="162" t="s">
        <v>48</v>
      </c>
      <c r="Q464" s="109" t="s">
        <v>48</v>
      </c>
      <c r="R464" s="109" t="s">
        <v>48</v>
      </c>
      <c r="S464" s="109" t="s">
        <v>48</v>
      </c>
      <c r="T464" s="109" t="s">
        <v>48</v>
      </c>
      <c r="U464" s="109" t="s">
        <v>48</v>
      </c>
      <c r="V464" s="166" t="s">
        <v>48</v>
      </c>
      <c r="W464" s="165" t="s">
        <v>91</v>
      </c>
      <c r="X464" s="109" t="s">
        <v>91</v>
      </c>
      <c r="Y464" s="109" t="s">
        <v>48</v>
      </c>
      <c r="Z464" s="109" t="s">
        <v>48</v>
      </c>
      <c r="AA464" s="109" t="s">
        <v>48</v>
      </c>
      <c r="AB464" s="109" t="s">
        <v>48</v>
      </c>
      <c r="AC464" s="109" t="s">
        <v>48</v>
      </c>
      <c r="AD464" s="166" t="s">
        <v>48</v>
      </c>
      <c r="AE464" s="165" t="s">
        <v>48</v>
      </c>
      <c r="AF464" s="109" t="s">
        <v>48</v>
      </c>
      <c r="AG464" s="109" t="s">
        <v>48</v>
      </c>
      <c r="AH464" s="109" t="s">
        <v>48</v>
      </c>
      <c r="AI464" s="109" t="s">
        <v>48</v>
      </c>
      <c r="AJ464" s="109" t="s">
        <v>48</v>
      </c>
      <c r="AK464" s="166" t="s">
        <v>48</v>
      </c>
      <c r="AL464" s="165" t="s">
        <v>91</v>
      </c>
      <c r="AM464" s="109" t="s">
        <v>91</v>
      </c>
      <c r="AN464" s="109" t="s">
        <v>48</v>
      </c>
      <c r="AO464" s="109" t="s">
        <v>48</v>
      </c>
      <c r="AP464" s="109" t="s">
        <v>48</v>
      </c>
      <c r="AQ464" s="109" t="s">
        <v>48</v>
      </c>
      <c r="AR464" s="109" t="s">
        <v>48</v>
      </c>
      <c r="AS464" s="166" t="s">
        <v>48</v>
      </c>
      <c r="AT464" s="165" t="s">
        <v>48</v>
      </c>
      <c r="AU464" s="109" t="s">
        <v>48</v>
      </c>
      <c r="AV464" s="109" t="s">
        <v>48</v>
      </c>
      <c r="AW464" s="109" t="s">
        <v>48</v>
      </c>
      <c r="AX464" s="109" t="s">
        <v>48</v>
      </c>
      <c r="AY464" s="109" t="s">
        <v>48</v>
      </c>
      <c r="AZ464" s="166" t="s">
        <v>48</v>
      </c>
      <c r="BA464" s="162" t="s">
        <v>274</v>
      </c>
      <c r="BB464" s="109" t="s">
        <v>49</v>
      </c>
      <c r="BC464" s="79"/>
    </row>
    <row r="465" spans="1:55" ht="75" hidden="1" customHeight="1">
      <c r="A465" s="109" t="s">
        <v>14</v>
      </c>
      <c r="B465" s="109" t="s">
        <v>14</v>
      </c>
      <c r="C465" s="109" t="s">
        <v>90</v>
      </c>
      <c r="D465" s="109" t="s">
        <v>93</v>
      </c>
      <c r="E465" s="161">
        <v>15000</v>
      </c>
      <c r="F465" s="165" t="s">
        <v>92</v>
      </c>
      <c r="G465" s="109" t="str">
        <f>F465</f>
        <v>11.1_M4_0818.a</v>
      </c>
      <c r="H465" s="109" t="s">
        <v>694</v>
      </c>
      <c r="I465" s="109" t="s">
        <v>1908</v>
      </c>
      <c r="J465" s="109" t="s">
        <v>698</v>
      </c>
      <c r="K465" s="109" t="s">
        <v>698</v>
      </c>
      <c r="L465" s="109" t="s">
        <v>695</v>
      </c>
      <c r="M465" s="166" t="s">
        <v>696</v>
      </c>
      <c r="N465" s="165" t="s">
        <v>2775</v>
      </c>
      <c r="O465" s="109" t="s">
        <v>2776</v>
      </c>
      <c r="P465" s="165" t="s">
        <v>2775</v>
      </c>
      <c r="Q465" s="109" t="s">
        <v>2776</v>
      </c>
      <c r="R465" s="109" t="s">
        <v>2777</v>
      </c>
      <c r="S465" s="109" t="s">
        <v>1908</v>
      </c>
      <c r="T465" s="109" t="s">
        <v>48</v>
      </c>
      <c r="U465" s="109" t="s">
        <v>695</v>
      </c>
      <c r="V465" s="166" t="s">
        <v>2772</v>
      </c>
      <c r="W465" s="165" t="s">
        <v>93</v>
      </c>
      <c r="X465" s="109" t="s">
        <v>93</v>
      </c>
      <c r="Y465" s="109" t="s">
        <v>48</v>
      </c>
      <c r="Z465" s="109" t="s">
        <v>48</v>
      </c>
      <c r="AA465" s="109" t="s">
        <v>48</v>
      </c>
      <c r="AB465" s="109" t="s">
        <v>48</v>
      </c>
      <c r="AC465" s="109" t="s">
        <v>48</v>
      </c>
      <c r="AD465" s="166" t="s">
        <v>48</v>
      </c>
      <c r="AE465" s="165" t="s">
        <v>48</v>
      </c>
      <c r="AF465" s="109" t="s">
        <v>48</v>
      </c>
      <c r="AG465" s="109" t="s">
        <v>48</v>
      </c>
      <c r="AH465" s="109" t="s">
        <v>48</v>
      </c>
      <c r="AI465" s="109" t="s">
        <v>48</v>
      </c>
      <c r="AJ465" s="109" t="s">
        <v>48</v>
      </c>
      <c r="AK465" s="166" t="s">
        <v>48</v>
      </c>
      <c r="AL465" s="165" t="s">
        <v>93</v>
      </c>
      <c r="AM465" s="109" t="s">
        <v>93</v>
      </c>
      <c r="AN465" s="109" t="s">
        <v>48</v>
      </c>
      <c r="AO465" s="109" t="s">
        <v>48</v>
      </c>
      <c r="AP465" s="109" t="s">
        <v>48</v>
      </c>
      <c r="AQ465" s="109" t="s">
        <v>48</v>
      </c>
      <c r="AR465" s="109" t="s">
        <v>48</v>
      </c>
      <c r="AS465" s="166" t="s">
        <v>48</v>
      </c>
      <c r="AT465" s="165" t="s">
        <v>48</v>
      </c>
      <c r="AU465" s="109" t="s">
        <v>48</v>
      </c>
      <c r="AV465" s="109" t="s">
        <v>48</v>
      </c>
      <c r="AW465" s="109" t="s">
        <v>48</v>
      </c>
      <c r="AX465" s="109" t="s">
        <v>48</v>
      </c>
      <c r="AY465" s="109" t="s">
        <v>48</v>
      </c>
      <c r="AZ465" s="166" t="s">
        <v>48</v>
      </c>
      <c r="BA465" s="162" t="s">
        <v>274</v>
      </c>
      <c r="BB465" s="109" t="s">
        <v>49</v>
      </c>
      <c r="BC465" s="79"/>
    </row>
    <row r="466" spans="1:55" ht="75" hidden="1" customHeight="1">
      <c r="A466" s="109" t="s">
        <v>14</v>
      </c>
      <c r="B466" s="109" t="s">
        <v>14</v>
      </c>
      <c r="C466" s="109" t="s">
        <v>90</v>
      </c>
      <c r="D466" s="109" t="s">
        <v>92</v>
      </c>
      <c r="E466" s="161">
        <v>15000</v>
      </c>
      <c r="F466" s="165" t="s">
        <v>92</v>
      </c>
      <c r="G466" s="109" t="str">
        <f>F466</f>
        <v>11.1_M4_0818.a</v>
      </c>
      <c r="H466" s="109" t="s">
        <v>694</v>
      </c>
      <c r="I466" s="109" t="s">
        <v>1908</v>
      </c>
      <c r="J466" s="109" t="s">
        <v>698</v>
      </c>
      <c r="K466" s="109" t="s">
        <v>698</v>
      </c>
      <c r="L466" s="109" t="s">
        <v>695</v>
      </c>
      <c r="M466" s="166" t="s">
        <v>696</v>
      </c>
      <c r="N466" s="219" t="s">
        <v>2775</v>
      </c>
      <c r="O466" s="220" t="s">
        <v>2776</v>
      </c>
      <c r="P466" s="219" t="s">
        <v>2775</v>
      </c>
      <c r="Q466" s="109" t="s">
        <v>2776</v>
      </c>
      <c r="R466" s="109" t="s">
        <v>2777</v>
      </c>
      <c r="S466" s="109" t="s">
        <v>1908</v>
      </c>
      <c r="T466" s="109" t="s">
        <v>48</v>
      </c>
      <c r="U466" s="109" t="s">
        <v>695</v>
      </c>
      <c r="V466" s="166" t="s">
        <v>2772</v>
      </c>
      <c r="W466" s="165" t="s">
        <v>92</v>
      </c>
      <c r="X466" s="109" t="str">
        <f>W466</f>
        <v>11.1_M4_0818.a</v>
      </c>
      <c r="Y466" s="109" t="s">
        <v>48</v>
      </c>
      <c r="Z466" s="109" t="s">
        <v>48</v>
      </c>
      <c r="AA466" s="109" t="s">
        <v>48</v>
      </c>
      <c r="AB466" s="109" t="s">
        <v>48</v>
      </c>
      <c r="AC466" s="109" t="s">
        <v>48</v>
      </c>
      <c r="AD466" s="166" t="s">
        <v>48</v>
      </c>
      <c r="AE466" s="165" t="s">
        <v>48</v>
      </c>
      <c r="AF466" s="109" t="s">
        <v>48</v>
      </c>
      <c r="AG466" s="109" t="s">
        <v>48</v>
      </c>
      <c r="AH466" s="109" t="s">
        <v>48</v>
      </c>
      <c r="AI466" s="109" t="s">
        <v>48</v>
      </c>
      <c r="AJ466" s="109" t="s">
        <v>48</v>
      </c>
      <c r="AK466" s="166" t="s">
        <v>48</v>
      </c>
      <c r="AL466" s="165" t="s">
        <v>92</v>
      </c>
      <c r="AM466" s="109" t="str">
        <f>AL466</f>
        <v>11.1_M4_0818.a</v>
      </c>
      <c r="AN466" s="109" t="s">
        <v>48</v>
      </c>
      <c r="AO466" s="109" t="s">
        <v>48</v>
      </c>
      <c r="AP466" s="109" t="s">
        <v>48</v>
      </c>
      <c r="AQ466" s="109" t="s">
        <v>48</v>
      </c>
      <c r="AR466" s="109" t="s">
        <v>48</v>
      </c>
      <c r="AS466" s="166" t="s">
        <v>48</v>
      </c>
      <c r="AT466" s="165" t="s">
        <v>48</v>
      </c>
      <c r="AU466" s="109" t="s">
        <v>48</v>
      </c>
      <c r="AV466" s="109" t="s">
        <v>48</v>
      </c>
      <c r="AW466" s="109" t="s">
        <v>48</v>
      </c>
      <c r="AX466" s="109" t="s">
        <v>48</v>
      </c>
      <c r="AY466" s="109" t="s">
        <v>48</v>
      </c>
      <c r="AZ466" s="166" t="s">
        <v>48</v>
      </c>
      <c r="BA466" s="162" t="s">
        <v>274</v>
      </c>
      <c r="BB466" s="109" t="s">
        <v>49</v>
      </c>
      <c r="BC466" s="79"/>
    </row>
    <row r="467" spans="1:55" ht="75" hidden="1" customHeight="1">
      <c r="A467" s="109" t="s">
        <v>457</v>
      </c>
      <c r="B467" s="109" t="s">
        <v>457</v>
      </c>
      <c r="C467" s="109" t="s">
        <v>77</v>
      </c>
      <c r="D467" s="109" t="s">
        <v>78</v>
      </c>
      <c r="E467" s="161">
        <v>30000</v>
      </c>
      <c r="F467" s="165" t="s">
        <v>78</v>
      </c>
      <c r="G467" s="109" t="str">
        <f>F467</f>
        <v>G3.0_M4B_0513.a</v>
      </c>
      <c r="H467" s="109" t="s">
        <v>755</v>
      </c>
      <c r="I467" s="109" t="s">
        <v>1908</v>
      </c>
      <c r="J467" s="109" t="s">
        <v>751</v>
      </c>
      <c r="K467" s="109" t="s">
        <v>751</v>
      </c>
      <c r="L467" s="109" t="s">
        <v>756</v>
      </c>
      <c r="M467" s="166" t="s">
        <v>48</v>
      </c>
      <c r="N467" s="162" t="s">
        <v>48</v>
      </c>
      <c r="O467" s="109" t="s">
        <v>48</v>
      </c>
      <c r="P467" s="162" t="s">
        <v>757</v>
      </c>
      <c r="Q467" s="109" t="s">
        <v>48</v>
      </c>
      <c r="R467" s="109" t="s">
        <v>48</v>
      </c>
      <c r="S467" s="109" t="s">
        <v>48</v>
      </c>
      <c r="T467" s="109" t="s">
        <v>48</v>
      </c>
      <c r="U467" s="109" t="s">
        <v>48</v>
      </c>
      <c r="V467" s="166" t="s">
        <v>48</v>
      </c>
      <c r="W467" s="165" t="s">
        <v>78</v>
      </c>
      <c r="X467" s="109" t="str">
        <f>W467</f>
        <v>G3.0_M4B_0513.a</v>
      </c>
      <c r="Y467" s="109" t="s">
        <v>48</v>
      </c>
      <c r="Z467" s="109" t="s">
        <v>48</v>
      </c>
      <c r="AA467" s="109" t="s">
        <v>48</v>
      </c>
      <c r="AB467" s="109" t="s">
        <v>48</v>
      </c>
      <c r="AC467" s="109" t="s">
        <v>48</v>
      </c>
      <c r="AD467" s="166" t="s">
        <v>48</v>
      </c>
      <c r="AE467" s="165" t="s">
        <v>48</v>
      </c>
      <c r="AF467" s="109" t="s">
        <v>48</v>
      </c>
      <c r="AG467" s="109" t="s">
        <v>48</v>
      </c>
      <c r="AH467" s="109" t="s">
        <v>48</v>
      </c>
      <c r="AI467" s="109" t="s">
        <v>48</v>
      </c>
      <c r="AJ467" s="109" t="s">
        <v>48</v>
      </c>
      <c r="AK467" s="166" t="s">
        <v>48</v>
      </c>
      <c r="AL467" s="165" t="s">
        <v>78</v>
      </c>
      <c r="AM467" s="109" t="str">
        <f>AL467</f>
        <v>G3.0_M4B_0513.a</v>
      </c>
      <c r="AN467" s="109" t="s">
        <v>48</v>
      </c>
      <c r="AO467" s="109" t="s">
        <v>48</v>
      </c>
      <c r="AP467" s="109" t="s">
        <v>48</v>
      </c>
      <c r="AQ467" s="109" t="s">
        <v>48</v>
      </c>
      <c r="AR467" s="109" t="s">
        <v>48</v>
      </c>
      <c r="AS467" s="166" t="s">
        <v>48</v>
      </c>
      <c r="AT467" s="165" t="s">
        <v>48</v>
      </c>
      <c r="AU467" s="109" t="s">
        <v>48</v>
      </c>
      <c r="AV467" s="109" t="s">
        <v>48</v>
      </c>
      <c r="AW467" s="109" t="s">
        <v>48</v>
      </c>
      <c r="AX467" s="109" t="s">
        <v>48</v>
      </c>
      <c r="AY467" s="109" t="s">
        <v>48</v>
      </c>
      <c r="AZ467" s="166" t="s">
        <v>48</v>
      </c>
      <c r="BA467" s="162" t="s">
        <v>749</v>
      </c>
      <c r="BB467" s="109" t="s">
        <v>49</v>
      </c>
      <c r="BC467" s="79"/>
    </row>
    <row r="468" spans="1:55" ht="75" hidden="1" customHeight="1">
      <c r="A468" s="109" t="s">
        <v>456</v>
      </c>
      <c r="B468" s="109" t="s">
        <v>456</v>
      </c>
      <c r="C468" s="109" t="s">
        <v>74</v>
      </c>
      <c r="D468" s="109" t="s">
        <v>75</v>
      </c>
      <c r="E468" s="161">
        <v>15000</v>
      </c>
      <c r="F468" s="165" t="s">
        <v>75</v>
      </c>
      <c r="G468" s="109" t="str">
        <f>F468</f>
        <v>E2.0_M4_0502.b</v>
      </c>
      <c r="H468" s="109" t="s">
        <v>748</v>
      </c>
      <c r="I468" s="109" t="s">
        <v>1908</v>
      </c>
      <c r="J468" s="109" t="s">
        <v>751</v>
      </c>
      <c r="K468" s="109" t="s">
        <v>751</v>
      </c>
      <c r="L468" s="109" t="s">
        <v>752</v>
      </c>
      <c r="M468" s="166" t="s">
        <v>757</v>
      </c>
      <c r="N468" s="162" t="s">
        <v>48</v>
      </c>
      <c r="O468" s="109" t="s">
        <v>48</v>
      </c>
      <c r="P468" s="162" t="s">
        <v>48</v>
      </c>
      <c r="Q468" s="109" t="s">
        <v>48</v>
      </c>
      <c r="R468" s="109" t="s">
        <v>48</v>
      </c>
      <c r="S468" s="109" t="s">
        <v>48</v>
      </c>
      <c r="T468" s="109" t="s">
        <v>48</v>
      </c>
      <c r="U468" s="109" t="s">
        <v>48</v>
      </c>
      <c r="V468" s="166" t="s">
        <v>48</v>
      </c>
      <c r="W468" s="165" t="s">
        <v>75</v>
      </c>
      <c r="X468" s="109" t="str">
        <f>W468</f>
        <v>E2.0_M4_0502.b</v>
      </c>
      <c r="Y468" s="109" t="s">
        <v>48</v>
      </c>
      <c r="Z468" s="109" t="s">
        <v>48</v>
      </c>
      <c r="AA468" s="109" t="s">
        <v>48</v>
      </c>
      <c r="AB468" s="109" t="s">
        <v>48</v>
      </c>
      <c r="AC468" s="109" t="s">
        <v>48</v>
      </c>
      <c r="AD468" s="166" t="s">
        <v>48</v>
      </c>
      <c r="AE468" s="165" t="s">
        <v>48</v>
      </c>
      <c r="AF468" s="109" t="s">
        <v>48</v>
      </c>
      <c r="AG468" s="109" t="s">
        <v>48</v>
      </c>
      <c r="AH468" s="109" t="s">
        <v>48</v>
      </c>
      <c r="AI468" s="109" t="s">
        <v>48</v>
      </c>
      <c r="AJ468" s="109" t="s">
        <v>48</v>
      </c>
      <c r="AK468" s="166" t="s">
        <v>48</v>
      </c>
      <c r="AL468" s="165" t="s">
        <v>75</v>
      </c>
      <c r="AM468" s="109" t="str">
        <f>AL468</f>
        <v>E2.0_M4_0502.b</v>
      </c>
      <c r="AN468" s="109" t="s">
        <v>48</v>
      </c>
      <c r="AO468" s="109" t="s">
        <v>48</v>
      </c>
      <c r="AP468" s="109" t="s">
        <v>48</v>
      </c>
      <c r="AQ468" s="109" t="s">
        <v>48</v>
      </c>
      <c r="AR468" s="109" t="s">
        <v>48</v>
      </c>
      <c r="AS468" s="166" t="s">
        <v>48</v>
      </c>
      <c r="AT468" s="165" t="s">
        <v>48</v>
      </c>
      <c r="AU468" s="109" t="s">
        <v>48</v>
      </c>
      <c r="AV468" s="109" t="s">
        <v>48</v>
      </c>
      <c r="AW468" s="109" t="s">
        <v>48</v>
      </c>
      <c r="AX468" s="109" t="s">
        <v>48</v>
      </c>
      <c r="AY468" s="109" t="s">
        <v>48</v>
      </c>
      <c r="AZ468" s="166" t="s">
        <v>48</v>
      </c>
      <c r="BA468" s="162" t="s">
        <v>749</v>
      </c>
      <c r="BB468" s="109" t="s">
        <v>49</v>
      </c>
      <c r="BC468" s="79"/>
    </row>
    <row r="469" spans="1:55" ht="75" hidden="1" customHeight="1">
      <c r="A469" s="109" t="s">
        <v>38</v>
      </c>
      <c r="B469" s="109" t="s">
        <v>2032</v>
      </c>
      <c r="C469" s="109" t="s">
        <v>161</v>
      </c>
      <c r="D469" s="109" t="s">
        <v>230</v>
      </c>
      <c r="E469" s="161">
        <v>15000</v>
      </c>
      <c r="F469" s="165" t="s">
        <v>230</v>
      </c>
      <c r="G469" s="109" t="s">
        <v>230</v>
      </c>
      <c r="H469" s="109" t="s">
        <v>48</v>
      </c>
      <c r="I469" s="109" t="s">
        <v>48</v>
      </c>
      <c r="J469" s="109" t="s">
        <v>48</v>
      </c>
      <c r="K469" s="109" t="s">
        <v>48</v>
      </c>
      <c r="L469" s="109" t="s">
        <v>48</v>
      </c>
      <c r="M469" s="166" t="s">
        <v>48</v>
      </c>
      <c r="N469" s="162" t="s">
        <v>48</v>
      </c>
      <c r="O469" s="109" t="s">
        <v>48</v>
      </c>
      <c r="P469" s="162" t="s">
        <v>76</v>
      </c>
      <c r="Q469" s="109" t="s">
        <v>163</v>
      </c>
      <c r="R469" s="109" t="s">
        <v>476</v>
      </c>
      <c r="S469" s="109" t="s">
        <v>48</v>
      </c>
      <c r="T469" s="109" t="s">
        <v>580</v>
      </c>
      <c r="U469" s="109" t="s">
        <v>477</v>
      </c>
      <c r="V469" s="166" t="s">
        <v>478</v>
      </c>
      <c r="W469" s="165" t="s">
        <v>1011</v>
      </c>
      <c r="X469" s="109" t="s">
        <v>230</v>
      </c>
      <c r="Y469" s="109" t="s">
        <v>2043</v>
      </c>
      <c r="Z469" s="109" t="s">
        <v>1908</v>
      </c>
      <c r="AA469" s="109" t="s">
        <v>1034</v>
      </c>
      <c r="AB469" s="109" t="s">
        <v>1034</v>
      </c>
      <c r="AC469" s="109" t="s">
        <v>2044</v>
      </c>
      <c r="AD469" s="166" t="s">
        <v>1038</v>
      </c>
      <c r="AE469" s="165" t="s">
        <v>48</v>
      </c>
      <c r="AF469" s="109" t="s">
        <v>48</v>
      </c>
      <c r="AG469" s="109" t="s">
        <v>48</v>
      </c>
      <c r="AH469" s="109" t="s">
        <v>48</v>
      </c>
      <c r="AI469" s="109" t="s">
        <v>48</v>
      </c>
      <c r="AJ469" s="109" t="s">
        <v>48</v>
      </c>
      <c r="AK469" s="166" t="s">
        <v>48</v>
      </c>
      <c r="AL469" s="165" t="s">
        <v>230</v>
      </c>
      <c r="AM469" s="109" t="s">
        <v>230</v>
      </c>
      <c r="AN469" s="109" t="s">
        <v>48</v>
      </c>
      <c r="AO469" s="109" t="s">
        <v>48</v>
      </c>
      <c r="AP469" s="109" t="s">
        <v>48</v>
      </c>
      <c r="AQ469" s="109" t="s">
        <v>48</v>
      </c>
      <c r="AR469" s="109" t="s">
        <v>48</v>
      </c>
      <c r="AS469" s="166" t="s">
        <v>48</v>
      </c>
      <c r="AT469" s="165" t="s">
        <v>48</v>
      </c>
      <c r="AU469" s="109" t="s">
        <v>48</v>
      </c>
      <c r="AV469" s="109" t="s">
        <v>48</v>
      </c>
      <c r="AW469" s="109" t="s">
        <v>48</v>
      </c>
      <c r="AX469" s="109" t="s">
        <v>48</v>
      </c>
      <c r="AY469" s="109" t="s">
        <v>48</v>
      </c>
      <c r="AZ469" s="166" t="s">
        <v>48</v>
      </c>
      <c r="BA469" s="162" t="s">
        <v>1043</v>
      </c>
      <c r="BB469" s="109" t="s">
        <v>49</v>
      </c>
      <c r="BC469" s="79"/>
    </row>
    <row r="470" spans="1:55" ht="75" hidden="1" customHeight="1">
      <c r="A470" s="109" t="s">
        <v>2340</v>
      </c>
      <c r="B470" s="109" t="s">
        <v>2022</v>
      </c>
      <c r="C470" s="109" t="s">
        <v>161</v>
      </c>
      <c r="D470" s="109" t="s">
        <v>230</v>
      </c>
      <c r="E470" s="161">
        <v>30000</v>
      </c>
      <c r="F470" s="165" t="s">
        <v>173</v>
      </c>
      <c r="G470" s="109" t="s">
        <v>173</v>
      </c>
      <c r="H470" s="109" t="s">
        <v>2034</v>
      </c>
      <c r="I470" s="109" t="s">
        <v>1908</v>
      </c>
      <c r="J470" s="109" t="s">
        <v>628</v>
      </c>
      <c r="K470" s="109" t="s">
        <v>628</v>
      </c>
      <c r="L470" s="109" t="s">
        <v>2035</v>
      </c>
      <c r="M470" s="166" t="s">
        <v>1066</v>
      </c>
      <c r="N470" s="162" t="s">
        <v>48</v>
      </c>
      <c r="O470" s="109" t="s">
        <v>48</v>
      </c>
      <c r="P470" s="162" t="s">
        <v>76</v>
      </c>
      <c r="Q470" s="109" t="s">
        <v>163</v>
      </c>
      <c r="R470" s="109" t="s">
        <v>476</v>
      </c>
      <c r="S470" s="109" t="s">
        <v>48</v>
      </c>
      <c r="T470" s="109" t="s">
        <v>580</v>
      </c>
      <c r="U470" s="109" t="s">
        <v>477</v>
      </c>
      <c r="V470" s="166" t="s">
        <v>478</v>
      </c>
      <c r="W470" s="165" t="s">
        <v>1011</v>
      </c>
      <c r="X470" s="109" t="s">
        <v>230</v>
      </c>
      <c r="Y470" s="109" t="s">
        <v>2033</v>
      </c>
      <c r="Z470" s="109" t="s">
        <v>1908</v>
      </c>
      <c r="AA470" s="109" t="s">
        <v>1921</v>
      </c>
      <c r="AB470" s="109" t="s">
        <v>48</v>
      </c>
      <c r="AC470" s="109" t="s">
        <v>2038</v>
      </c>
      <c r="AD470" s="166" t="s">
        <v>1040</v>
      </c>
      <c r="AE470" s="165" t="s">
        <v>48</v>
      </c>
      <c r="AF470" s="109" t="s">
        <v>48</v>
      </c>
      <c r="AG470" s="109" t="s">
        <v>48</v>
      </c>
      <c r="AH470" s="109" t="s">
        <v>48</v>
      </c>
      <c r="AI470" s="109" t="s">
        <v>48</v>
      </c>
      <c r="AJ470" s="109" t="s">
        <v>48</v>
      </c>
      <c r="AK470" s="166" t="s">
        <v>48</v>
      </c>
      <c r="AL470" s="165" t="s">
        <v>230</v>
      </c>
      <c r="AM470" s="109" t="s">
        <v>230</v>
      </c>
      <c r="AN470" s="109" t="s">
        <v>48</v>
      </c>
      <c r="AO470" s="109" t="s">
        <v>48</v>
      </c>
      <c r="AP470" s="109" t="s">
        <v>48</v>
      </c>
      <c r="AQ470" s="109" t="s">
        <v>48</v>
      </c>
      <c r="AR470" s="109" t="s">
        <v>48</v>
      </c>
      <c r="AS470" s="166" t="s">
        <v>48</v>
      </c>
      <c r="AT470" s="165" t="s">
        <v>48</v>
      </c>
      <c r="AU470" s="109" t="s">
        <v>48</v>
      </c>
      <c r="AV470" s="109" t="s">
        <v>48</v>
      </c>
      <c r="AW470" s="109" t="s">
        <v>48</v>
      </c>
      <c r="AX470" s="109" t="s">
        <v>48</v>
      </c>
      <c r="AY470" s="109" t="s">
        <v>48</v>
      </c>
      <c r="AZ470" s="166" t="s">
        <v>48</v>
      </c>
      <c r="BA470" s="162" t="s">
        <v>1043</v>
      </c>
      <c r="BB470" s="109" t="s">
        <v>49</v>
      </c>
      <c r="BC470" s="79"/>
    </row>
    <row r="471" spans="1:55" ht="75" hidden="1" customHeight="1">
      <c r="A471" s="109" t="s">
        <v>2340</v>
      </c>
      <c r="B471" s="109" t="s">
        <v>2022</v>
      </c>
      <c r="C471" s="109" t="s">
        <v>161</v>
      </c>
      <c r="D471" s="109" t="s">
        <v>230</v>
      </c>
      <c r="E471" s="161">
        <v>30000</v>
      </c>
      <c r="F471" s="165" t="s">
        <v>173</v>
      </c>
      <c r="G471" s="109" t="s">
        <v>173</v>
      </c>
      <c r="H471" s="109" t="s">
        <v>2037</v>
      </c>
      <c r="I471" s="109" t="s">
        <v>2039</v>
      </c>
      <c r="J471" s="109" t="s">
        <v>628</v>
      </c>
      <c r="K471" s="109" t="s">
        <v>628</v>
      </c>
      <c r="L471" s="109" t="s">
        <v>2036</v>
      </c>
      <c r="M471" s="166" t="s">
        <v>1066</v>
      </c>
      <c r="N471" s="162" t="s">
        <v>48</v>
      </c>
      <c r="O471" s="109" t="s">
        <v>48</v>
      </c>
      <c r="P471" s="162" t="s">
        <v>76</v>
      </c>
      <c r="Q471" s="109" t="s">
        <v>163</v>
      </c>
      <c r="R471" s="109" t="s">
        <v>476</v>
      </c>
      <c r="S471" s="109" t="s">
        <v>48</v>
      </c>
      <c r="T471" s="109" t="s">
        <v>580</v>
      </c>
      <c r="U471" s="109" t="s">
        <v>477</v>
      </c>
      <c r="V471" s="166" t="s">
        <v>478</v>
      </c>
      <c r="W471" s="165" t="s">
        <v>1011</v>
      </c>
      <c r="X471" s="109" t="s">
        <v>230</v>
      </c>
      <c r="Y471" s="109" t="s">
        <v>2033</v>
      </c>
      <c r="Z471" s="109" t="s">
        <v>1908</v>
      </c>
      <c r="AA471" s="109" t="s">
        <v>1921</v>
      </c>
      <c r="AB471" s="109" t="s">
        <v>48</v>
      </c>
      <c r="AC471" s="109" t="s">
        <v>2038</v>
      </c>
      <c r="AD471" s="166" t="s">
        <v>1040</v>
      </c>
      <c r="AE471" s="165" t="s">
        <v>48</v>
      </c>
      <c r="AF471" s="109" t="s">
        <v>48</v>
      </c>
      <c r="AG471" s="109" t="s">
        <v>48</v>
      </c>
      <c r="AH471" s="109" t="s">
        <v>48</v>
      </c>
      <c r="AI471" s="109" t="s">
        <v>48</v>
      </c>
      <c r="AJ471" s="109" t="s">
        <v>48</v>
      </c>
      <c r="AK471" s="166" t="s">
        <v>48</v>
      </c>
      <c r="AL471" s="165" t="s">
        <v>230</v>
      </c>
      <c r="AM471" s="109" t="s">
        <v>230</v>
      </c>
      <c r="AN471" s="109" t="s">
        <v>48</v>
      </c>
      <c r="AO471" s="109" t="s">
        <v>48</v>
      </c>
      <c r="AP471" s="109" t="s">
        <v>48</v>
      </c>
      <c r="AQ471" s="109" t="s">
        <v>48</v>
      </c>
      <c r="AR471" s="109" t="s">
        <v>48</v>
      </c>
      <c r="AS471" s="166" t="s">
        <v>48</v>
      </c>
      <c r="AT471" s="165" t="s">
        <v>48</v>
      </c>
      <c r="AU471" s="109" t="s">
        <v>48</v>
      </c>
      <c r="AV471" s="109" t="s">
        <v>48</v>
      </c>
      <c r="AW471" s="109" t="s">
        <v>48</v>
      </c>
      <c r="AX471" s="109" t="s">
        <v>48</v>
      </c>
      <c r="AY471" s="109" t="s">
        <v>48</v>
      </c>
      <c r="AZ471" s="166" t="s">
        <v>48</v>
      </c>
      <c r="BA471" s="162" t="s">
        <v>1043</v>
      </c>
      <c r="BB471" s="109" t="s">
        <v>49</v>
      </c>
      <c r="BC471" s="79"/>
    </row>
    <row r="472" spans="1:55" ht="75" hidden="1" customHeight="1">
      <c r="A472" s="109" t="s">
        <v>2339</v>
      </c>
      <c r="B472" s="109" t="s">
        <v>2031</v>
      </c>
      <c r="C472" s="109" t="s">
        <v>161</v>
      </c>
      <c r="D472" s="109" t="s">
        <v>230</v>
      </c>
      <c r="E472" s="161">
        <v>15000</v>
      </c>
      <c r="F472" s="165" t="s">
        <v>230</v>
      </c>
      <c r="G472" s="109" t="s">
        <v>230</v>
      </c>
      <c r="H472" s="109" t="s">
        <v>48</v>
      </c>
      <c r="I472" s="109" t="s">
        <v>48</v>
      </c>
      <c r="J472" s="109" t="s">
        <v>48</v>
      </c>
      <c r="K472" s="109" t="s">
        <v>48</v>
      </c>
      <c r="L472" s="109" t="s">
        <v>48</v>
      </c>
      <c r="M472" s="166" t="s">
        <v>48</v>
      </c>
      <c r="N472" s="162" t="s">
        <v>48</v>
      </c>
      <c r="O472" s="109" t="s">
        <v>48</v>
      </c>
      <c r="P472" s="162" t="s">
        <v>76</v>
      </c>
      <c r="Q472" s="109" t="s">
        <v>163</v>
      </c>
      <c r="R472" s="109" t="s">
        <v>476</v>
      </c>
      <c r="S472" s="109" t="s">
        <v>48</v>
      </c>
      <c r="T472" s="109" t="s">
        <v>580</v>
      </c>
      <c r="U472" s="109" t="s">
        <v>477</v>
      </c>
      <c r="V472" s="166" t="s">
        <v>478</v>
      </c>
      <c r="W472" s="165" t="s">
        <v>1011</v>
      </c>
      <c r="X472" s="109" t="s">
        <v>230</v>
      </c>
      <c r="Y472" s="109" t="s">
        <v>2043</v>
      </c>
      <c r="Z472" s="109" t="s">
        <v>1908</v>
      </c>
      <c r="AA472" s="109" t="s">
        <v>1034</v>
      </c>
      <c r="AB472" s="109" t="s">
        <v>1034</v>
      </c>
      <c r="AC472" s="109" t="s">
        <v>2044</v>
      </c>
      <c r="AD472" s="166" t="s">
        <v>1038</v>
      </c>
      <c r="AE472" s="165" t="s">
        <v>48</v>
      </c>
      <c r="AF472" s="109" t="s">
        <v>48</v>
      </c>
      <c r="AG472" s="109" t="s">
        <v>48</v>
      </c>
      <c r="AH472" s="109" t="s">
        <v>48</v>
      </c>
      <c r="AI472" s="109" t="s">
        <v>48</v>
      </c>
      <c r="AJ472" s="109" t="s">
        <v>48</v>
      </c>
      <c r="AK472" s="166" t="s">
        <v>48</v>
      </c>
      <c r="AL472" s="165" t="s">
        <v>230</v>
      </c>
      <c r="AM472" s="109" t="s">
        <v>230</v>
      </c>
      <c r="AN472" s="109" t="s">
        <v>48</v>
      </c>
      <c r="AO472" s="109" t="s">
        <v>48</v>
      </c>
      <c r="AP472" s="109" t="s">
        <v>48</v>
      </c>
      <c r="AQ472" s="109" t="s">
        <v>48</v>
      </c>
      <c r="AR472" s="109" t="s">
        <v>48</v>
      </c>
      <c r="AS472" s="166" t="s">
        <v>48</v>
      </c>
      <c r="AT472" s="165" t="s">
        <v>48</v>
      </c>
      <c r="AU472" s="109" t="s">
        <v>48</v>
      </c>
      <c r="AV472" s="109" t="s">
        <v>48</v>
      </c>
      <c r="AW472" s="109" t="s">
        <v>48</v>
      </c>
      <c r="AX472" s="109" t="s">
        <v>48</v>
      </c>
      <c r="AY472" s="109" t="s">
        <v>48</v>
      </c>
      <c r="AZ472" s="166" t="s">
        <v>48</v>
      </c>
      <c r="BA472" s="162" t="s">
        <v>1043</v>
      </c>
      <c r="BB472" s="109" t="s">
        <v>49</v>
      </c>
      <c r="BC472" s="79"/>
    </row>
    <row r="473" spans="1:55" ht="75" hidden="1" customHeight="1">
      <c r="A473" s="109" t="s">
        <v>41</v>
      </c>
      <c r="B473" s="117" t="s">
        <v>2466</v>
      </c>
      <c r="C473" s="109" t="s">
        <v>1707</v>
      </c>
      <c r="D473" s="109" t="s">
        <v>1691</v>
      </c>
      <c r="E473" s="161">
        <v>15000</v>
      </c>
      <c r="F473" s="165" t="s">
        <v>1691</v>
      </c>
      <c r="G473" s="109" t="s">
        <v>1691</v>
      </c>
      <c r="H473" s="109" t="s">
        <v>48</v>
      </c>
      <c r="I473" s="109" t="s">
        <v>48</v>
      </c>
      <c r="J473" s="109" t="s">
        <v>48</v>
      </c>
      <c r="K473" s="109" t="s">
        <v>48</v>
      </c>
      <c r="L473" s="109" t="s">
        <v>48</v>
      </c>
      <c r="M473" s="166" t="s">
        <v>1687</v>
      </c>
      <c r="N473" s="162" t="s">
        <v>48</v>
      </c>
      <c r="O473" s="109" t="s">
        <v>48</v>
      </c>
      <c r="P473" s="162" t="s">
        <v>48</v>
      </c>
      <c r="Q473" s="109" t="s">
        <v>48</v>
      </c>
      <c r="R473" s="109" t="s">
        <v>48</v>
      </c>
      <c r="S473" s="109" t="s">
        <v>48</v>
      </c>
      <c r="T473" s="109" t="s">
        <v>48</v>
      </c>
      <c r="U473" s="109" t="s">
        <v>48</v>
      </c>
      <c r="V473" s="166" t="s">
        <v>48</v>
      </c>
      <c r="W473" s="165" t="s">
        <v>1691</v>
      </c>
      <c r="X473" s="109" t="s">
        <v>1691</v>
      </c>
      <c r="Y473" s="109" t="s">
        <v>48</v>
      </c>
      <c r="Z473" s="109" t="s">
        <v>48</v>
      </c>
      <c r="AA473" s="109" t="s">
        <v>48</v>
      </c>
      <c r="AB473" s="109" t="s">
        <v>48</v>
      </c>
      <c r="AC473" s="109" t="s">
        <v>48</v>
      </c>
      <c r="AD473" s="166" t="s">
        <v>48</v>
      </c>
      <c r="AE473" s="165" t="s">
        <v>48</v>
      </c>
      <c r="AF473" s="109" t="s">
        <v>48</v>
      </c>
      <c r="AG473" s="109" t="s">
        <v>48</v>
      </c>
      <c r="AH473" s="109" t="s">
        <v>48</v>
      </c>
      <c r="AI473" s="109" t="s">
        <v>48</v>
      </c>
      <c r="AJ473" s="109" t="s">
        <v>48</v>
      </c>
      <c r="AK473" s="166" t="s">
        <v>48</v>
      </c>
      <c r="AL473" s="165" t="s">
        <v>1691</v>
      </c>
      <c r="AM473" s="109" t="s">
        <v>1691</v>
      </c>
      <c r="AN473" s="109" t="s">
        <v>48</v>
      </c>
      <c r="AO473" s="109" t="s">
        <v>48</v>
      </c>
      <c r="AP473" s="109" t="s">
        <v>48</v>
      </c>
      <c r="AQ473" s="109" t="s">
        <v>48</v>
      </c>
      <c r="AR473" s="109" t="s">
        <v>48</v>
      </c>
      <c r="AS473" s="166" t="s">
        <v>1687</v>
      </c>
      <c r="AT473" s="165" t="s">
        <v>48</v>
      </c>
      <c r="AU473" s="109" t="s">
        <v>48</v>
      </c>
      <c r="AV473" s="109" t="s">
        <v>48</v>
      </c>
      <c r="AW473" s="109" t="s">
        <v>48</v>
      </c>
      <c r="AX473" s="109" t="s">
        <v>48</v>
      </c>
      <c r="AY473" s="109" t="s">
        <v>48</v>
      </c>
      <c r="AZ473" s="166" t="s">
        <v>48</v>
      </c>
      <c r="BA473" s="162" t="s">
        <v>48</v>
      </c>
      <c r="BB473" s="109" t="s">
        <v>49</v>
      </c>
      <c r="BC473" s="109" t="s">
        <v>1692</v>
      </c>
    </row>
    <row r="474" spans="1:55" ht="75" hidden="1" customHeight="1">
      <c r="A474" s="109" t="s">
        <v>41</v>
      </c>
      <c r="B474" s="117" t="s">
        <v>2028</v>
      </c>
      <c r="C474" s="109" t="s">
        <v>1707</v>
      </c>
      <c r="D474" s="109" t="s">
        <v>1691</v>
      </c>
      <c r="E474" s="161">
        <v>15000</v>
      </c>
      <c r="F474" s="165" t="s">
        <v>1691</v>
      </c>
      <c r="G474" s="109" t="s">
        <v>1691</v>
      </c>
      <c r="H474" s="109" t="s">
        <v>48</v>
      </c>
      <c r="I474" s="109" t="s">
        <v>48</v>
      </c>
      <c r="J474" s="109" t="s">
        <v>48</v>
      </c>
      <c r="K474" s="109" t="s">
        <v>48</v>
      </c>
      <c r="L474" s="109" t="s">
        <v>48</v>
      </c>
      <c r="M474" s="166" t="s">
        <v>1687</v>
      </c>
      <c r="N474" s="162" t="s">
        <v>48</v>
      </c>
      <c r="O474" s="109" t="s">
        <v>48</v>
      </c>
      <c r="P474" s="162" t="s">
        <v>48</v>
      </c>
      <c r="Q474" s="109" t="s">
        <v>48</v>
      </c>
      <c r="R474" s="109" t="s">
        <v>48</v>
      </c>
      <c r="S474" s="109" t="s">
        <v>48</v>
      </c>
      <c r="T474" s="109" t="s">
        <v>48</v>
      </c>
      <c r="U474" s="109" t="s">
        <v>48</v>
      </c>
      <c r="V474" s="166" t="s">
        <v>48</v>
      </c>
      <c r="W474" s="165" t="s">
        <v>1691</v>
      </c>
      <c r="X474" s="109" t="s">
        <v>1691</v>
      </c>
      <c r="Y474" s="109" t="s">
        <v>48</v>
      </c>
      <c r="Z474" s="109" t="s">
        <v>48</v>
      </c>
      <c r="AA474" s="109" t="s">
        <v>48</v>
      </c>
      <c r="AB474" s="109" t="s">
        <v>48</v>
      </c>
      <c r="AC474" s="109" t="s">
        <v>48</v>
      </c>
      <c r="AD474" s="166" t="s">
        <v>48</v>
      </c>
      <c r="AE474" s="165" t="s">
        <v>48</v>
      </c>
      <c r="AF474" s="109" t="s">
        <v>48</v>
      </c>
      <c r="AG474" s="109" t="s">
        <v>48</v>
      </c>
      <c r="AH474" s="109" t="s">
        <v>48</v>
      </c>
      <c r="AI474" s="109" t="s">
        <v>48</v>
      </c>
      <c r="AJ474" s="109" t="s">
        <v>48</v>
      </c>
      <c r="AK474" s="166" t="s">
        <v>48</v>
      </c>
      <c r="AL474" s="165" t="s">
        <v>1691</v>
      </c>
      <c r="AM474" s="109" t="s">
        <v>1691</v>
      </c>
      <c r="AN474" s="109" t="s">
        <v>48</v>
      </c>
      <c r="AO474" s="109" t="s">
        <v>48</v>
      </c>
      <c r="AP474" s="109" t="s">
        <v>48</v>
      </c>
      <c r="AQ474" s="109" t="s">
        <v>48</v>
      </c>
      <c r="AR474" s="109" t="s">
        <v>48</v>
      </c>
      <c r="AS474" s="166" t="s">
        <v>1687</v>
      </c>
      <c r="AT474" s="165" t="s">
        <v>48</v>
      </c>
      <c r="AU474" s="109" t="s">
        <v>48</v>
      </c>
      <c r="AV474" s="109" t="s">
        <v>48</v>
      </c>
      <c r="AW474" s="109" t="s">
        <v>48</v>
      </c>
      <c r="AX474" s="109" t="s">
        <v>48</v>
      </c>
      <c r="AY474" s="109" t="s">
        <v>48</v>
      </c>
      <c r="AZ474" s="166" t="s">
        <v>48</v>
      </c>
      <c r="BA474" s="162" t="s">
        <v>48</v>
      </c>
      <c r="BB474" s="109" t="s">
        <v>49</v>
      </c>
      <c r="BC474" s="109" t="s">
        <v>1692</v>
      </c>
    </row>
    <row r="475" spans="1:55" ht="75" hidden="1" customHeight="1">
      <c r="A475" s="109" t="s">
        <v>40</v>
      </c>
      <c r="B475" s="117" t="s">
        <v>2467</v>
      </c>
      <c r="C475" s="109" t="s">
        <v>1707</v>
      </c>
      <c r="D475" s="109" t="s">
        <v>1691</v>
      </c>
      <c r="E475" s="161">
        <v>30000</v>
      </c>
      <c r="F475" s="165" t="s">
        <v>1691</v>
      </c>
      <c r="G475" s="109" t="s">
        <v>1691</v>
      </c>
      <c r="H475" s="109" t="s">
        <v>48</v>
      </c>
      <c r="I475" s="109" t="s">
        <v>48</v>
      </c>
      <c r="J475" s="109" t="s">
        <v>48</v>
      </c>
      <c r="K475" s="109" t="s">
        <v>48</v>
      </c>
      <c r="L475" s="109" t="s">
        <v>48</v>
      </c>
      <c r="M475" s="166" t="s">
        <v>1687</v>
      </c>
      <c r="N475" s="162" t="s">
        <v>48</v>
      </c>
      <c r="O475" s="109" t="s">
        <v>48</v>
      </c>
      <c r="P475" s="162" t="s">
        <v>48</v>
      </c>
      <c r="Q475" s="109" t="s">
        <v>48</v>
      </c>
      <c r="R475" s="109" t="s">
        <v>48</v>
      </c>
      <c r="S475" s="109" t="s">
        <v>48</v>
      </c>
      <c r="T475" s="109" t="s">
        <v>48</v>
      </c>
      <c r="U475" s="109" t="s">
        <v>48</v>
      </c>
      <c r="V475" s="166" t="s">
        <v>48</v>
      </c>
      <c r="W475" s="165" t="s">
        <v>1691</v>
      </c>
      <c r="X475" s="109" t="s">
        <v>1691</v>
      </c>
      <c r="Y475" s="109" t="s">
        <v>48</v>
      </c>
      <c r="Z475" s="109" t="s">
        <v>48</v>
      </c>
      <c r="AA475" s="109" t="s">
        <v>48</v>
      </c>
      <c r="AB475" s="109" t="s">
        <v>48</v>
      </c>
      <c r="AC475" s="109" t="s">
        <v>48</v>
      </c>
      <c r="AD475" s="166" t="s">
        <v>48</v>
      </c>
      <c r="AE475" s="165" t="s">
        <v>48</v>
      </c>
      <c r="AF475" s="109" t="s">
        <v>48</v>
      </c>
      <c r="AG475" s="109" t="s">
        <v>48</v>
      </c>
      <c r="AH475" s="109" t="s">
        <v>48</v>
      </c>
      <c r="AI475" s="109" t="s">
        <v>48</v>
      </c>
      <c r="AJ475" s="109" t="s">
        <v>48</v>
      </c>
      <c r="AK475" s="166" t="s">
        <v>48</v>
      </c>
      <c r="AL475" s="165" t="s">
        <v>1691</v>
      </c>
      <c r="AM475" s="109" t="s">
        <v>1691</v>
      </c>
      <c r="AN475" s="109" t="s">
        <v>48</v>
      </c>
      <c r="AO475" s="109" t="s">
        <v>48</v>
      </c>
      <c r="AP475" s="109" t="s">
        <v>48</v>
      </c>
      <c r="AQ475" s="109" t="s">
        <v>48</v>
      </c>
      <c r="AR475" s="109" t="s">
        <v>48</v>
      </c>
      <c r="AS475" s="166" t="s">
        <v>1687</v>
      </c>
      <c r="AT475" s="165" t="s">
        <v>48</v>
      </c>
      <c r="AU475" s="109" t="s">
        <v>48</v>
      </c>
      <c r="AV475" s="109" t="s">
        <v>48</v>
      </c>
      <c r="AW475" s="109" t="s">
        <v>48</v>
      </c>
      <c r="AX475" s="109" t="s">
        <v>48</v>
      </c>
      <c r="AY475" s="109" t="s">
        <v>48</v>
      </c>
      <c r="AZ475" s="166" t="s">
        <v>48</v>
      </c>
      <c r="BA475" s="162" t="s">
        <v>48</v>
      </c>
      <c r="BB475" s="109" t="s">
        <v>49</v>
      </c>
      <c r="BC475" s="109" t="s">
        <v>1692</v>
      </c>
    </row>
    <row r="476" spans="1:55" ht="75" hidden="1" customHeight="1">
      <c r="A476" s="109" t="s">
        <v>40</v>
      </c>
      <c r="B476" s="117" t="s">
        <v>2029</v>
      </c>
      <c r="C476" s="109" t="s">
        <v>1707</v>
      </c>
      <c r="D476" s="109" t="s">
        <v>1691</v>
      </c>
      <c r="E476" s="161">
        <v>30000</v>
      </c>
      <c r="F476" s="165" t="s">
        <v>1691</v>
      </c>
      <c r="G476" s="109" t="s">
        <v>1691</v>
      </c>
      <c r="H476" s="109" t="s">
        <v>48</v>
      </c>
      <c r="I476" s="109" t="s">
        <v>48</v>
      </c>
      <c r="J476" s="109" t="s">
        <v>48</v>
      </c>
      <c r="K476" s="109" t="s">
        <v>48</v>
      </c>
      <c r="L476" s="109" t="s">
        <v>48</v>
      </c>
      <c r="M476" s="166" t="s">
        <v>1687</v>
      </c>
      <c r="N476" s="162" t="s">
        <v>48</v>
      </c>
      <c r="O476" s="109" t="s">
        <v>48</v>
      </c>
      <c r="P476" s="162" t="s">
        <v>48</v>
      </c>
      <c r="Q476" s="109" t="s">
        <v>48</v>
      </c>
      <c r="R476" s="109" t="s">
        <v>48</v>
      </c>
      <c r="S476" s="109" t="s">
        <v>48</v>
      </c>
      <c r="T476" s="109" t="s">
        <v>48</v>
      </c>
      <c r="U476" s="109" t="s">
        <v>48</v>
      </c>
      <c r="V476" s="166" t="s">
        <v>48</v>
      </c>
      <c r="W476" s="165" t="s">
        <v>1691</v>
      </c>
      <c r="X476" s="109" t="s">
        <v>1691</v>
      </c>
      <c r="Y476" s="109" t="s">
        <v>48</v>
      </c>
      <c r="Z476" s="109" t="s">
        <v>48</v>
      </c>
      <c r="AA476" s="109" t="s">
        <v>48</v>
      </c>
      <c r="AB476" s="109" t="s">
        <v>48</v>
      </c>
      <c r="AC476" s="109" t="s">
        <v>48</v>
      </c>
      <c r="AD476" s="166" t="s">
        <v>48</v>
      </c>
      <c r="AE476" s="165" t="s">
        <v>48</v>
      </c>
      <c r="AF476" s="109" t="s">
        <v>48</v>
      </c>
      <c r="AG476" s="109" t="s">
        <v>48</v>
      </c>
      <c r="AH476" s="109" t="s">
        <v>48</v>
      </c>
      <c r="AI476" s="109" t="s">
        <v>48</v>
      </c>
      <c r="AJ476" s="109" t="s">
        <v>48</v>
      </c>
      <c r="AK476" s="166" t="s">
        <v>48</v>
      </c>
      <c r="AL476" s="165" t="s">
        <v>1691</v>
      </c>
      <c r="AM476" s="109" t="s">
        <v>1691</v>
      </c>
      <c r="AN476" s="109" t="s">
        <v>48</v>
      </c>
      <c r="AO476" s="109" t="s">
        <v>48</v>
      </c>
      <c r="AP476" s="109" t="s">
        <v>48</v>
      </c>
      <c r="AQ476" s="109" t="s">
        <v>48</v>
      </c>
      <c r="AR476" s="109" t="s">
        <v>48</v>
      </c>
      <c r="AS476" s="166" t="s">
        <v>1687</v>
      </c>
      <c r="AT476" s="165" t="s">
        <v>48</v>
      </c>
      <c r="AU476" s="109" t="s">
        <v>48</v>
      </c>
      <c r="AV476" s="109" t="s">
        <v>48</v>
      </c>
      <c r="AW476" s="109" t="s">
        <v>48</v>
      </c>
      <c r="AX476" s="109" t="s">
        <v>48</v>
      </c>
      <c r="AY476" s="109" t="s">
        <v>48</v>
      </c>
      <c r="AZ476" s="166" t="s">
        <v>48</v>
      </c>
      <c r="BA476" s="162" t="s">
        <v>48</v>
      </c>
      <c r="BB476" s="109" t="s">
        <v>49</v>
      </c>
      <c r="BC476" s="109" t="s">
        <v>1692</v>
      </c>
    </row>
    <row r="477" spans="1:55" ht="75" hidden="1" customHeight="1">
      <c r="A477" s="109" t="s">
        <v>2341</v>
      </c>
      <c r="B477" s="109" t="s">
        <v>2023</v>
      </c>
      <c r="C477" s="109" t="s">
        <v>1707</v>
      </c>
      <c r="D477" s="109" t="s">
        <v>1691</v>
      </c>
      <c r="E477" s="161">
        <v>30000</v>
      </c>
      <c r="F477" s="165" t="s">
        <v>1691</v>
      </c>
      <c r="G477" s="109" t="s">
        <v>1691</v>
      </c>
      <c r="H477" s="109" t="s">
        <v>48</v>
      </c>
      <c r="I477" s="109" t="s">
        <v>48</v>
      </c>
      <c r="J477" s="109" t="s">
        <v>48</v>
      </c>
      <c r="K477" s="109" t="s">
        <v>48</v>
      </c>
      <c r="L477" s="109" t="s">
        <v>48</v>
      </c>
      <c r="M477" s="166" t="s">
        <v>1687</v>
      </c>
      <c r="N477" s="162" t="s">
        <v>48</v>
      </c>
      <c r="O477" s="109" t="s">
        <v>48</v>
      </c>
      <c r="P477" s="162" t="s">
        <v>48</v>
      </c>
      <c r="Q477" s="109" t="s">
        <v>48</v>
      </c>
      <c r="R477" s="109" t="s">
        <v>48</v>
      </c>
      <c r="S477" s="109" t="s">
        <v>48</v>
      </c>
      <c r="T477" s="109" t="s">
        <v>48</v>
      </c>
      <c r="U477" s="109" t="s">
        <v>48</v>
      </c>
      <c r="V477" s="166" t="s">
        <v>48</v>
      </c>
      <c r="W477" s="165" t="s">
        <v>1691</v>
      </c>
      <c r="X477" s="109" t="s">
        <v>1691</v>
      </c>
      <c r="Y477" s="109" t="s">
        <v>48</v>
      </c>
      <c r="Z477" s="109" t="s">
        <v>48</v>
      </c>
      <c r="AA477" s="109" t="s">
        <v>48</v>
      </c>
      <c r="AB477" s="109" t="s">
        <v>48</v>
      </c>
      <c r="AC477" s="109" t="s">
        <v>48</v>
      </c>
      <c r="AD477" s="166" t="s">
        <v>48</v>
      </c>
      <c r="AE477" s="165" t="s">
        <v>48</v>
      </c>
      <c r="AF477" s="109" t="s">
        <v>48</v>
      </c>
      <c r="AG477" s="109" t="s">
        <v>48</v>
      </c>
      <c r="AH477" s="109" t="s">
        <v>48</v>
      </c>
      <c r="AI477" s="109" t="s">
        <v>48</v>
      </c>
      <c r="AJ477" s="109" t="s">
        <v>48</v>
      </c>
      <c r="AK477" s="166" t="s">
        <v>48</v>
      </c>
      <c r="AL477" s="165" t="s">
        <v>1691</v>
      </c>
      <c r="AM477" s="109" t="s">
        <v>1691</v>
      </c>
      <c r="AN477" s="109" t="s">
        <v>48</v>
      </c>
      <c r="AO477" s="109" t="s">
        <v>48</v>
      </c>
      <c r="AP477" s="109" t="s">
        <v>48</v>
      </c>
      <c r="AQ477" s="109" t="s">
        <v>48</v>
      </c>
      <c r="AR477" s="109" t="s">
        <v>48</v>
      </c>
      <c r="AS477" s="166" t="s">
        <v>1687</v>
      </c>
      <c r="AT477" s="165" t="s">
        <v>48</v>
      </c>
      <c r="AU477" s="109" t="s">
        <v>48</v>
      </c>
      <c r="AV477" s="109" t="s">
        <v>48</v>
      </c>
      <c r="AW477" s="109" t="s">
        <v>48</v>
      </c>
      <c r="AX477" s="109" t="s">
        <v>48</v>
      </c>
      <c r="AY477" s="109" t="s">
        <v>48</v>
      </c>
      <c r="AZ477" s="166" t="s">
        <v>48</v>
      </c>
      <c r="BA477" s="162" t="s">
        <v>48</v>
      </c>
      <c r="BB477" s="109" t="s">
        <v>49</v>
      </c>
      <c r="BC477" s="109" t="s">
        <v>1692</v>
      </c>
    </row>
    <row r="478" spans="1:55" ht="75" hidden="1" customHeight="1">
      <c r="A478" s="109" t="s">
        <v>2340</v>
      </c>
      <c r="B478" s="109" t="s">
        <v>2022</v>
      </c>
      <c r="C478" s="109" t="s">
        <v>1707</v>
      </c>
      <c r="D478" s="109" t="s">
        <v>1691</v>
      </c>
      <c r="E478" s="161">
        <v>30000</v>
      </c>
      <c r="F478" s="165" t="s">
        <v>1691</v>
      </c>
      <c r="G478" s="109" t="s">
        <v>1691</v>
      </c>
      <c r="H478" s="109" t="s">
        <v>48</v>
      </c>
      <c r="I478" s="109" t="s">
        <v>48</v>
      </c>
      <c r="J478" s="109" t="s">
        <v>48</v>
      </c>
      <c r="K478" s="109" t="s">
        <v>48</v>
      </c>
      <c r="L478" s="109" t="s">
        <v>48</v>
      </c>
      <c r="M478" s="166" t="s">
        <v>1687</v>
      </c>
      <c r="N478" s="162" t="s">
        <v>48</v>
      </c>
      <c r="O478" s="109" t="s">
        <v>48</v>
      </c>
      <c r="P478" s="162" t="s">
        <v>48</v>
      </c>
      <c r="Q478" s="109" t="s">
        <v>48</v>
      </c>
      <c r="R478" s="109" t="s">
        <v>48</v>
      </c>
      <c r="S478" s="109" t="s">
        <v>48</v>
      </c>
      <c r="T478" s="109" t="s">
        <v>48</v>
      </c>
      <c r="U478" s="109" t="s">
        <v>48</v>
      </c>
      <c r="V478" s="166" t="s">
        <v>48</v>
      </c>
      <c r="W478" s="165" t="s">
        <v>1691</v>
      </c>
      <c r="X478" s="109" t="s">
        <v>1691</v>
      </c>
      <c r="Y478" s="109" t="s">
        <v>48</v>
      </c>
      <c r="Z478" s="109" t="s">
        <v>48</v>
      </c>
      <c r="AA478" s="109" t="s">
        <v>48</v>
      </c>
      <c r="AB478" s="109" t="s">
        <v>48</v>
      </c>
      <c r="AC478" s="109" t="s">
        <v>48</v>
      </c>
      <c r="AD478" s="166" t="s">
        <v>48</v>
      </c>
      <c r="AE478" s="165" t="s">
        <v>48</v>
      </c>
      <c r="AF478" s="109" t="s">
        <v>48</v>
      </c>
      <c r="AG478" s="109" t="s">
        <v>48</v>
      </c>
      <c r="AH478" s="109" t="s">
        <v>48</v>
      </c>
      <c r="AI478" s="109" t="s">
        <v>48</v>
      </c>
      <c r="AJ478" s="109" t="s">
        <v>48</v>
      </c>
      <c r="AK478" s="166" t="s">
        <v>48</v>
      </c>
      <c r="AL478" s="165" t="s">
        <v>1691</v>
      </c>
      <c r="AM478" s="109" t="s">
        <v>1691</v>
      </c>
      <c r="AN478" s="109" t="s">
        <v>48</v>
      </c>
      <c r="AO478" s="109" t="s">
        <v>48</v>
      </c>
      <c r="AP478" s="109" t="s">
        <v>48</v>
      </c>
      <c r="AQ478" s="109" t="s">
        <v>48</v>
      </c>
      <c r="AR478" s="109" t="s">
        <v>48</v>
      </c>
      <c r="AS478" s="166" t="s">
        <v>1687</v>
      </c>
      <c r="AT478" s="165" t="s">
        <v>48</v>
      </c>
      <c r="AU478" s="109" t="s">
        <v>48</v>
      </c>
      <c r="AV478" s="109" t="s">
        <v>48</v>
      </c>
      <c r="AW478" s="109" t="s">
        <v>48</v>
      </c>
      <c r="AX478" s="109" t="s">
        <v>48</v>
      </c>
      <c r="AY478" s="109" t="s">
        <v>48</v>
      </c>
      <c r="AZ478" s="166" t="s">
        <v>48</v>
      </c>
      <c r="BA478" s="162" t="s">
        <v>48</v>
      </c>
      <c r="BB478" s="109" t="s">
        <v>49</v>
      </c>
      <c r="BC478" s="109" t="s">
        <v>1692</v>
      </c>
    </row>
    <row r="479" spans="1:55" ht="75" hidden="1" customHeight="1">
      <c r="A479" s="109" t="s">
        <v>2339</v>
      </c>
      <c r="B479" s="109" t="s">
        <v>2031</v>
      </c>
      <c r="C479" s="109" t="s">
        <v>1707</v>
      </c>
      <c r="D479" s="109" t="s">
        <v>1691</v>
      </c>
      <c r="E479" s="161">
        <v>15000</v>
      </c>
      <c r="F479" s="165" t="s">
        <v>1691</v>
      </c>
      <c r="G479" s="109" t="s">
        <v>1691</v>
      </c>
      <c r="H479" s="109" t="s">
        <v>48</v>
      </c>
      <c r="I479" s="109" t="s">
        <v>48</v>
      </c>
      <c r="J479" s="109" t="s">
        <v>48</v>
      </c>
      <c r="K479" s="109" t="s">
        <v>48</v>
      </c>
      <c r="L479" s="109" t="s">
        <v>48</v>
      </c>
      <c r="M479" s="166" t="s">
        <v>1687</v>
      </c>
      <c r="N479" s="162" t="s">
        <v>48</v>
      </c>
      <c r="O479" s="109" t="s">
        <v>48</v>
      </c>
      <c r="P479" s="162" t="s">
        <v>48</v>
      </c>
      <c r="Q479" s="109" t="s">
        <v>48</v>
      </c>
      <c r="R479" s="109" t="s">
        <v>48</v>
      </c>
      <c r="S479" s="109" t="s">
        <v>48</v>
      </c>
      <c r="T479" s="109" t="s">
        <v>48</v>
      </c>
      <c r="U479" s="109" t="s">
        <v>48</v>
      </c>
      <c r="V479" s="166" t="s">
        <v>48</v>
      </c>
      <c r="W479" s="165" t="s">
        <v>1691</v>
      </c>
      <c r="X479" s="109" t="s">
        <v>1691</v>
      </c>
      <c r="Y479" s="109" t="s">
        <v>48</v>
      </c>
      <c r="Z479" s="109" t="s">
        <v>48</v>
      </c>
      <c r="AA479" s="109" t="s">
        <v>48</v>
      </c>
      <c r="AB479" s="109" t="s">
        <v>48</v>
      </c>
      <c r="AC479" s="109" t="s">
        <v>48</v>
      </c>
      <c r="AD479" s="166" t="s">
        <v>48</v>
      </c>
      <c r="AE479" s="165" t="s">
        <v>48</v>
      </c>
      <c r="AF479" s="109" t="s">
        <v>48</v>
      </c>
      <c r="AG479" s="109" t="s">
        <v>48</v>
      </c>
      <c r="AH479" s="109" t="s">
        <v>48</v>
      </c>
      <c r="AI479" s="109" t="s">
        <v>48</v>
      </c>
      <c r="AJ479" s="109" t="s">
        <v>48</v>
      </c>
      <c r="AK479" s="166" t="s">
        <v>48</v>
      </c>
      <c r="AL479" s="165" t="s">
        <v>1691</v>
      </c>
      <c r="AM479" s="109" t="s">
        <v>1691</v>
      </c>
      <c r="AN479" s="109" t="s">
        <v>48</v>
      </c>
      <c r="AO479" s="109" t="s">
        <v>48</v>
      </c>
      <c r="AP479" s="109" t="s">
        <v>48</v>
      </c>
      <c r="AQ479" s="109" t="s">
        <v>48</v>
      </c>
      <c r="AR479" s="109" t="s">
        <v>48</v>
      </c>
      <c r="AS479" s="166" t="s">
        <v>1687</v>
      </c>
      <c r="AT479" s="165" t="s">
        <v>48</v>
      </c>
      <c r="AU479" s="109" t="s">
        <v>48</v>
      </c>
      <c r="AV479" s="109" t="s">
        <v>48</v>
      </c>
      <c r="AW479" s="109" t="s">
        <v>48</v>
      </c>
      <c r="AX479" s="109" t="s">
        <v>48</v>
      </c>
      <c r="AY479" s="109" t="s">
        <v>48</v>
      </c>
      <c r="AZ479" s="166" t="s">
        <v>48</v>
      </c>
      <c r="BA479" s="162" t="s">
        <v>48</v>
      </c>
      <c r="BB479" s="109" t="s">
        <v>49</v>
      </c>
      <c r="BC479" s="109" t="s">
        <v>1692</v>
      </c>
    </row>
    <row r="480" spans="1:55" ht="75" hidden="1" customHeight="1">
      <c r="A480" s="109" t="s">
        <v>41</v>
      </c>
      <c r="B480" s="117" t="s">
        <v>2466</v>
      </c>
      <c r="C480" s="109" t="s">
        <v>1030</v>
      </c>
      <c r="D480" s="109" t="s">
        <v>1011</v>
      </c>
      <c r="E480" s="161">
        <v>15000</v>
      </c>
      <c r="F480" s="165" t="s">
        <v>1691</v>
      </c>
      <c r="G480" s="109" t="s">
        <v>1691</v>
      </c>
      <c r="H480" s="109" t="s">
        <v>1942</v>
      </c>
      <c r="I480" s="109" t="s">
        <v>1908</v>
      </c>
      <c r="J480" s="109" t="s">
        <v>1708</v>
      </c>
      <c r="K480" s="109" t="s">
        <v>1708</v>
      </c>
      <c r="L480" s="109" t="s">
        <v>1975</v>
      </c>
      <c r="M480" s="166" t="s">
        <v>1687</v>
      </c>
      <c r="N480" s="162" t="s">
        <v>48</v>
      </c>
      <c r="O480" s="109" t="s">
        <v>48</v>
      </c>
      <c r="P480" s="162" t="s">
        <v>48</v>
      </c>
      <c r="Q480" s="109" t="s">
        <v>48</v>
      </c>
      <c r="R480" s="109" t="s">
        <v>48</v>
      </c>
      <c r="S480" s="109" t="s">
        <v>48</v>
      </c>
      <c r="T480" s="109" t="s">
        <v>48</v>
      </c>
      <c r="U480" s="109" t="s">
        <v>48</v>
      </c>
      <c r="V480" s="166" t="s">
        <v>48</v>
      </c>
      <c r="W480" s="165" t="s">
        <v>1011</v>
      </c>
      <c r="X480" s="109" t="s">
        <v>1011</v>
      </c>
      <c r="Y480" s="109" t="s">
        <v>48</v>
      </c>
      <c r="Z480" s="109" t="s">
        <v>48</v>
      </c>
      <c r="AA480" s="109" t="s">
        <v>48</v>
      </c>
      <c r="AB480" s="109" t="s">
        <v>48</v>
      </c>
      <c r="AC480" s="109" t="s">
        <v>48</v>
      </c>
      <c r="AD480" s="166" t="s">
        <v>48</v>
      </c>
      <c r="AE480" s="174" t="s">
        <v>80</v>
      </c>
      <c r="AF480" s="117" t="s">
        <v>1382</v>
      </c>
      <c r="AG480" s="117" t="s">
        <v>1383</v>
      </c>
      <c r="AH480" s="109" t="s">
        <v>1908</v>
      </c>
      <c r="AI480" s="117" t="s">
        <v>1384</v>
      </c>
      <c r="AJ480" s="117" t="s">
        <v>1385</v>
      </c>
      <c r="AK480" s="182" t="s">
        <v>1386</v>
      </c>
      <c r="AL480" s="165" t="s">
        <v>1011</v>
      </c>
      <c r="AM480" s="109" t="s">
        <v>1011</v>
      </c>
      <c r="AN480" s="109" t="s">
        <v>48</v>
      </c>
      <c r="AO480" s="109" t="s">
        <v>48</v>
      </c>
      <c r="AP480" s="109" t="s">
        <v>48</v>
      </c>
      <c r="AQ480" s="109" t="s">
        <v>48</v>
      </c>
      <c r="AR480" s="109" t="s">
        <v>48</v>
      </c>
      <c r="AS480" s="166" t="s">
        <v>48</v>
      </c>
      <c r="AT480" s="165" t="s">
        <v>48</v>
      </c>
      <c r="AU480" s="109" t="s">
        <v>48</v>
      </c>
      <c r="AV480" s="109" t="s">
        <v>48</v>
      </c>
      <c r="AW480" s="109" t="s">
        <v>48</v>
      </c>
      <c r="AX480" s="109" t="s">
        <v>48</v>
      </c>
      <c r="AY480" s="109" t="s">
        <v>48</v>
      </c>
      <c r="AZ480" s="166" t="s">
        <v>48</v>
      </c>
      <c r="BA480" s="162" t="s">
        <v>1710</v>
      </c>
      <c r="BB480" s="109" t="s">
        <v>49</v>
      </c>
      <c r="BC480" s="120" t="s">
        <v>1692</v>
      </c>
    </row>
    <row r="481" spans="1:55" ht="75" hidden="1" customHeight="1">
      <c r="A481" s="109" t="s">
        <v>41</v>
      </c>
      <c r="B481" s="117" t="s">
        <v>2028</v>
      </c>
      <c r="C481" s="109" t="s">
        <v>1030</v>
      </c>
      <c r="D481" s="109" t="s">
        <v>1011</v>
      </c>
      <c r="E481" s="161">
        <v>15000</v>
      </c>
      <c r="F481" s="165" t="s">
        <v>1691</v>
      </c>
      <c r="G481" s="109" t="s">
        <v>1691</v>
      </c>
      <c r="H481" s="109" t="s">
        <v>1942</v>
      </c>
      <c r="I481" s="109" t="s">
        <v>1908</v>
      </c>
      <c r="J481" s="109" t="s">
        <v>1708</v>
      </c>
      <c r="K481" s="109" t="s">
        <v>1708</v>
      </c>
      <c r="L481" s="109" t="s">
        <v>1975</v>
      </c>
      <c r="M481" s="166" t="s">
        <v>1687</v>
      </c>
      <c r="N481" s="162" t="s">
        <v>48</v>
      </c>
      <c r="O481" s="109" t="s">
        <v>48</v>
      </c>
      <c r="P481" s="162" t="s">
        <v>48</v>
      </c>
      <c r="Q481" s="109" t="s">
        <v>48</v>
      </c>
      <c r="R481" s="109" t="s">
        <v>48</v>
      </c>
      <c r="S481" s="109" t="s">
        <v>48</v>
      </c>
      <c r="T481" s="109" t="s">
        <v>48</v>
      </c>
      <c r="U481" s="109" t="s">
        <v>48</v>
      </c>
      <c r="V481" s="166" t="s">
        <v>48</v>
      </c>
      <c r="W481" s="165" t="s">
        <v>1011</v>
      </c>
      <c r="X481" s="109" t="s">
        <v>1011</v>
      </c>
      <c r="Y481" s="109" t="s">
        <v>48</v>
      </c>
      <c r="Z481" s="109" t="s">
        <v>48</v>
      </c>
      <c r="AA481" s="109" t="s">
        <v>48</v>
      </c>
      <c r="AB481" s="109" t="s">
        <v>48</v>
      </c>
      <c r="AC481" s="109" t="s">
        <v>48</v>
      </c>
      <c r="AD481" s="166" t="s">
        <v>48</v>
      </c>
      <c r="AE481" s="174" t="s">
        <v>80</v>
      </c>
      <c r="AF481" s="117" t="s">
        <v>1382</v>
      </c>
      <c r="AG481" s="117" t="s">
        <v>1383</v>
      </c>
      <c r="AH481" s="109" t="s">
        <v>1908</v>
      </c>
      <c r="AI481" s="117" t="s">
        <v>1384</v>
      </c>
      <c r="AJ481" s="117" t="s">
        <v>1385</v>
      </c>
      <c r="AK481" s="182" t="s">
        <v>1386</v>
      </c>
      <c r="AL481" s="165" t="s">
        <v>1011</v>
      </c>
      <c r="AM481" s="109" t="s">
        <v>1011</v>
      </c>
      <c r="AN481" s="109" t="s">
        <v>48</v>
      </c>
      <c r="AO481" s="109" t="s">
        <v>48</v>
      </c>
      <c r="AP481" s="109" t="s">
        <v>48</v>
      </c>
      <c r="AQ481" s="109" t="s">
        <v>48</v>
      </c>
      <c r="AR481" s="109" t="s">
        <v>48</v>
      </c>
      <c r="AS481" s="166" t="s">
        <v>48</v>
      </c>
      <c r="AT481" s="165" t="s">
        <v>48</v>
      </c>
      <c r="AU481" s="109" t="s">
        <v>48</v>
      </c>
      <c r="AV481" s="109" t="s">
        <v>48</v>
      </c>
      <c r="AW481" s="109" t="s">
        <v>48</v>
      </c>
      <c r="AX481" s="109" t="s">
        <v>48</v>
      </c>
      <c r="AY481" s="109" t="s">
        <v>48</v>
      </c>
      <c r="AZ481" s="166" t="s">
        <v>48</v>
      </c>
      <c r="BA481" s="162" t="s">
        <v>1710</v>
      </c>
      <c r="BB481" s="109" t="s">
        <v>49</v>
      </c>
      <c r="BC481" s="120" t="s">
        <v>1692</v>
      </c>
    </row>
    <row r="482" spans="1:55" ht="75" hidden="1" customHeight="1">
      <c r="A482" s="109" t="s">
        <v>40</v>
      </c>
      <c r="B482" s="117" t="s">
        <v>2467</v>
      </c>
      <c r="C482" s="109" t="s">
        <v>1030</v>
      </c>
      <c r="D482" s="109" t="s">
        <v>1011</v>
      </c>
      <c r="E482" s="161">
        <v>30000</v>
      </c>
      <c r="F482" s="165" t="s">
        <v>1691</v>
      </c>
      <c r="G482" s="109" t="s">
        <v>1691</v>
      </c>
      <c r="H482" s="109" t="s">
        <v>1942</v>
      </c>
      <c r="I482" s="109" t="s">
        <v>1908</v>
      </c>
      <c r="J482" s="109" t="s">
        <v>1708</v>
      </c>
      <c r="K482" s="109" t="s">
        <v>1708</v>
      </c>
      <c r="L482" s="109" t="s">
        <v>1975</v>
      </c>
      <c r="M482" s="166" t="s">
        <v>1687</v>
      </c>
      <c r="N482" s="162" t="s">
        <v>48</v>
      </c>
      <c r="O482" s="109" t="s">
        <v>48</v>
      </c>
      <c r="P482" s="162" t="s">
        <v>48</v>
      </c>
      <c r="Q482" s="109" t="s">
        <v>48</v>
      </c>
      <c r="R482" s="109" t="s">
        <v>48</v>
      </c>
      <c r="S482" s="109" t="s">
        <v>48</v>
      </c>
      <c r="T482" s="109" t="s">
        <v>48</v>
      </c>
      <c r="U482" s="109" t="s">
        <v>48</v>
      </c>
      <c r="V482" s="166" t="s">
        <v>48</v>
      </c>
      <c r="W482" s="165" t="s">
        <v>1011</v>
      </c>
      <c r="X482" s="109" t="s">
        <v>1011</v>
      </c>
      <c r="Y482" s="109" t="s">
        <v>48</v>
      </c>
      <c r="Z482" s="109" t="s">
        <v>48</v>
      </c>
      <c r="AA482" s="109" t="s">
        <v>48</v>
      </c>
      <c r="AB482" s="109" t="s">
        <v>48</v>
      </c>
      <c r="AC482" s="109" t="s">
        <v>48</v>
      </c>
      <c r="AD482" s="166" t="s">
        <v>48</v>
      </c>
      <c r="AE482" s="174" t="s">
        <v>80</v>
      </c>
      <c r="AF482" s="117" t="s">
        <v>1382</v>
      </c>
      <c r="AG482" s="117" t="s">
        <v>1383</v>
      </c>
      <c r="AH482" s="109" t="s">
        <v>1908</v>
      </c>
      <c r="AI482" s="117" t="s">
        <v>1384</v>
      </c>
      <c r="AJ482" s="117" t="s">
        <v>1385</v>
      </c>
      <c r="AK482" s="182" t="s">
        <v>1386</v>
      </c>
      <c r="AL482" s="165" t="s">
        <v>1011</v>
      </c>
      <c r="AM482" s="109" t="s">
        <v>1011</v>
      </c>
      <c r="AN482" s="109" t="s">
        <v>48</v>
      </c>
      <c r="AO482" s="109" t="s">
        <v>48</v>
      </c>
      <c r="AP482" s="109" t="s">
        <v>48</v>
      </c>
      <c r="AQ482" s="109" t="s">
        <v>48</v>
      </c>
      <c r="AR482" s="109" t="s">
        <v>48</v>
      </c>
      <c r="AS482" s="166" t="s">
        <v>48</v>
      </c>
      <c r="AT482" s="165" t="s">
        <v>48</v>
      </c>
      <c r="AU482" s="109" t="s">
        <v>48</v>
      </c>
      <c r="AV482" s="109" t="s">
        <v>48</v>
      </c>
      <c r="AW482" s="109" t="s">
        <v>48</v>
      </c>
      <c r="AX482" s="109" t="s">
        <v>48</v>
      </c>
      <c r="AY482" s="109" t="s">
        <v>48</v>
      </c>
      <c r="AZ482" s="166" t="s">
        <v>48</v>
      </c>
      <c r="BA482" s="162" t="s">
        <v>1710</v>
      </c>
      <c r="BB482" s="109" t="s">
        <v>49</v>
      </c>
      <c r="BC482" s="120" t="s">
        <v>1692</v>
      </c>
    </row>
    <row r="483" spans="1:55" ht="75" hidden="1" customHeight="1">
      <c r="A483" s="109" t="s">
        <v>40</v>
      </c>
      <c r="B483" s="117" t="s">
        <v>2029</v>
      </c>
      <c r="C483" s="109" t="s">
        <v>1030</v>
      </c>
      <c r="D483" s="109" t="s">
        <v>1011</v>
      </c>
      <c r="E483" s="161">
        <v>30000</v>
      </c>
      <c r="F483" s="165" t="s">
        <v>1691</v>
      </c>
      <c r="G483" s="109" t="s">
        <v>1691</v>
      </c>
      <c r="H483" s="109" t="s">
        <v>1942</v>
      </c>
      <c r="I483" s="109" t="s">
        <v>1908</v>
      </c>
      <c r="J483" s="109" t="s">
        <v>1708</v>
      </c>
      <c r="K483" s="109" t="s">
        <v>1708</v>
      </c>
      <c r="L483" s="109" t="s">
        <v>1975</v>
      </c>
      <c r="M483" s="166" t="s">
        <v>1687</v>
      </c>
      <c r="N483" s="162" t="s">
        <v>48</v>
      </c>
      <c r="O483" s="109" t="s">
        <v>48</v>
      </c>
      <c r="P483" s="162" t="s">
        <v>48</v>
      </c>
      <c r="Q483" s="109" t="s">
        <v>48</v>
      </c>
      <c r="R483" s="109" t="s">
        <v>48</v>
      </c>
      <c r="S483" s="109" t="s">
        <v>48</v>
      </c>
      <c r="T483" s="109" t="s">
        <v>48</v>
      </c>
      <c r="U483" s="109" t="s">
        <v>48</v>
      </c>
      <c r="V483" s="166" t="s">
        <v>48</v>
      </c>
      <c r="W483" s="165" t="s">
        <v>1011</v>
      </c>
      <c r="X483" s="109" t="s">
        <v>1011</v>
      </c>
      <c r="Y483" s="109" t="s">
        <v>48</v>
      </c>
      <c r="Z483" s="109" t="s">
        <v>48</v>
      </c>
      <c r="AA483" s="109" t="s">
        <v>48</v>
      </c>
      <c r="AB483" s="109" t="s">
        <v>48</v>
      </c>
      <c r="AC483" s="109" t="s">
        <v>48</v>
      </c>
      <c r="AD483" s="166" t="s">
        <v>48</v>
      </c>
      <c r="AE483" s="174" t="s">
        <v>80</v>
      </c>
      <c r="AF483" s="117" t="s">
        <v>1382</v>
      </c>
      <c r="AG483" s="117" t="s">
        <v>1383</v>
      </c>
      <c r="AH483" s="109" t="s">
        <v>1908</v>
      </c>
      <c r="AI483" s="117" t="s">
        <v>1384</v>
      </c>
      <c r="AJ483" s="117" t="s">
        <v>1385</v>
      </c>
      <c r="AK483" s="182" t="s">
        <v>1386</v>
      </c>
      <c r="AL483" s="165" t="s">
        <v>1011</v>
      </c>
      <c r="AM483" s="109" t="s">
        <v>1011</v>
      </c>
      <c r="AN483" s="109" t="s">
        <v>48</v>
      </c>
      <c r="AO483" s="109" t="s">
        <v>48</v>
      </c>
      <c r="AP483" s="109" t="s">
        <v>48</v>
      </c>
      <c r="AQ483" s="109" t="s">
        <v>48</v>
      </c>
      <c r="AR483" s="109" t="s">
        <v>48</v>
      </c>
      <c r="AS483" s="166" t="s">
        <v>48</v>
      </c>
      <c r="AT483" s="165" t="s">
        <v>48</v>
      </c>
      <c r="AU483" s="109" t="s">
        <v>48</v>
      </c>
      <c r="AV483" s="109" t="s">
        <v>48</v>
      </c>
      <c r="AW483" s="109" t="s">
        <v>48</v>
      </c>
      <c r="AX483" s="109" t="s">
        <v>48</v>
      </c>
      <c r="AY483" s="109" t="s">
        <v>48</v>
      </c>
      <c r="AZ483" s="166" t="s">
        <v>48</v>
      </c>
      <c r="BA483" s="162" t="s">
        <v>1710</v>
      </c>
      <c r="BB483" s="109" t="s">
        <v>49</v>
      </c>
      <c r="BC483" s="120" t="s">
        <v>1692</v>
      </c>
    </row>
    <row r="484" spans="1:55" ht="75" hidden="1" customHeight="1">
      <c r="A484" s="109" t="s">
        <v>38</v>
      </c>
      <c r="B484" s="109" t="s">
        <v>2032</v>
      </c>
      <c r="C484" s="109" t="s">
        <v>1030</v>
      </c>
      <c r="D484" s="109" t="s">
        <v>1011</v>
      </c>
      <c r="E484" s="161">
        <v>15000</v>
      </c>
      <c r="F484" s="165" t="s">
        <v>1691</v>
      </c>
      <c r="G484" s="109" t="s">
        <v>1691</v>
      </c>
      <c r="H484" s="109" t="s">
        <v>1942</v>
      </c>
      <c r="I484" s="109" t="s">
        <v>1908</v>
      </c>
      <c r="J484" s="109" t="s">
        <v>1708</v>
      </c>
      <c r="K484" s="109" t="s">
        <v>1708</v>
      </c>
      <c r="L484" s="109" t="s">
        <v>1975</v>
      </c>
      <c r="M484" s="166" t="s">
        <v>1687</v>
      </c>
      <c r="N484" s="162" t="s">
        <v>48</v>
      </c>
      <c r="O484" s="109" t="s">
        <v>48</v>
      </c>
      <c r="P484" s="162" t="s">
        <v>48</v>
      </c>
      <c r="Q484" s="109" t="s">
        <v>48</v>
      </c>
      <c r="R484" s="109" t="s">
        <v>48</v>
      </c>
      <c r="S484" s="109" t="s">
        <v>48</v>
      </c>
      <c r="T484" s="109" t="s">
        <v>48</v>
      </c>
      <c r="U484" s="109" t="s">
        <v>48</v>
      </c>
      <c r="V484" s="166" t="s">
        <v>48</v>
      </c>
      <c r="W484" s="165" t="s">
        <v>1011</v>
      </c>
      <c r="X484" s="109" t="s">
        <v>1011</v>
      </c>
      <c r="Y484" s="109" t="s">
        <v>48</v>
      </c>
      <c r="Z484" s="109" t="s">
        <v>48</v>
      </c>
      <c r="AA484" s="109" t="s">
        <v>48</v>
      </c>
      <c r="AB484" s="109" t="s">
        <v>48</v>
      </c>
      <c r="AC484" s="109" t="s">
        <v>48</v>
      </c>
      <c r="AD484" s="166" t="s">
        <v>48</v>
      </c>
      <c r="AE484" s="174" t="s">
        <v>80</v>
      </c>
      <c r="AF484" s="117" t="s">
        <v>1382</v>
      </c>
      <c r="AG484" s="117" t="s">
        <v>1383</v>
      </c>
      <c r="AH484" s="109" t="s">
        <v>1908</v>
      </c>
      <c r="AI484" s="117" t="s">
        <v>1384</v>
      </c>
      <c r="AJ484" s="117" t="s">
        <v>1385</v>
      </c>
      <c r="AK484" s="182" t="s">
        <v>1386</v>
      </c>
      <c r="AL484" s="165" t="s">
        <v>1011</v>
      </c>
      <c r="AM484" s="109" t="s">
        <v>1011</v>
      </c>
      <c r="AN484" s="109" t="s">
        <v>48</v>
      </c>
      <c r="AO484" s="109" t="s">
        <v>48</v>
      </c>
      <c r="AP484" s="109" t="s">
        <v>48</v>
      </c>
      <c r="AQ484" s="109" t="s">
        <v>48</v>
      </c>
      <c r="AR484" s="109" t="s">
        <v>48</v>
      </c>
      <c r="AS484" s="166" t="s">
        <v>48</v>
      </c>
      <c r="AT484" s="165" t="s">
        <v>48</v>
      </c>
      <c r="AU484" s="109" t="s">
        <v>48</v>
      </c>
      <c r="AV484" s="109" t="s">
        <v>48</v>
      </c>
      <c r="AW484" s="109" t="s">
        <v>48</v>
      </c>
      <c r="AX484" s="109" t="s">
        <v>48</v>
      </c>
      <c r="AY484" s="109" t="s">
        <v>48</v>
      </c>
      <c r="AZ484" s="166" t="s">
        <v>48</v>
      </c>
      <c r="BA484" s="162" t="s">
        <v>1710</v>
      </c>
      <c r="BB484" s="109" t="s">
        <v>49</v>
      </c>
      <c r="BC484" s="120" t="s">
        <v>1692</v>
      </c>
    </row>
    <row r="485" spans="1:55" ht="75" hidden="1" customHeight="1">
      <c r="A485" s="109" t="s">
        <v>38</v>
      </c>
      <c r="B485" s="109" t="s">
        <v>2024</v>
      </c>
      <c r="C485" s="109" t="s">
        <v>1030</v>
      </c>
      <c r="D485" s="109" t="s">
        <v>1011</v>
      </c>
      <c r="E485" s="161">
        <v>15000</v>
      </c>
      <c r="F485" s="165" t="s">
        <v>1691</v>
      </c>
      <c r="G485" s="109" t="s">
        <v>1691</v>
      </c>
      <c r="H485" s="109" t="s">
        <v>1942</v>
      </c>
      <c r="I485" s="109" t="s">
        <v>1908</v>
      </c>
      <c r="J485" s="109" t="s">
        <v>1708</v>
      </c>
      <c r="K485" s="109" t="s">
        <v>1708</v>
      </c>
      <c r="L485" s="109" t="s">
        <v>1975</v>
      </c>
      <c r="M485" s="166" t="s">
        <v>1687</v>
      </c>
      <c r="N485" s="162" t="s">
        <v>48</v>
      </c>
      <c r="O485" s="109" t="s">
        <v>48</v>
      </c>
      <c r="P485" s="162" t="s">
        <v>48</v>
      </c>
      <c r="Q485" s="109" t="s">
        <v>48</v>
      </c>
      <c r="R485" s="109" t="s">
        <v>48</v>
      </c>
      <c r="S485" s="109" t="s">
        <v>48</v>
      </c>
      <c r="T485" s="109" t="s">
        <v>48</v>
      </c>
      <c r="U485" s="109" t="s">
        <v>48</v>
      </c>
      <c r="V485" s="166" t="s">
        <v>48</v>
      </c>
      <c r="W485" s="165" t="s">
        <v>1011</v>
      </c>
      <c r="X485" s="109" t="s">
        <v>1011</v>
      </c>
      <c r="Y485" s="109" t="s">
        <v>48</v>
      </c>
      <c r="Z485" s="109" t="s">
        <v>48</v>
      </c>
      <c r="AA485" s="109" t="s">
        <v>48</v>
      </c>
      <c r="AB485" s="109" t="s">
        <v>48</v>
      </c>
      <c r="AC485" s="109" t="s">
        <v>48</v>
      </c>
      <c r="AD485" s="166" t="s">
        <v>48</v>
      </c>
      <c r="AE485" s="174" t="s">
        <v>80</v>
      </c>
      <c r="AF485" s="117" t="s">
        <v>1382</v>
      </c>
      <c r="AG485" s="117" t="s">
        <v>1383</v>
      </c>
      <c r="AH485" s="109" t="s">
        <v>1908</v>
      </c>
      <c r="AI485" s="117" t="s">
        <v>1384</v>
      </c>
      <c r="AJ485" s="117" t="s">
        <v>1385</v>
      </c>
      <c r="AK485" s="182" t="s">
        <v>1386</v>
      </c>
      <c r="AL485" s="165" t="s">
        <v>1011</v>
      </c>
      <c r="AM485" s="109" t="s">
        <v>1011</v>
      </c>
      <c r="AN485" s="109" t="s">
        <v>48</v>
      </c>
      <c r="AO485" s="109" t="s">
        <v>48</v>
      </c>
      <c r="AP485" s="109" t="s">
        <v>48</v>
      </c>
      <c r="AQ485" s="109" t="s">
        <v>48</v>
      </c>
      <c r="AR485" s="109" t="s">
        <v>48</v>
      </c>
      <c r="AS485" s="166" t="s">
        <v>1031</v>
      </c>
      <c r="AT485" s="165" t="s">
        <v>48</v>
      </c>
      <c r="AU485" s="109" t="s">
        <v>48</v>
      </c>
      <c r="AV485" s="109" t="s">
        <v>48</v>
      </c>
      <c r="AW485" s="109" t="s">
        <v>48</v>
      </c>
      <c r="AX485" s="109" t="s">
        <v>48</v>
      </c>
      <c r="AY485" s="109" t="s">
        <v>48</v>
      </c>
      <c r="AZ485" s="166" t="s">
        <v>48</v>
      </c>
      <c r="BA485" s="162" t="s">
        <v>1710</v>
      </c>
      <c r="BB485" s="109" t="s">
        <v>49</v>
      </c>
      <c r="BC485" s="109" t="s">
        <v>1692</v>
      </c>
    </row>
    <row r="486" spans="1:55" ht="75" hidden="1" customHeight="1">
      <c r="A486" s="109" t="s">
        <v>2341</v>
      </c>
      <c r="B486" s="109" t="s">
        <v>2023</v>
      </c>
      <c r="C486" s="109" t="s">
        <v>1030</v>
      </c>
      <c r="D486" s="109" t="s">
        <v>1011</v>
      </c>
      <c r="E486" s="161">
        <v>30000</v>
      </c>
      <c r="F486" s="165" t="s">
        <v>1691</v>
      </c>
      <c r="G486" s="109" t="s">
        <v>1691</v>
      </c>
      <c r="H486" s="109" t="s">
        <v>1942</v>
      </c>
      <c r="I486" s="109" t="s">
        <v>1908</v>
      </c>
      <c r="J486" s="109" t="s">
        <v>1708</v>
      </c>
      <c r="K486" s="109" t="s">
        <v>1708</v>
      </c>
      <c r="L486" s="109" t="s">
        <v>1975</v>
      </c>
      <c r="M486" s="166" t="s">
        <v>1687</v>
      </c>
      <c r="N486" s="162" t="s">
        <v>48</v>
      </c>
      <c r="O486" s="109" t="s">
        <v>48</v>
      </c>
      <c r="P486" s="162" t="s">
        <v>48</v>
      </c>
      <c r="Q486" s="109" t="s">
        <v>48</v>
      </c>
      <c r="R486" s="109" t="s">
        <v>48</v>
      </c>
      <c r="S486" s="109" t="s">
        <v>48</v>
      </c>
      <c r="T486" s="109" t="s">
        <v>48</v>
      </c>
      <c r="U486" s="109" t="s">
        <v>48</v>
      </c>
      <c r="V486" s="166" t="s">
        <v>48</v>
      </c>
      <c r="W486" s="165" t="s">
        <v>1011</v>
      </c>
      <c r="X486" s="109" t="s">
        <v>1011</v>
      </c>
      <c r="Y486" s="109" t="s">
        <v>48</v>
      </c>
      <c r="Z486" s="109" t="s">
        <v>48</v>
      </c>
      <c r="AA486" s="109" t="s">
        <v>48</v>
      </c>
      <c r="AB486" s="109" t="s">
        <v>48</v>
      </c>
      <c r="AC486" s="109" t="s">
        <v>48</v>
      </c>
      <c r="AD486" s="166" t="s">
        <v>48</v>
      </c>
      <c r="AE486" s="174" t="s">
        <v>80</v>
      </c>
      <c r="AF486" s="117" t="s">
        <v>1382</v>
      </c>
      <c r="AG486" s="117" t="s">
        <v>1383</v>
      </c>
      <c r="AH486" s="109" t="s">
        <v>1908</v>
      </c>
      <c r="AI486" s="117" t="s">
        <v>1384</v>
      </c>
      <c r="AJ486" s="117" t="s">
        <v>1385</v>
      </c>
      <c r="AK486" s="182" t="s">
        <v>1386</v>
      </c>
      <c r="AL486" s="165" t="s">
        <v>1011</v>
      </c>
      <c r="AM486" s="109" t="s">
        <v>1011</v>
      </c>
      <c r="AN486" s="109" t="s">
        <v>48</v>
      </c>
      <c r="AO486" s="109" t="s">
        <v>48</v>
      </c>
      <c r="AP486" s="109" t="s">
        <v>48</v>
      </c>
      <c r="AQ486" s="109" t="s">
        <v>48</v>
      </c>
      <c r="AR486" s="109" t="s">
        <v>48</v>
      </c>
      <c r="AS486" s="166" t="s">
        <v>48</v>
      </c>
      <c r="AT486" s="165" t="s">
        <v>48</v>
      </c>
      <c r="AU486" s="109" t="s">
        <v>48</v>
      </c>
      <c r="AV486" s="109" t="s">
        <v>48</v>
      </c>
      <c r="AW486" s="109" t="s">
        <v>48</v>
      </c>
      <c r="AX486" s="109" t="s">
        <v>48</v>
      </c>
      <c r="AY486" s="109" t="s">
        <v>48</v>
      </c>
      <c r="AZ486" s="166" t="s">
        <v>48</v>
      </c>
      <c r="BA486" s="162" t="s">
        <v>1710</v>
      </c>
      <c r="BB486" s="109" t="s">
        <v>49</v>
      </c>
      <c r="BC486" s="120" t="s">
        <v>1692</v>
      </c>
    </row>
    <row r="487" spans="1:55" ht="75" hidden="1" customHeight="1">
      <c r="A487" s="109" t="s">
        <v>2340</v>
      </c>
      <c r="B487" s="109" t="s">
        <v>2022</v>
      </c>
      <c r="C487" s="109" t="s">
        <v>1030</v>
      </c>
      <c r="D487" s="109" t="s">
        <v>1011</v>
      </c>
      <c r="E487" s="161">
        <v>30000</v>
      </c>
      <c r="F487" s="165" t="s">
        <v>1691</v>
      </c>
      <c r="G487" s="109" t="s">
        <v>1691</v>
      </c>
      <c r="H487" s="109" t="s">
        <v>1942</v>
      </c>
      <c r="I487" s="109" t="s">
        <v>1908</v>
      </c>
      <c r="J487" s="109" t="s">
        <v>1708</v>
      </c>
      <c r="K487" s="109" t="s">
        <v>1708</v>
      </c>
      <c r="L487" s="109" t="s">
        <v>1975</v>
      </c>
      <c r="M487" s="166" t="s">
        <v>1687</v>
      </c>
      <c r="N487" s="162" t="s">
        <v>48</v>
      </c>
      <c r="O487" s="109" t="s">
        <v>48</v>
      </c>
      <c r="P487" s="162" t="s">
        <v>48</v>
      </c>
      <c r="Q487" s="109" t="s">
        <v>48</v>
      </c>
      <c r="R487" s="109" t="s">
        <v>48</v>
      </c>
      <c r="S487" s="109" t="s">
        <v>48</v>
      </c>
      <c r="T487" s="109" t="s">
        <v>48</v>
      </c>
      <c r="U487" s="109" t="s">
        <v>48</v>
      </c>
      <c r="V487" s="166" t="s">
        <v>48</v>
      </c>
      <c r="W487" s="165" t="s">
        <v>1011</v>
      </c>
      <c r="X487" s="109" t="s">
        <v>1011</v>
      </c>
      <c r="Y487" s="109" t="s">
        <v>48</v>
      </c>
      <c r="Z487" s="109" t="s">
        <v>48</v>
      </c>
      <c r="AA487" s="109" t="s">
        <v>48</v>
      </c>
      <c r="AB487" s="109" t="s">
        <v>48</v>
      </c>
      <c r="AC487" s="109" t="s">
        <v>48</v>
      </c>
      <c r="AD487" s="166" t="s">
        <v>48</v>
      </c>
      <c r="AE487" s="174" t="s">
        <v>80</v>
      </c>
      <c r="AF487" s="117" t="s">
        <v>1382</v>
      </c>
      <c r="AG487" s="117" t="s">
        <v>1383</v>
      </c>
      <c r="AH487" s="109" t="s">
        <v>1908</v>
      </c>
      <c r="AI487" s="117" t="s">
        <v>1384</v>
      </c>
      <c r="AJ487" s="117" t="s">
        <v>1385</v>
      </c>
      <c r="AK487" s="182" t="s">
        <v>1386</v>
      </c>
      <c r="AL487" s="165" t="s">
        <v>1011</v>
      </c>
      <c r="AM487" s="109" t="s">
        <v>1011</v>
      </c>
      <c r="AN487" s="109" t="s">
        <v>48</v>
      </c>
      <c r="AO487" s="109" t="s">
        <v>48</v>
      </c>
      <c r="AP487" s="109" t="s">
        <v>48</v>
      </c>
      <c r="AQ487" s="109" t="s">
        <v>48</v>
      </c>
      <c r="AR487" s="109" t="s">
        <v>48</v>
      </c>
      <c r="AS487" s="166" t="s">
        <v>48</v>
      </c>
      <c r="AT487" s="165" t="s">
        <v>48</v>
      </c>
      <c r="AU487" s="109" t="s">
        <v>48</v>
      </c>
      <c r="AV487" s="109" t="s">
        <v>48</v>
      </c>
      <c r="AW487" s="109" t="s">
        <v>48</v>
      </c>
      <c r="AX487" s="109" t="s">
        <v>48</v>
      </c>
      <c r="AY487" s="109" t="s">
        <v>48</v>
      </c>
      <c r="AZ487" s="166" t="s">
        <v>48</v>
      </c>
      <c r="BA487" s="162" t="s">
        <v>1710</v>
      </c>
      <c r="BB487" s="109" t="s">
        <v>49</v>
      </c>
      <c r="BC487" s="120" t="s">
        <v>1692</v>
      </c>
    </row>
    <row r="488" spans="1:55" ht="75" hidden="1" customHeight="1">
      <c r="A488" s="109" t="s">
        <v>2339</v>
      </c>
      <c r="B488" s="109" t="s">
        <v>2031</v>
      </c>
      <c r="C488" s="109" t="s">
        <v>1030</v>
      </c>
      <c r="D488" s="109" t="s">
        <v>1011</v>
      </c>
      <c r="E488" s="161">
        <v>15000</v>
      </c>
      <c r="F488" s="165" t="s">
        <v>1691</v>
      </c>
      <c r="G488" s="109" t="s">
        <v>1691</v>
      </c>
      <c r="H488" s="109" t="s">
        <v>1942</v>
      </c>
      <c r="I488" s="109" t="s">
        <v>1908</v>
      </c>
      <c r="J488" s="109" t="s">
        <v>1708</v>
      </c>
      <c r="K488" s="109" t="s">
        <v>1708</v>
      </c>
      <c r="L488" s="109" t="s">
        <v>1975</v>
      </c>
      <c r="M488" s="166" t="s">
        <v>1687</v>
      </c>
      <c r="N488" s="162" t="s">
        <v>48</v>
      </c>
      <c r="O488" s="109" t="s">
        <v>48</v>
      </c>
      <c r="P488" s="162" t="s">
        <v>48</v>
      </c>
      <c r="Q488" s="109" t="s">
        <v>48</v>
      </c>
      <c r="R488" s="109" t="s">
        <v>48</v>
      </c>
      <c r="S488" s="109" t="s">
        <v>48</v>
      </c>
      <c r="T488" s="109" t="s">
        <v>48</v>
      </c>
      <c r="U488" s="109" t="s">
        <v>48</v>
      </c>
      <c r="V488" s="166" t="s">
        <v>48</v>
      </c>
      <c r="W488" s="165" t="s">
        <v>1011</v>
      </c>
      <c r="X488" s="109" t="s">
        <v>1011</v>
      </c>
      <c r="Y488" s="109" t="s">
        <v>48</v>
      </c>
      <c r="Z488" s="109" t="s">
        <v>48</v>
      </c>
      <c r="AA488" s="109" t="s">
        <v>48</v>
      </c>
      <c r="AB488" s="109" t="s">
        <v>48</v>
      </c>
      <c r="AC488" s="109" t="s">
        <v>48</v>
      </c>
      <c r="AD488" s="166" t="s">
        <v>48</v>
      </c>
      <c r="AE488" s="174" t="s">
        <v>80</v>
      </c>
      <c r="AF488" s="117" t="s">
        <v>1382</v>
      </c>
      <c r="AG488" s="117" t="s">
        <v>1383</v>
      </c>
      <c r="AH488" s="109" t="s">
        <v>1908</v>
      </c>
      <c r="AI488" s="117" t="s">
        <v>1384</v>
      </c>
      <c r="AJ488" s="117" t="s">
        <v>1385</v>
      </c>
      <c r="AK488" s="182" t="s">
        <v>1386</v>
      </c>
      <c r="AL488" s="165" t="s">
        <v>1011</v>
      </c>
      <c r="AM488" s="109" t="s">
        <v>1011</v>
      </c>
      <c r="AN488" s="109" t="s">
        <v>48</v>
      </c>
      <c r="AO488" s="109" t="s">
        <v>48</v>
      </c>
      <c r="AP488" s="109" t="s">
        <v>48</v>
      </c>
      <c r="AQ488" s="109" t="s">
        <v>48</v>
      </c>
      <c r="AR488" s="109" t="s">
        <v>48</v>
      </c>
      <c r="AS488" s="166" t="s">
        <v>48</v>
      </c>
      <c r="AT488" s="165" t="s">
        <v>48</v>
      </c>
      <c r="AU488" s="109" t="s">
        <v>48</v>
      </c>
      <c r="AV488" s="109" t="s">
        <v>48</v>
      </c>
      <c r="AW488" s="109" t="s">
        <v>48</v>
      </c>
      <c r="AX488" s="109" t="s">
        <v>48</v>
      </c>
      <c r="AY488" s="109" t="s">
        <v>48</v>
      </c>
      <c r="AZ488" s="166" t="s">
        <v>48</v>
      </c>
      <c r="BA488" s="162" t="s">
        <v>1710</v>
      </c>
      <c r="BB488" s="109" t="s">
        <v>49</v>
      </c>
      <c r="BC488" s="120" t="s">
        <v>1692</v>
      </c>
    </row>
    <row r="489" spans="1:55" ht="75" hidden="1" customHeight="1">
      <c r="A489" s="109" t="s">
        <v>38</v>
      </c>
      <c r="B489" s="109" t="s">
        <v>2032</v>
      </c>
      <c r="C489" s="109" t="s">
        <v>1690</v>
      </c>
      <c r="D489" s="109" t="s">
        <v>1691</v>
      </c>
      <c r="E489" s="161">
        <v>15000</v>
      </c>
      <c r="F489" s="165" t="s">
        <v>1691</v>
      </c>
      <c r="G489" s="109" t="s">
        <v>1691</v>
      </c>
      <c r="H489" s="109" t="s">
        <v>48</v>
      </c>
      <c r="I489" s="109" t="s">
        <v>48</v>
      </c>
      <c r="J489" s="109" t="s">
        <v>48</v>
      </c>
      <c r="K489" s="109" t="s">
        <v>48</v>
      </c>
      <c r="L489" s="109" t="s">
        <v>48</v>
      </c>
      <c r="M489" s="166" t="s">
        <v>1687</v>
      </c>
      <c r="N489" s="162" t="s">
        <v>48</v>
      </c>
      <c r="O489" s="109" t="s">
        <v>48</v>
      </c>
      <c r="P489" s="162" t="s">
        <v>48</v>
      </c>
      <c r="Q489" s="109" t="s">
        <v>48</v>
      </c>
      <c r="R489" s="109" t="s">
        <v>48</v>
      </c>
      <c r="S489" s="109" t="s">
        <v>48</v>
      </c>
      <c r="T489" s="109" t="s">
        <v>48</v>
      </c>
      <c r="U489" s="109" t="s">
        <v>48</v>
      </c>
      <c r="V489" s="166" t="s">
        <v>48</v>
      </c>
      <c r="W489" s="165" t="s">
        <v>1691</v>
      </c>
      <c r="X489" s="109" t="s">
        <v>1691</v>
      </c>
      <c r="Y489" s="109" t="s">
        <v>48</v>
      </c>
      <c r="Z489" s="109" t="s">
        <v>48</v>
      </c>
      <c r="AA489" s="109" t="s">
        <v>48</v>
      </c>
      <c r="AB489" s="109" t="s">
        <v>48</v>
      </c>
      <c r="AC489" s="109" t="s">
        <v>48</v>
      </c>
      <c r="AD489" s="166" t="s">
        <v>48</v>
      </c>
      <c r="AE489" s="174" t="s">
        <v>48</v>
      </c>
      <c r="AF489" s="117" t="s">
        <v>48</v>
      </c>
      <c r="AG489" s="117" t="s">
        <v>48</v>
      </c>
      <c r="AH489" s="109" t="s">
        <v>48</v>
      </c>
      <c r="AI489" s="117" t="s">
        <v>48</v>
      </c>
      <c r="AJ489" s="117" t="s">
        <v>48</v>
      </c>
      <c r="AK489" s="182" t="s">
        <v>48</v>
      </c>
      <c r="AL489" s="165" t="s">
        <v>1691</v>
      </c>
      <c r="AM489" s="109" t="s">
        <v>1691</v>
      </c>
      <c r="AN489" s="109" t="s">
        <v>48</v>
      </c>
      <c r="AO489" s="109" t="s">
        <v>48</v>
      </c>
      <c r="AP489" s="109" t="s">
        <v>48</v>
      </c>
      <c r="AQ489" s="109" t="s">
        <v>48</v>
      </c>
      <c r="AR489" s="109" t="s">
        <v>48</v>
      </c>
      <c r="AS489" s="166" t="s">
        <v>1687</v>
      </c>
      <c r="AT489" s="165" t="s">
        <v>48</v>
      </c>
      <c r="AU489" s="109" t="s">
        <v>48</v>
      </c>
      <c r="AV489" s="109" t="s">
        <v>48</v>
      </c>
      <c r="AW489" s="109" t="s">
        <v>48</v>
      </c>
      <c r="AX489" s="109" t="s">
        <v>48</v>
      </c>
      <c r="AY489" s="109" t="s">
        <v>48</v>
      </c>
      <c r="AZ489" s="166" t="s">
        <v>48</v>
      </c>
      <c r="BA489" s="162" t="s">
        <v>1710</v>
      </c>
      <c r="BB489" s="109" t="s">
        <v>49</v>
      </c>
      <c r="BC489" s="109" t="s">
        <v>1692</v>
      </c>
    </row>
    <row r="490" spans="1:55" ht="75" hidden="1" customHeight="1">
      <c r="A490" s="109" t="s">
        <v>38</v>
      </c>
      <c r="B490" s="109" t="s">
        <v>2024</v>
      </c>
      <c r="C490" s="109" t="s">
        <v>1690</v>
      </c>
      <c r="D490" s="109" t="s">
        <v>1691</v>
      </c>
      <c r="E490" s="161">
        <v>15000</v>
      </c>
      <c r="F490" s="165" t="s">
        <v>1691</v>
      </c>
      <c r="G490" s="109" t="s">
        <v>1691</v>
      </c>
      <c r="H490" s="109" t="s">
        <v>48</v>
      </c>
      <c r="I490" s="109" t="s">
        <v>48</v>
      </c>
      <c r="J490" s="109" t="s">
        <v>48</v>
      </c>
      <c r="K490" s="109" t="s">
        <v>48</v>
      </c>
      <c r="L490" s="109" t="s">
        <v>48</v>
      </c>
      <c r="M490" s="166" t="s">
        <v>1687</v>
      </c>
      <c r="N490" s="162" t="s">
        <v>48</v>
      </c>
      <c r="O490" s="109" t="s">
        <v>48</v>
      </c>
      <c r="P490" s="162" t="s">
        <v>48</v>
      </c>
      <c r="Q490" s="109" t="s">
        <v>48</v>
      </c>
      <c r="R490" s="109" t="s">
        <v>48</v>
      </c>
      <c r="S490" s="109" t="s">
        <v>48</v>
      </c>
      <c r="T490" s="109" t="s">
        <v>48</v>
      </c>
      <c r="U490" s="109" t="s">
        <v>48</v>
      </c>
      <c r="V490" s="166" t="s">
        <v>48</v>
      </c>
      <c r="W490" s="165" t="s">
        <v>1691</v>
      </c>
      <c r="X490" s="109" t="s">
        <v>1691</v>
      </c>
      <c r="Y490" s="109" t="s">
        <v>48</v>
      </c>
      <c r="Z490" s="109" t="s">
        <v>48</v>
      </c>
      <c r="AA490" s="109" t="s">
        <v>48</v>
      </c>
      <c r="AB490" s="109" t="s">
        <v>48</v>
      </c>
      <c r="AC490" s="109" t="s">
        <v>48</v>
      </c>
      <c r="AD490" s="166" t="s">
        <v>48</v>
      </c>
      <c r="AE490" s="165" t="s">
        <v>48</v>
      </c>
      <c r="AF490" s="109" t="s">
        <v>48</v>
      </c>
      <c r="AG490" s="109" t="s">
        <v>48</v>
      </c>
      <c r="AH490" s="109" t="s">
        <v>48</v>
      </c>
      <c r="AI490" s="109" t="s">
        <v>48</v>
      </c>
      <c r="AJ490" s="109" t="s">
        <v>48</v>
      </c>
      <c r="AK490" s="166" t="s">
        <v>48</v>
      </c>
      <c r="AL490" s="165" t="s">
        <v>1691</v>
      </c>
      <c r="AM490" s="109" t="s">
        <v>1691</v>
      </c>
      <c r="AN490" s="109" t="s">
        <v>48</v>
      </c>
      <c r="AO490" s="109" t="s">
        <v>48</v>
      </c>
      <c r="AP490" s="109" t="s">
        <v>48</v>
      </c>
      <c r="AQ490" s="109" t="s">
        <v>48</v>
      </c>
      <c r="AR490" s="109" t="s">
        <v>48</v>
      </c>
      <c r="AS490" s="166" t="s">
        <v>1687</v>
      </c>
      <c r="AT490" s="165" t="s">
        <v>48</v>
      </c>
      <c r="AU490" s="109" t="s">
        <v>48</v>
      </c>
      <c r="AV490" s="109" t="s">
        <v>48</v>
      </c>
      <c r="AW490" s="109" t="s">
        <v>48</v>
      </c>
      <c r="AX490" s="109" t="s">
        <v>48</v>
      </c>
      <c r="AY490" s="109" t="s">
        <v>48</v>
      </c>
      <c r="AZ490" s="166" t="s">
        <v>48</v>
      </c>
      <c r="BA490" s="162" t="s">
        <v>48</v>
      </c>
      <c r="BB490" s="109" t="s">
        <v>49</v>
      </c>
      <c r="BC490" s="109"/>
    </row>
    <row r="491" spans="1:55" ht="75" hidden="1" customHeight="1">
      <c r="A491" s="109" t="s">
        <v>41</v>
      </c>
      <c r="B491" s="117" t="s">
        <v>2466</v>
      </c>
      <c r="C491" s="109" t="s">
        <v>647</v>
      </c>
      <c r="D491" s="109" t="s">
        <v>646</v>
      </c>
      <c r="E491" s="161">
        <v>15000</v>
      </c>
      <c r="F491" s="165" t="s">
        <v>1691</v>
      </c>
      <c r="G491" s="109" t="s">
        <v>1691</v>
      </c>
      <c r="H491" s="109" t="s">
        <v>1942</v>
      </c>
      <c r="I491" s="109" t="s">
        <v>1908</v>
      </c>
      <c r="J491" s="109" t="s">
        <v>1708</v>
      </c>
      <c r="K491" s="109" t="s">
        <v>1708</v>
      </c>
      <c r="L491" s="109" t="s">
        <v>1975</v>
      </c>
      <c r="M491" s="166" t="s">
        <v>1687</v>
      </c>
      <c r="N491" s="162" t="s">
        <v>48</v>
      </c>
      <c r="O491" s="109" t="s">
        <v>48</v>
      </c>
      <c r="P491" s="162" t="s">
        <v>48</v>
      </c>
      <c r="Q491" s="109" t="s">
        <v>48</v>
      </c>
      <c r="R491" s="109" t="s">
        <v>48</v>
      </c>
      <c r="S491" s="109" t="s">
        <v>48</v>
      </c>
      <c r="T491" s="109" t="s">
        <v>48</v>
      </c>
      <c r="U491" s="109" t="s">
        <v>48</v>
      </c>
      <c r="V491" s="166" t="s">
        <v>48</v>
      </c>
      <c r="W491" s="165" t="s">
        <v>646</v>
      </c>
      <c r="X491" s="109" t="s">
        <v>646</v>
      </c>
      <c r="Y491" s="109" t="s">
        <v>48</v>
      </c>
      <c r="Z491" s="109" t="s">
        <v>48</v>
      </c>
      <c r="AA491" s="109" t="s">
        <v>48</v>
      </c>
      <c r="AB491" s="109" t="s">
        <v>48</v>
      </c>
      <c r="AC491" s="109" t="s">
        <v>48</v>
      </c>
      <c r="AD491" s="166" t="s">
        <v>48</v>
      </c>
      <c r="AE491" s="165" t="s">
        <v>80</v>
      </c>
      <c r="AF491" s="109" t="s">
        <v>744</v>
      </c>
      <c r="AG491" s="109" t="s">
        <v>747</v>
      </c>
      <c r="AH491" s="109" t="s">
        <v>1908</v>
      </c>
      <c r="AI491" s="109" t="s">
        <v>745</v>
      </c>
      <c r="AJ491" s="109">
        <v>5815499</v>
      </c>
      <c r="AK491" s="166" t="s">
        <v>746</v>
      </c>
      <c r="AL491" s="165" t="s">
        <v>646</v>
      </c>
      <c r="AM491" s="109" t="s">
        <v>646</v>
      </c>
      <c r="AN491" s="109" t="s">
        <v>48</v>
      </c>
      <c r="AO491" s="109" t="s">
        <v>48</v>
      </c>
      <c r="AP491" s="109" t="s">
        <v>48</v>
      </c>
      <c r="AQ491" s="109" t="s">
        <v>48</v>
      </c>
      <c r="AR491" s="109" t="s">
        <v>48</v>
      </c>
      <c r="AS491" s="166" t="s">
        <v>48</v>
      </c>
      <c r="AT491" s="165" t="s">
        <v>48</v>
      </c>
      <c r="AU491" s="109" t="s">
        <v>48</v>
      </c>
      <c r="AV491" s="109" t="s">
        <v>48</v>
      </c>
      <c r="AW491" s="109" t="s">
        <v>48</v>
      </c>
      <c r="AX491" s="109" t="s">
        <v>48</v>
      </c>
      <c r="AY491" s="109" t="s">
        <v>48</v>
      </c>
      <c r="AZ491" s="166" t="s">
        <v>48</v>
      </c>
      <c r="BA491" s="162" t="s">
        <v>1710</v>
      </c>
      <c r="BB491" s="109" t="s">
        <v>49</v>
      </c>
      <c r="BC491" s="120" t="s">
        <v>1692</v>
      </c>
    </row>
    <row r="492" spans="1:55" ht="75" hidden="1" customHeight="1">
      <c r="A492" s="109" t="s">
        <v>41</v>
      </c>
      <c r="B492" s="117" t="s">
        <v>2028</v>
      </c>
      <c r="C492" s="109" t="s">
        <v>647</v>
      </c>
      <c r="D492" s="109" t="s">
        <v>646</v>
      </c>
      <c r="E492" s="161">
        <v>15000</v>
      </c>
      <c r="F492" s="165" t="s">
        <v>1691</v>
      </c>
      <c r="G492" s="109" t="s">
        <v>1691</v>
      </c>
      <c r="H492" s="109" t="s">
        <v>1942</v>
      </c>
      <c r="I492" s="109" t="s">
        <v>1908</v>
      </c>
      <c r="J492" s="109" t="s">
        <v>1708</v>
      </c>
      <c r="K492" s="109" t="s">
        <v>1708</v>
      </c>
      <c r="L492" s="109" t="s">
        <v>1975</v>
      </c>
      <c r="M492" s="166" t="s">
        <v>1687</v>
      </c>
      <c r="N492" s="162" t="s">
        <v>48</v>
      </c>
      <c r="O492" s="109" t="s">
        <v>48</v>
      </c>
      <c r="P492" s="162" t="s">
        <v>48</v>
      </c>
      <c r="Q492" s="109" t="s">
        <v>48</v>
      </c>
      <c r="R492" s="109" t="s">
        <v>48</v>
      </c>
      <c r="S492" s="109" t="s">
        <v>48</v>
      </c>
      <c r="T492" s="109" t="s">
        <v>48</v>
      </c>
      <c r="U492" s="109" t="s">
        <v>48</v>
      </c>
      <c r="V492" s="166" t="s">
        <v>48</v>
      </c>
      <c r="W492" s="165" t="s">
        <v>646</v>
      </c>
      <c r="X492" s="109" t="s">
        <v>646</v>
      </c>
      <c r="Y492" s="109" t="s">
        <v>48</v>
      </c>
      <c r="Z492" s="109" t="s">
        <v>48</v>
      </c>
      <c r="AA492" s="109" t="s">
        <v>48</v>
      </c>
      <c r="AB492" s="109" t="s">
        <v>48</v>
      </c>
      <c r="AC492" s="109" t="s">
        <v>48</v>
      </c>
      <c r="AD492" s="166" t="s">
        <v>48</v>
      </c>
      <c r="AE492" s="165" t="s">
        <v>80</v>
      </c>
      <c r="AF492" s="109" t="s">
        <v>744</v>
      </c>
      <c r="AG492" s="109" t="s">
        <v>747</v>
      </c>
      <c r="AH492" s="109" t="s">
        <v>1908</v>
      </c>
      <c r="AI492" s="109" t="s">
        <v>745</v>
      </c>
      <c r="AJ492" s="109">
        <v>5815499</v>
      </c>
      <c r="AK492" s="166" t="s">
        <v>746</v>
      </c>
      <c r="AL492" s="165" t="s">
        <v>646</v>
      </c>
      <c r="AM492" s="109" t="s">
        <v>646</v>
      </c>
      <c r="AN492" s="109" t="s">
        <v>48</v>
      </c>
      <c r="AO492" s="109" t="s">
        <v>48</v>
      </c>
      <c r="AP492" s="109" t="s">
        <v>48</v>
      </c>
      <c r="AQ492" s="109" t="s">
        <v>48</v>
      </c>
      <c r="AR492" s="109" t="s">
        <v>48</v>
      </c>
      <c r="AS492" s="166" t="s">
        <v>48</v>
      </c>
      <c r="AT492" s="165" t="s">
        <v>48</v>
      </c>
      <c r="AU492" s="109" t="s">
        <v>48</v>
      </c>
      <c r="AV492" s="109" t="s">
        <v>48</v>
      </c>
      <c r="AW492" s="109" t="s">
        <v>48</v>
      </c>
      <c r="AX492" s="109" t="s">
        <v>48</v>
      </c>
      <c r="AY492" s="109" t="s">
        <v>48</v>
      </c>
      <c r="AZ492" s="166" t="s">
        <v>48</v>
      </c>
      <c r="BA492" s="162" t="s">
        <v>1710</v>
      </c>
      <c r="BB492" s="109" t="s">
        <v>49</v>
      </c>
      <c r="BC492" s="120" t="s">
        <v>1692</v>
      </c>
    </row>
    <row r="493" spans="1:55" ht="75" hidden="1" customHeight="1">
      <c r="A493" s="109" t="s">
        <v>40</v>
      </c>
      <c r="B493" s="117" t="s">
        <v>2467</v>
      </c>
      <c r="C493" s="109" t="s">
        <v>647</v>
      </c>
      <c r="D493" s="109" t="s">
        <v>646</v>
      </c>
      <c r="E493" s="161">
        <v>30000</v>
      </c>
      <c r="F493" s="165" t="s">
        <v>1691</v>
      </c>
      <c r="G493" s="109" t="s">
        <v>1691</v>
      </c>
      <c r="H493" s="109" t="s">
        <v>1942</v>
      </c>
      <c r="I493" s="109" t="s">
        <v>1908</v>
      </c>
      <c r="J493" s="109" t="s">
        <v>1708</v>
      </c>
      <c r="K493" s="109" t="s">
        <v>1708</v>
      </c>
      <c r="L493" s="109" t="s">
        <v>1975</v>
      </c>
      <c r="M493" s="166" t="s">
        <v>1687</v>
      </c>
      <c r="N493" s="162" t="s">
        <v>48</v>
      </c>
      <c r="O493" s="109" t="s">
        <v>48</v>
      </c>
      <c r="P493" s="162" t="s">
        <v>48</v>
      </c>
      <c r="Q493" s="109" t="s">
        <v>48</v>
      </c>
      <c r="R493" s="109" t="s">
        <v>48</v>
      </c>
      <c r="S493" s="109" t="s">
        <v>48</v>
      </c>
      <c r="T493" s="109" t="s">
        <v>48</v>
      </c>
      <c r="U493" s="109" t="s">
        <v>48</v>
      </c>
      <c r="V493" s="166" t="s">
        <v>48</v>
      </c>
      <c r="W493" s="165" t="s">
        <v>646</v>
      </c>
      <c r="X493" s="109" t="s">
        <v>646</v>
      </c>
      <c r="Y493" s="109" t="s">
        <v>48</v>
      </c>
      <c r="Z493" s="109" t="s">
        <v>48</v>
      </c>
      <c r="AA493" s="109" t="s">
        <v>48</v>
      </c>
      <c r="AB493" s="109" t="s">
        <v>48</v>
      </c>
      <c r="AC493" s="109" t="s">
        <v>48</v>
      </c>
      <c r="AD493" s="166" t="s">
        <v>48</v>
      </c>
      <c r="AE493" s="165" t="s">
        <v>80</v>
      </c>
      <c r="AF493" s="109" t="s">
        <v>744</v>
      </c>
      <c r="AG493" s="109" t="s">
        <v>747</v>
      </c>
      <c r="AH493" s="109" t="s">
        <v>1908</v>
      </c>
      <c r="AI493" s="109" t="s">
        <v>745</v>
      </c>
      <c r="AJ493" s="109">
        <v>5815499</v>
      </c>
      <c r="AK493" s="166" t="s">
        <v>746</v>
      </c>
      <c r="AL493" s="165" t="s">
        <v>646</v>
      </c>
      <c r="AM493" s="109" t="s">
        <v>646</v>
      </c>
      <c r="AN493" s="109" t="s">
        <v>48</v>
      </c>
      <c r="AO493" s="109" t="s">
        <v>48</v>
      </c>
      <c r="AP493" s="109" t="s">
        <v>48</v>
      </c>
      <c r="AQ493" s="109" t="s">
        <v>48</v>
      </c>
      <c r="AR493" s="109" t="s">
        <v>48</v>
      </c>
      <c r="AS493" s="166" t="s">
        <v>48</v>
      </c>
      <c r="AT493" s="165" t="s">
        <v>48</v>
      </c>
      <c r="AU493" s="109" t="s">
        <v>48</v>
      </c>
      <c r="AV493" s="109" t="s">
        <v>48</v>
      </c>
      <c r="AW493" s="109" t="s">
        <v>48</v>
      </c>
      <c r="AX493" s="109" t="s">
        <v>48</v>
      </c>
      <c r="AY493" s="109" t="s">
        <v>48</v>
      </c>
      <c r="AZ493" s="166" t="s">
        <v>48</v>
      </c>
      <c r="BA493" s="162" t="s">
        <v>1710</v>
      </c>
      <c r="BB493" s="109" t="s">
        <v>49</v>
      </c>
      <c r="BC493" s="120" t="s">
        <v>1692</v>
      </c>
    </row>
    <row r="494" spans="1:55" ht="75" hidden="1" customHeight="1">
      <c r="A494" s="109" t="s">
        <v>40</v>
      </c>
      <c r="B494" s="117" t="s">
        <v>2029</v>
      </c>
      <c r="C494" s="109" t="s">
        <v>647</v>
      </c>
      <c r="D494" s="109" t="s">
        <v>646</v>
      </c>
      <c r="E494" s="161">
        <v>30000</v>
      </c>
      <c r="F494" s="165" t="s">
        <v>1691</v>
      </c>
      <c r="G494" s="109" t="s">
        <v>1691</v>
      </c>
      <c r="H494" s="109" t="s">
        <v>1942</v>
      </c>
      <c r="I494" s="109" t="s">
        <v>1908</v>
      </c>
      <c r="J494" s="109" t="s">
        <v>1708</v>
      </c>
      <c r="K494" s="109" t="s">
        <v>1708</v>
      </c>
      <c r="L494" s="109" t="s">
        <v>1975</v>
      </c>
      <c r="M494" s="166" t="s">
        <v>1687</v>
      </c>
      <c r="N494" s="162" t="s">
        <v>48</v>
      </c>
      <c r="O494" s="109" t="s">
        <v>48</v>
      </c>
      <c r="P494" s="162" t="s">
        <v>48</v>
      </c>
      <c r="Q494" s="109" t="s">
        <v>48</v>
      </c>
      <c r="R494" s="109" t="s">
        <v>48</v>
      </c>
      <c r="S494" s="109" t="s">
        <v>48</v>
      </c>
      <c r="T494" s="109" t="s">
        <v>48</v>
      </c>
      <c r="U494" s="109" t="s">
        <v>48</v>
      </c>
      <c r="V494" s="166" t="s">
        <v>48</v>
      </c>
      <c r="W494" s="165" t="s">
        <v>646</v>
      </c>
      <c r="X494" s="109" t="s">
        <v>646</v>
      </c>
      <c r="Y494" s="109" t="s">
        <v>48</v>
      </c>
      <c r="Z494" s="109" t="s">
        <v>48</v>
      </c>
      <c r="AA494" s="109" t="s">
        <v>48</v>
      </c>
      <c r="AB494" s="109" t="s">
        <v>48</v>
      </c>
      <c r="AC494" s="109" t="s">
        <v>48</v>
      </c>
      <c r="AD494" s="166" t="s">
        <v>48</v>
      </c>
      <c r="AE494" s="165" t="s">
        <v>80</v>
      </c>
      <c r="AF494" s="109" t="s">
        <v>744</v>
      </c>
      <c r="AG494" s="109" t="s">
        <v>747</v>
      </c>
      <c r="AH494" s="109" t="s">
        <v>1908</v>
      </c>
      <c r="AI494" s="109" t="s">
        <v>745</v>
      </c>
      <c r="AJ494" s="109">
        <v>5815499</v>
      </c>
      <c r="AK494" s="166" t="s">
        <v>746</v>
      </c>
      <c r="AL494" s="165" t="s">
        <v>646</v>
      </c>
      <c r="AM494" s="109" t="s">
        <v>646</v>
      </c>
      <c r="AN494" s="109" t="s">
        <v>48</v>
      </c>
      <c r="AO494" s="109" t="s">
        <v>48</v>
      </c>
      <c r="AP494" s="109" t="s">
        <v>48</v>
      </c>
      <c r="AQ494" s="109" t="s">
        <v>48</v>
      </c>
      <c r="AR494" s="109" t="s">
        <v>48</v>
      </c>
      <c r="AS494" s="166" t="s">
        <v>48</v>
      </c>
      <c r="AT494" s="165" t="s">
        <v>48</v>
      </c>
      <c r="AU494" s="109" t="s">
        <v>48</v>
      </c>
      <c r="AV494" s="109" t="s">
        <v>48</v>
      </c>
      <c r="AW494" s="109" t="s">
        <v>48</v>
      </c>
      <c r="AX494" s="109" t="s">
        <v>48</v>
      </c>
      <c r="AY494" s="109" t="s">
        <v>48</v>
      </c>
      <c r="AZ494" s="166" t="s">
        <v>48</v>
      </c>
      <c r="BA494" s="162" t="s">
        <v>1710</v>
      </c>
      <c r="BB494" s="109" t="s">
        <v>49</v>
      </c>
      <c r="BC494" s="120" t="s">
        <v>1692</v>
      </c>
    </row>
    <row r="495" spans="1:55" ht="75" hidden="1" customHeight="1">
      <c r="A495" s="109" t="s">
        <v>38</v>
      </c>
      <c r="B495" s="109" t="s">
        <v>2032</v>
      </c>
      <c r="C495" s="109" t="s">
        <v>647</v>
      </c>
      <c r="D495" s="109" t="s">
        <v>646</v>
      </c>
      <c r="E495" s="161">
        <v>15000</v>
      </c>
      <c r="F495" s="165" t="s">
        <v>1691</v>
      </c>
      <c r="G495" s="109" t="s">
        <v>1691</v>
      </c>
      <c r="H495" s="109" t="s">
        <v>1942</v>
      </c>
      <c r="I495" s="109" t="s">
        <v>1908</v>
      </c>
      <c r="J495" s="109" t="s">
        <v>1708</v>
      </c>
      <c r="K495" s="109" t="s">
        <v>1708</v>
      </c>
      <c r="L495" s="109" t="s">
        <v>1975</v>
      </c>
      <c r="M495" s="166" t="s">
        <v>1687</v>
      </c>
      <c r="N495" s="162" t="s">
        <v>48</v>
      </c>
      <c r="O495" s="109" t="s">
        <v>48</v>
      </c>
      <c r="P495" s="162" t="s">
        <v>48</v>
      </c>
      <c r="Q495" s="109" t="s">
        <v>48</v>
      </c>
      <c r="R495" s="109" t="s">
        <v>48</v>
      </c>
      <c r="S495" s="109" t="s">
        <v>48</v>
      </c>
      <c r="T495" s="109" t="s">
        <v>48</v>
      </c>
      <c r="U495" s="109" t="s">
        <v>48</v>
      </c>
      <c r="V495" s="166" t="s">
        <v>48</v>
      </c>
      <c r="W495" s="165" t="s">
        <v>646</v>
      </c>
      <c r="X495" s="109" t="s">
        <v>646</v>
      </c>
      <c r="Y495" s="109" t="s">
        <v>48</v>
      </c>
      <c r="Z495" s="109" t="s">
        <v>48</v>
      </c>
      <c r="AA495" s="109" t="s">
        <v>48</v>
      </c>
      <c r="AB495" s="109" t="s">
        <v>48</v>
      </c>
      <c r="AC495" s="109" t="s">
        <v>48</v>
      </c>
      <c r="AD495" s="166" t="s">
        <v>48</v>
      </c>
      <c r="AE495" s="165" t="s">
        <v>80</v>
      </c>
      <c r="AF495" s="109" t="s">
        <v>744</v>
      </c>
      <c r="AG495" s="109" t="s">
        <v>747</v>
      </c>
      <c r="AH495" s="109" t="s">
        <v>1908</v>
      </c>
      <c r="AI495" s="109" t="s">
        <v>745</v>
      </c>
      <c r="AJ495" s="109">
        <v>5815499</v>
      </c>
      <c r="AK495" s="166" t="s">
        <v>746</v>
      </c>
      <c r="AL495" s="165" t="s">
        <v>646</v>
      </c>
      <c r="AM495" s="109" t="s">
        <v>646</v>
      </c>
      <c r="AN495" s="109" t="s">
        <v>48</v>
      </c>
      <c r="AO495" s="109" t="s">
        <v>48</v>
      </c>
      <c r="AP495" s="109" t="s">
        <v>48</v>
      </c>
      <c r="AQ495" s="109" t="s">
        <v>48</v>
      </c>
      <c r="AR495" s="109" t="s">
        <v>48</v>
      </c>
      <c r="AS495" s="166" t="s">
        <v>48</v>
      </c>
      <c r="AT495" s="165" t="s">
        <v>48</v>
      </c>
      <c r="AU495" s="109" t="s">
        <v>48</v>
      </c>
      <c r="AV495" s="109" t="s">
        <v>48</v>
      </c>
      <c r="AW495" s="109" t="s">
        <v>48</v>
      </c>
      <c r="AX495" s="109" t="s">
        <v>48</v>
      </c>
      <c r="AY495" s="109" t="s">
        <v>48</v>
      </c>
      <c r="AZ495" s="166" t="s">
        <v>48</v>
      </c>
      <c r="BA495" s="162" t="s">
        <v>1710</v>
      </c>
      <c r="BB495" s="109" t="s">
        <v>49</v>
      </c>
      <c r="BC495" s="199" t="s">
        <v>1692</v>
      </c>
    </row>
    <row r="496" spans="1:55" ht="75" hidden="1" customHeight="1">
      <c r="A496" s="109" t="s">
        <v>38</v>
      </c>
      <c r="B496" s="109" t="s">
        <v>2024</v>
      </c>
      <c r="C496" s="109" t="s">
        <v>647</v>
      </c>
      <c r="D496" s="109" t="s">
        <v>646</v>
      </c>
      <c r="E496" s="161">
        <v>15000</v>
      </c>
      <c r="F496" s="165" t="s">
        <v>1691</v>
      </c>
      <c r="G496" s="109" t="s">
        <v>1691</v>
      </c>
      <c r="H496" s="109" t="s">
        <v>1942</v>
      </c>
      <c r="I496" s="109" t="s">
        <v>1908</v>
      </c>
      <c r="J496" s="109" t="s">
        <v>1708</v>
      </c>
      <c r="K496" s="109" t="s">
        <v>1708</v>
      </c>
      <c r="L496" s="109" t="s">
        <v>1975</v>
      </c>
      <c r="M496" s="166" t="s">
        <v>1687</v>
      </c>
      <c r="N496" s="162" t="s">
        <v>48</v>
      </c>
      <c r="O496" s="109" t="s">
        <v>48</v>
      </c>
      <c r="P496" s="162" t="s">
        <v>48</v>
      </c>
      <c r="Q496" s="109" t="s">
        <v>48</v>
      </c>
      <c r="R496" s="109" t="s">
        <v>48</v>
      </c>
      <c r="S496" s="109" t="s">
        <v>48</v>
      </c>
      <c r="T496" s="109" t="s">
        <v>48</v>
      </c>
      <c r="U496" s="109" t="s">
        <v>48</v>
      </c>
      <c r="V496" s="166" t="s">
        <v>48</v>
      </c>
      <c r="W496" s="165" t="s">
        <v>1011</v>
      </c>
      <c r="X496" s="109" t="s">
        <v>646</v>
      </c>
      <c r="Y496" s="109" t="s">
        <v>2045</v>
      </c>
      <c r="Z496" s="109" t="s">
        <v>1908</v>
      </c>
      <c r="AA496" s="109" t="s">
        <v>1034</v>
      </c>
      <c r="AB496" s="109" t="s">
        <v>48</v>
      </c>
      <c r="AC496" s="109" t="s">
        <v>2046</v>
      </c>
      <c r="AD496" s="166" t="s">
        <v>1031</v>
      </c>
      <c r="AE496" s="165" t="s">
        <v>80</v>
      </c>
      <c r="AF496" s="109" t="s">
        <v>744</v>
      </c>
      <c r="AG496" s="109" t="s">
        <v>747</v>
      </c>
      <c r="AH496" s="109" t="s">
        <v>1908</v>
      </c>
      <c r="AI496" s="109" t="s">
        <v>745</v>
      </c>
      <c r="AJ496" s="109">
        <v>5815499</v>
      </c>
      <c r="AK496" s="166" t="s">
        <v>746</v>
      </c>
      <c r="AL496" s="109" t="s">
        <v>646</v>
      </c>
      <c r="AM496" s="109" t="s">
        <v>646</v>
      </c>
      <c r="AN496" s="109" t="s">
        <v>48</v>
      </c>
      <c r="AO496" s="109" t="s">
        <v>48</v>
      </c>
      <c r="AP496" s="109" t="s">
        <v>48</v>
      </c>
      <c r="AQ496" s="109" t="s">
        <v>48</v>
      </c>
      <c r="AR496" s="109" t="s">
        <v>48</v>
      </c>
      <c r="AS496" s="166" t="s">
        <v>48</v>
      </c>
      <c r="AT496" s="165" t="s">
        <v>48</v>
      </c>
      <c r="AU496" s="109" t="s">
        <v>48</v>
      </c>
      <c r="AV496" s="109" t="s">
        <v>48</v>
      </c>
      <c r="AW496" s="109" t="s">
        <v>48</v>
      </c>
      <c r="AX496" s="109" t="s">
        <v>48</v>
      </c>
      <c r="AY496" s="109" t="s">
        <v>48</v>
      </c>
      <c r="AZ496" s="166" t="s">
        <v>48</v>
      </c>
      <c r="BA496" s="162" t="s">
        <v>1033</v>
      </c>
      <c r="BB496" s="109" t="s">
        <v>49</v>
      </c>
      <c r="BC496" s="79" t="s">
        <v>1692</v>
      </c>
    </row>
    <row r="497" spans="1:55" ht="75" hidden="1" customHeight="1">
      <c r="A497" s="109" t="s">
        <v>2341</v>
      </c>
      <c r="B497" s="109" t="s">
        <v>2023</v>
      </c>
      <c r="C497" s="109" t="s">
        <v>647</v>
      </c>
      <c r="D497" s="109" t="s">
        <v>646</v>
      </c>
      <c r="E497" s="161">
        <v>30000</v>
      </c>
      <c r="F497" s="165" t="s">
        <v>1691</v>
      </c>
      <c r="G497" s="109" t="s">
        <v>1691</v>
      </c>
      <c r="H497" s="109" t="s">
        <v>1942</v>
      </c>
      <c r="I497" s="109" t="s">
        <v>1908</v>
      </c>
      <c r="J497" s="109" t="s">
        <v>1708</v>
      </c>
      <c r="K497" s="109" t="s">
        <v>1708</v>
      </c>
      <c r="L497" s="109" t="s">
        <v>1975</v>
      </c>
      <c r="M497" s="166" t="s">
        <v>1687</v>
      </c>
      <c r="N497" s="162" t="s">
        <v>48</v>
      </c>
      <c r="O497" s="109" t="s">
        <v>48</v>
      </c>
      <c r="P497" s="162" t="s">
        <v>48</v>
      </c>
      <c r="Q497" s="109" t="s">
        <v>48</v>
      </c>
      <c r="R497" s="109" t="s">
        <v>48</v>
      </c>
      <c r="S497" s="109" t="s">
        <v>48</v>
      </c>
      <c r="T497" s="109" t="s">
        <v>48</v>
      </c>
      <c r="U497" s="109" t="s">
        <v>48</v>
      </c>
      <c r="V497" s="166" t="s">
        <v>48</v>
      </c>
      <c r="W497" s="165" t="s">
        <v>646</v>
      </c>
      <c r="X497" s="109" t="s">
        <v>646</v>
      </c>
      <c r="Y497" s="109" t="s">
        <v>48</v>
      </c>
      <c r="Z497" s="109" t="s">
        <v>48</v>
      </c>
      <c r="AA497" s="109" t="s">
        <v>48</v>
      </c>
      <c r="AB497" s="109" t="s">
        <v>48</v>
      </c>
      <c r="AC497" s="109" t="s">
        <v>48</v>
      </c>
      <c r="AD497" s="166" t="s">
        <v>48</v>
      </c>
      <c r="AE497" s="165" t="s">
        <v>80</v>
      </c>
      <c r="AF497" s="109" t="s">
        <v>744</v>
      </c>
      <c r="AG497" s="109" t="s">
        <v>747</v>
      </c>
      <c r="AH497" s="109" t="s">
        <v>1908</v>
      </c>
      <c r="AI497" s="109" t="s">
        <v>745</v>
      </c>
      <c r="AJ497" s="109">
        <v>5815499</v>
      </c>
      <c r="AK497" s="166" t="s">
        <v>746</v>
      </c>
      <c r="AL497" s="109" t="s">
        <v>646</v>
      </c>
      <c r="AM497" s="109" t="s">
        <v>646</v>
      </c>
      <c r="AN497" s="109" t="s">
        <v>48</v>
      </c>
      <c r="AO497" s="109" t="s">
        <v>48</v>
      </c>
      <c r="AP497" s="109" t="s">
        <v>48</v>
      </c>
      <c r="AQ497" s="109" t="s">
        <v>48</v>
      </c>
      <c r="AR497" s="109" t="s">
        <v>48</v>
      </c>
      <c r="AS497" s="166" t="s">
        <v>48</v>
      </c>
      <c r="AT497" s="165" t="s">
        <v>48</v>
      </c>
      <c r="AU497" s="109" t="s">
        <v>48</v>
      </c>
      <c r="AV497" s="109" t="s">
        <v>48</v>
      </c>
      <c r="AW497" s="109" t="s">
        <v>48</v>
      </c>
      <c r="AX497" s="109" t="s">
        <v>48</v>
      </c>
      <c r="AY497" s="109" t="s">
        <v>48</v>
      </c>
      <c r="AZ497" s="166" t="s">
        <v>48</v>
      </c>
      <c r="BA497" s="162" t="s">
        <v>1710</v>
      </c>
      <c r="BB497" s="109" t="s">
        <v>49</v>
      </c>
      <c r="BC497" s="120" t="s">
        <v>1692</v>
      </c>
    </row>
    <row r="498" spans="1:55" ht="75" hidden="1" customHeight="1">
      <c r="A498" s="109" t="s">
        <v>2340</v>
      </c>
      <c r="B498" s="109" t="s">
        <v>2022</v>
      </c>
      <c r="C498" s="109" t="s">
        <v>647</v>
      </c>
      <c r="D498" s="109" t="s">
        <v>646</v>
      </c>
      <c r="E498" s="161">
        <v>30000</v>
      </c>
      <c r="F498" s="165" t="s">
        <v>1691</v>
      </c>
      <c r="G498" s="109" t="s">
        <v>1691</v>
      </c>
      <c r="H498" s="109" t="s">
        <v>1942</v>
      </c>
      <c r="I498" s="109" t="s">
        <v>1908</v>
      </c>
      <c r="J498" s="109" t="s">
        <v>1708</v>
      </c>
      <c r="K498" s="109" t="s">
        <v>1708</v>
      </c>
      <c r="L498" s="109" t="s">
        <v>1975</v>
      </c>
      <c r="M498" s="166" t="s">
        <v>1687</v>
      </c>
      <c r="N498" s="162" t="s">
        <v>48</v>
      </c>
      <c r="O498" s="109" t="s">
        <v>48</v>
      </c>
      <c r="P498" s="162" t="s">
        <v>48</v>
      </c>
      <c r="Q498" s="109" t="s">
        <v>48</v>
      </c>
      <c r="R498" s="109" t="s">
        <v>48</v>
      </c>
      <c r="S498" s="109" t="s">
        <v>48</v>
      </c>
      <c r="T498" s="109" t="s">
        <v>48</v>
      </c>
      <c r="U498" s="109" t="s">
        <v>48</v>
      </c>
      <c r="V498" s="166" t="s">
        <v>48</v>
      </c>
      <c r="W498" s="165" t="s">
        <v>646</v>
      </c>
      <c r="X498" s="109" t="s">
        <v>646</v>
      </c>
      <c r="Y498" s="109" t="s">
        <v>48</v>
      </c>
      <c r="Z498" s="109" t="s">
        <v>48</v>
      </c>
      <c r="AA498" s="109" t="s">
        <v>48</v>
      </c>
      <c r="AB498" s="109" t="s">
        <v>48</v>
      </c>
      <c r="AC498" s="109" t="s">
        <v>48</v>
      </c>
      <c r="AD498" s="166" t="s">
        <v>48</v>
      </c>
      <c r="AE498" s="165" t="s">
        <v>80</v>
      </c>
      <c r="AF498" s="109" t="s">
        <v>744</v>
      </c>
      <c r="AG498" s="109" t="s">
        <v>747</v>
      </c>
      <c r="AH498" s="109" t="s">
        <v>1908</v>
      </c>
      <c r="AI498" s="109" t="s">
        <v>745</v>
      </c>
      <c r="AJ498" s="109">
        <v>5815499</v>
      </c>
      <c r="AK498" s="166" t="s">
        <v>746</v>
      </c>
      <c r="AL498" s="109" t="s">
        <v>646</v>
      </c>
      <c r="AM498" s="109" t="s">
        <v>646</v>
      </c>
      <c r="AN498" s="109" t="s">
        <v>48</v>
      </c>
      <c r="AO498" s="109" t="s">
        <v>48</v>
      </c>
      <c r="AP498" s="109" t="s">
        <v>48</v>
      </c>
      <c r="AQ498" s="109" t="s">
        <v>48</v>
      </c>
      <c r="AR498" s="109" t="s">
        <v>48</v>
      </c>
      <c r="AS498" s="166" t="s">
        <v>48</v>
      </c>
      <c r="AT498" s="165" t="s">
        <v>48</v>
      </c>
      <c r="AU498" s="109" t="s">
        <v>48</v>
      </c>
      <c r="AV498" s="109" t="s">
        <v>48</v>
      </c>
      <c r="AW498" s="109" t="s">
        <v>48</v>
      </c>
      <c r="AX498" s="109" t="s">
        <v>48</v>
      </c>
      <c r="AY498" s="109" t="s">
        <v>48</v>
      </c>
      <c r="AZ498" s="166" t="s">
        <v>48</v>
      </c>
      <c r="BA498" s="162" t="s">
        <v>1710</v>
      </c>
      <c r="BB498" s="109" t="s">
        <v>49</v>
      </c>
      <c r="BC498" s="120" t="s">
        <v>1692</v>
      </c>
    </row>
    <row r="499" spans="1:55" ht="75" hidden="1" customHeight="1">
      <c r="A499" s="109" t="s">
        <v>2339</v>
      </c>
      <c r="B499" s="109" t="s">
        <v>2031</v>
      </c>
      <c r="C499" s="109" t="s">
        <v>647</v>
      </c>
      <c r="D499" s="109" t="s">
        <v>646</v>
      </c>
      <c r="E499" s="161">
        <v>15000</v>
      </c>
      <c r="F499" s="165" t="s">
        <v>1691</v>
      </c>
      <c r="G499" s="109" t="s">
        <v>1691</v>
      </c>
      <c r="H499" s="109" t="s">
        <v>1942</v>
      </c>
      <c r="I499" s="109" t="s">
        <v>1908</v>
      </c>
      <c r="J499" s="109" t="s">
        <v>1708</v>
      </c>
      <c r="K499" s="109" t="s">
        <v>1708</v>
      </c>
      <c r="L499" s="109" t="s">
        <v>1975</v>
      </c>
      <c r="M499" s="166" t="s">
        <v>1687</v>
      </c>
      <c r="N499" s="162" t="s">
        <v>48</v>
      </c>
      <c r="O499" s="109" t="s">
        <v>48</v>
      </c>
      <c r="P499" s="162" t="s">
        <v>48</v>
      </c>
      <c r="Q499" s="109" t="s">
        <v>48</v>
      </c>
      <c r="R499" s="109" t="s">
        <v>48</v>
      </c>
      <c r="S499" s="109" t="s">
        <v>48</v>
      </c>
      <c r="T499" s="109" t="s">
        <v>48</v>
      </c>
      <c r="U499" s="109" t="s">
        <v>48</v>
      </c>
      <c r="V499" s="166" t="s">
        <v>48</v>
      </c>
      <c r="W499" s="165" t="s">
        <v>646</v>
      </c>
      <c r="X499" s="109" t="s">
        <v>646</v>
      </c>
      <c r="Y499" s="109" t="s">
        <v>48</v>
      </c>
      <c r="Z499" s="109" t="s">
        <v>48</v>
      </c>
      <c r="AA499" s="109" t="s">
        <v>48</v>
      </c>
      <c r="AB499" s="109" t="s">
        <v>48</v>
      </c>
      <c r="AC499" s="109" t="s">
        <v>48</v>
      </c>
      <c r="AD499" s="166" t="s">
        <v>48</v>
      </c>
      <c r="AE499" s="165" t="s">
        <v>80</v>
      </c>
      <c r="AF499" s="109" t="s">
        <v>744</v>
      </c>
      <c r="AG499" s="109" t="s">
        <v>747</v>
      </c>
      <c r="AH499" s="109" t="s">
        <v>1908</v>
      </c>
      <c r="AI499" s="109" t="s">
        <v>745</v>
      </c>
      <c r="AJ499" s="109">
        <v>5815499</v>
      </c>
      <c r="AK499" s="166" t="s">
        <v>746</v>
      </c>
      <c r="AL499" s="109" t="s">
        <v>646</v>
      </c>
      <c r="AM499" s="109" t="s">
        <v>646</v>
      </c>
      <c r="AN499" s="109" t="s">
        <v>48</v>
      </c>
      <c r="AO499" s="109" t="s">
        <v>48</v>
      </c>
      <c r="AP499" s="109" t="s">
        <v>48</v>
      </c>
      <c r="AQ499" s="109" t="s">
        <v>48</v>
      </c>
      <c r="AR499" s="109" t="s">
        <v>48</v>
      </c>
      <c r="AS499" s="166" t="s">
        <v>48</v>
      </c>
      <c r="AT499" s="165" t="s">
        <v>48</v>
      </c>
      <c r="AU499" s="109" t="s">
        <v>48</v>
      </c>
      <c r="AV499" s="109" t="s">
        <v>48</v>
      </c>
      <c r="AW499" s="109" t="s">
        <v>48</v>
      </c>
      <c r="AX499" s="109" t="s">
        <v>48</v>
      </c>
      <c r="AY499" s="109" t="s">
        <v>48</v>
      </c>
      <c r="AZ499" s="166" t="s">
        <v>48</v>
      </c>
      <c r="BA499" s="162" t="s">
        <v>1710</v>
      </c>
      <c r="BB499" s="109" t="s">
        <v>49</v>
      </c>
      <c r="BC499" s="120" t="s">
        <v>1692</v>
      </c>
    </row>
    <row r="500" spans="1:55" ht="75" hidden="1" customHeight="1">
      <c r="A500" s="109" t="s">
        <v>41</v>
      </c>
      <c r="B500" s="117" t="s">
        <v>2466</v>
      </c>
      <c r="C500" s="117" t="s">
        <v>249</v>
      </c>
      <c r="D500" s="109" t="s">
        <v>237</v>
      </c>
      <c r="E500" s="161">
        <v>15000</v>
      </c>
      <c r="F500" s="165" t="s">
        <v>1691</v>
      </c>
      <c r="G500" s="109" t="s">
        <v>1691</v>
      </c>
      <c r="H500" s="109" t="s">
        <v>1942</v>
      </c>
      <c r="I500" s="109" t="s">
        <v>1908</v>
      </c>
      <c r="J500" s="109" t="s">
        <v>1708</v>
      </c>
      <c r="K500" s="109" t="s">
        <v>1708</v>
      </c>
      <c r="L500" s="109" t="s">
        <v>1975</v>
      </c>
      <c r="M500" s="166" t="s">
        <v>1687</v>
      </c>
      <c r="N500" s="162" t="s">
        <v>48</v>
      </c>
      <c r="O500" s="109" t="s">
        <v>48</v>
      </c>
      <c r="P500" s="162" t="s">
        <v>48</v>
      </c>
      <c r="Q500" s="109" t="s">
        <v>48</v>
      </c>
      <c r="R500" s="109" t="s">
        <v>48</v>
      </c>
      <c r="S500" s="109" t="s">
        <v>48</v>
      </c>
      <c r="T500" s="109" t="s">
        <v>48</v>
      </c>
      <c r="U500" s="109" t="s">
        <v>48</v>
      </c>
      <c r="V500" s="166" t="s">
        <v>48</v>
      </c>
      <c r="W500" s="165" t="s">
        <v>237</v>
      </c>
      <c r="X500" s="109" t="s">
        <v>237</v>
      </c>
      <c r="Y500" s="109" t="s">
        <v>48</v>
      </c>
      <c r="Z500" s="109" t="s">
        <v>48</v>
      </c>
      <c r="AA500" s="109" t="s">
        <v>48</v>
      </c>
      <c r="AB500" s="109" t="s">
        <v>48</v>
      </c>
      <c r="AC500" s="109" t="s">
        <v>48</v>
      </c>
      <c r="AD500" s="166" t="s">
        <v>48</v>
      </c>
      <c r="AE500" s="174" t="s">
        <v>48</v>
      </c>
      <c r="AF500" s="109" t="s">
        <v>48</v>
      </c>
      <c r="AG500" s="117" t="s">
        <v>48</v>
      </c>
      <c r="AH500" s="109" t="s">
        <v>48</v>
      </c>
      <c r="AI500" s="109" t="s">
        <v>48</v>
      </c>
      <c r="AJ500" s="109" t="s">
        <v>48</v>
      </c>
      <c r="AK500" s="166" t="s">
        <v>48</v>
      </c>
      <c r="AL500" s="109" t="s">
        <v>237</v>
      </c>
      <c r="AM500" s="109" t="s">
        <v>237</v>
      </c>
      <c r="AN500" s="109" t="s">
        <v>48</v>
      </c>
      <c r="AO500" s="109" t="s">
        <v>48</v>
      </c>
      <c r="AP500" s="109" t="s">
        <v>48</v>
      </c>
      <c r="AQ500" s="109" t="s">
        <v>48</v>
      </c>
      <c r="AR500" s="109" t="s">
        <v>48</v>
      </c>
      <c r="AS500" s="166" t="s">
        <v>48</v>
      </c>
      <c r="AT500" s="166" t="s">
        <v>48</v>
      </c>
      <c r="AU500" s="109" t="s">
        <v>48</v>
      </c>
      <c r="AV500" s="109" t="s">
        <v>48</v>
      </c>
      <c r="AW500" s="109" t="s">
        <v>48</v>
      </c>
      <c r="AX500" s="109" t="s">
        <v>48</v>
      </c>
      <c r="AY500" s="109" t="s">
        <v>48</v>
      </c>
      <c r="AZ500" s="166" t="s">
        <v>48</v>
      </c>
      <c r="BA500" s="162" t="s">
        <v>1710</v>
      </c>
      <c r="BB500" s="117" t="s">
        <v>49</v>
      </c>
      <c r="BC500" s="120" t="s">
        <v>1692</v>
      </c>
    </row>
    <row r="501" spans="1:55" ht="75" hidden="1" customHeight="1">
      <c r="A501" s="109" t="s">
        <v>41</v>
      </c>
      <c r="B501" s="117" t="s">
        <v>2028</v>
      </c>
      <c r="C501" s="117" t="s">
        <v>249</v>
      </c>
      <c r="D501" s="109" t="s">
        <v>237</v>
      </c>
      <c r="E501" s="161">
        <v>15000</v>
      </c>
      <c r="F501" s="165" t="s">
        <v>1691</v>
      </c>
      <c r="G501" s="109" t="s">
        <v>1691</v>
      </c>
      <c r="H501" s="109" t="s">
        <v>1942</v>
      </c>
      <c r="I501" s="109" t="s">
        <v>1908</v>
      </c>
      <c r="J501" s="109" t="s">
        <v>1708</v>
      </c>
      <c r="K501" s="109" t="s">
        <v>1708</v>
      </c>
      <c r="L501" s="109" t="s">
        <v>1975</v>
      </c>
      <c r="M501" s="166" t="s">
        <v>1687</v>
      </c>
      <c r="N501" s="162" t="s">
        <v>48</v>
      </c>
      <c r="O501" s="109" t="s">
        <v>48</v>
      </c>
      <c r="P501" s="162" t="s">
        <v>48</v>
      </c>
      <c r="Q501" s="109" t="s">
        <v>48</v>
      </c>
      <c r="R501" s="109" t="s">
        <v>48</v>
      </c>
      <c r="S501" s="109" t="s">
        <v>48</v>
      </c>
      <c r="T501" s="109" t="s">
        <v>48</v>
      </c>
      <c r="U501" s="109" t="s">
        <v>48</v>
      </c>
      <c r="V501" s="166" t="s">
        <v>48</v>
      </c>
      <c r="W501" s="165" t="s">
        <v>237</v>
      </c>
      <c r="X501" s="109" t="s">
        <v>237</v>
      </c>
      <c r="Y501" s="109" t="s">
        <v>48</v>
      </c>
      <c r="Z501" s="109" t="s">
        <v>48</v>
      </c>
      <c r="AA501" s="109" t="s">
        <v>48</v>
      </c>
      <c r="AB501" s="109" t="s">
        <v>48</v>
      </c>
      <c r="AC501" s="109" t="s">
        <v>48</v>
      </c>
      <c r="AD501" s="166" t="s">
        <v>48</v>
      </c>
      <c r="AE501" s="174" t="s">
        <v>48</v>
      </c>
      <c r="AF501" s="109" t="s">
        <v>48</v>
      </c>
      <c r="AG501" s="117" t="s">
        <v>48</v>
      </c>
      <c r="AH501" s="109" t="s">
        <v>48</v>
      </c>
      <c r="AI501" s="109" t="s">
        <v>48</v>
      </c>
      <c r="AJ501" s="109" t="s">
        <v>48</v>
      </c>
      <c r="AK501" s="166" t="s">
        <v>48</v>
      </c>
      <c r="AL501" s="109" t="s">
        <v>237</v>
      </c>
      <c r="AM501" s="109" t="s">
        <v>237</v>
      </c>
      <c r="AN501" s="109" t="s">
        <v>48</v>
      </c>
      <c r="AO501" s="109" t="s">
        <v>48</v>
      </c>
      <c r="AP501" s="109" t="s">
        <v>48</v>
      </c>
      <c r="AQ501" s="109" t="s">
        <v>48</v>
      </c>
      <c r="AR501" s="109" t="s">
        <v>48</v>
      </c>
      <c r="AS501" s="166" t="s">
        <v>48</v>
      </c>
      <c r="AT501" s="166" t="s">
        <v>48</v>
      </c>
      <c r="AU501" s="109" t="s">
        <v>48</v>
      </c>
      <c r="AV501" s="109" t="s">
        <v>48</v>
      </c>
      <c r="AW501" s="109" t="s">
        <v>48</v>
      </c>
      <c r="AX501" s="109" t="s">
        <v>48</v>
      </c>
      <c r="AY501" s="109" t="s">
        <v>48</v>
      </c>
      <c r="AZ501" s="166" t="s">
        <v>48</v>
      </c>
      <c r="BA501" s="162" t="s">
        <v>1710</v>
      </c>
      <c r="BB501" s="117" t="s">
        <v>49</v>
      </c>
      <c r="BC501" s="120" t="s">
        <v>1692</v>
      </c>
    </row>
    <row r="502" spans="1:55" ht="75" hidden="1" customHeight="1">
      <c r="A502" s="109" t="s">
        <v>40</v>
      </c>
      <c r="B502" s="117" t="s">
        <v>2467</v>
      </c>
      <c r="C502" s="117" t="s">
        <v>249</v>
      </c>
      <c r="D502" s="109" t="s">
        <v>237</v>
      </c>
      <c r="E502" s="161">
        <v>30000</v>
      </c>
      <c r="F502" s="165" t="s">
        <v>1691</v>
      </c>
      <c r="G502" s="109" t="s">
        <v>1691</v>
      </c>
      <c r="H502" s="109" t="s">
        <v>1942</v>
      </c>
      <c r="I502" s="109" t="s">
        <v>1908</v>
      </c>
      <c r="J502" s="109" t="s">
        <v>1708</v>
      </c>
      <c r="K502" s="109" t="s">
        <v>1708</v>
      </c>
      <c r="L502" s="109" t="s">
        <v>1975</v>
      </c>
      <c r="M502" s="166" t="s">
        <v>1687</v>
      </c>
      <c r="N502" s="162" t="s">
        <v>48</v>
      </c>
      <c r="O502" s="109" t="s">
        <v>48</v>
      </c>
      <c r="P502" s="162" t="s">
        <v>48</v>
      </c>
      <c r="Q502" s="109" t="s">
        <v>48</v>
      </c>
      <c r="R502" s="109" t="s">
        <v>48</v>
      </c>
      <c r="S502" s="109" t="s">
        <v>48</v>
      </c>
      <c r="T502" s="109" t="s">
        <v>48</v>
      </c>
      <c r="U502" s="109" t="s">
        <v>48</v>
      </c>
      <c r="V502" s="166" t="s">
        <v>48</v>
      </c>
      <c r="W502" s="165" t="s">
        <v>237</v>
      </c>
      <c r="X502" s="109" t="s">
        <v>237</v>
      </c>
      <c r="Y502" s="109" t="s">
        <v>48</v>
      </c>
      <c r="Z502" s="109" t="s">
        <v>48</v>
      </c>
      <c r="AA502" s="109" t="s">
        <v>48</v>
      </c>
      <c r="AB502" s="109" t="s">
        <v>48</v>
      </c>
      <c r="AC502" s="109" t="s">
        <v>48</v>
      </c>
      <c r="AD502" s="166" t="s">
        <v>48</v>
      </c>
      <c r="AE502" s="174" t="s">
        <v>48</v>
      </c>
      <c r="AF502" s="109" t="s">
        <v>48</v>
      </c>
      <c r="AG502" s="117" t="s">
        <v>48</v>
      </c>
      <c r="AH502" s="109" t="s">
        <v>48</v>
      </c>
      <c r="AI502" s="109" t="s">
        <v>48</v>
      </c>
      <c r="AJ502" s="109" t="s">
        <v>48</v>
      </c>
      <c r="AK502" s="166" t="s">
        <v>48</v>
      </c>
      <c r="AL502" s="109" t="s">
        <v>237</v>
      </c>
      <c r="AM502" s="109" t="s">
        <v>237</v>
      </c>
      <c r="AN502" s="109" t="s">
        <v>48</v>
      </c>
      <c r="AO502" s="109" t="s">
        <v>48</v>
      </c>
      <c r="AP502" s="109" t="s">
        <v>48</v>
      </c>
      <c r="AQ502" s="109" t="s">
        <v>48</v>
      </c>
      <c r="AR502" s="196" t="s">
        <v>48</v>
      </c>
      <c r="AS502" s="166" t="s">
        <v>48</v>
      </c>
      <c r="AT502" s="165" t="s">
        <v>48</v>
      </c>
      <c r="AU502" s="109" t="s">
        <v>48</v>
      </c>
      <c r="AV502" s="109" t="s">
        <v>48</v>
      </c>
      <c r="AW502" s="109" t="s">
        <v>48</v>
      </c>
      <c r="AX502" s="109" t="s">
        <v>48</v>
      </c>
      <c r="AY502" s="109" t="s">
        <v>48</v>
      </c>
      <c r="AZ502" s="166" t="s">
        <v>48</v>
      </c>
      <c r="BA502" s="162" t="s">
        <v>1710</v>
      </c>
      <c r="BB502" s="117" t="s">
        <v>49</v>
      </c>
      <c r="BC502" s="120" t="s">
        <v>1692</v>
      </c>
    </row>
    <row r="503" spans="1:55" ht="75" hidden="1" customHeight="1">
      <c r="A503" s="109" t="s">
        <v>40</v>
      </c>
      <c r="B503" s="117" t="s">
        <v>2029</v>
      </c>
      <c r="C503" s="117" t="s">
        <v>249</v>
      </c>
      <c r="D503" s="109" t="s">
        <v>237</v>
      </c>
      <c r="E503" s="161">
        <v>30000</v>
      </c>
      <c r="F503" s="165" t="s">
        <v>1691</v>
      </c>
      <c r="G503" s="109" t="s">
        <v>1691</v>
      </c>
      <c r="H503" s="109" t="s">
        <v>1942</v>
      </c>
      <c r="I503" s="109" t="s">
        <v>1908</v>
      </c>
      <c r="J503" s="109" t="s">
        <v>1708</v>
      </c>
      <c r="K503" s="109" t="s">
        <v>1708</v>
      </c>
      <c r="L503" s="109" t="s">
        <v>1975</v>
      </c>
      <c r="M503" s="166" t="s">
        <v>1687</v>
      </c>
      <c r="N503" s="162" t="s">
        <v>48</v>
      </c>
      <c r="O503" s="109" t="s">
        <v>48</v>
      </c>
      <c r="P503" s="162" t="s">
        <v>48</v>
      </c>
      <c r="Q503" s="109" t="s">
        <v>48</v>
      </c>
      <c r="R503" s="109" t="s">
        <v>48</v>
      </c>
      <c r="S503" s="109" t="s">
        <v>48</v>
      </c>
      <c r="T503" s="109" t="s">
        <v>48</v>
      </c>
      <c r="U503" s="109" t="s">
        <v>48</v>
      </c>
      <c r="V503" s="166" t="s">
        <v>48</v>
      </c>
      <c r="W503" s="165" t="s">
        <v>237</v>
      </c>
      <c r="X503" s="109" t="s">
        <v>237</v>
      </c>
      <c r="Y503" s="109" t="s">
        <v>48</v>
      </c>
      <c r="Z503" s="109" t="s">
        <v>48</v>
      </c>
      <c r="AA503" s="109" t="s">
        <v>48</v>
      </c>
      <c r="AB503" s="109" t="s">
        <v>48</v>
      </c>
      <c r="AC503" s="109" t="s">
        <v>48</v>
      </c>
      <c r="AD503" s="166" t="s">
        <v>48</v>
      </c>
      <c r="AE503" s="174" t="s">
        <v>48</v>
      </c>
      <c r="AF503" s="109" t="s">
        <v>48</v>
      </c>
      <c r="AG503" s="117" t="s">
        <v>48</v>
      </c>
      <c r="AH503" s="109" t="s">
        <v>48</v>
      </c>
      <c r="AI503" s="109" t="s">
        <v>48</v>
      </c>
      <c r="AJ503" s="109" t="s">
        <v>48</v>
      </c>
      <c r="AK503" s="166" t="s">
        <v>48</v>
      </c>
      <c r="AL503" s="165" t="s">
        <v>237</v>
      </c>
      <c r="AM503" s="109" t="s">
        <v>237</v>
      </c>
      <c r="AN503" s="109" t="s">
        <v>48</v>
      </c>
      <c r="AO503" s="109" t="s">
        <v>48</v>
      </c>
      <c r="AP503" s="109" t="s">
        <v>48</v>
      </c>
      <c r="AQ503" s="109" t="s">
        <v>48</v>
      </c>
      <c r="AR503" s="109" t="s">
        <v>48</v>
      </c>
      <c r="AS503" s="166" t="s">
        <v>48</v>
      </c>
      <c r="AT503" s="165" t="s">
        <v>48</v>
      </c>
      <c r="AU503" s="109" t="s">
        <v>48</v>
      </c>
      <c r="AV503" s="109" t="s">
        <v>48</v>
      </c>
      <c r="AW503" s="109" t="s">
        <v>48</v>
      </c>
      <c r="AX503" s="109" t="s">
        <v>48</v>
      </c>
      <c r="AY503" s="109" t="s">
        <v>48</v>
      </c>
      <c r="AZ503" s="166" t="s">
        <v>48</v>
      </c>
      <c r="BA503" s="162" t="s">
        <v>1710</v>
      </c>
      <c r="BB503" s="117" t="s">
        <v>49</v>
      </c>
      <c r="BC503" s="120" t="s">
        <v>1692</v>
      </c>
    </row>
    <row r="504" spans="1:55" ht="75" hidden="1" customHeight="1">
      <c r="A504" s="109" t="s">
        <v>38</v>
      </c>
      <c r="B504" s="109" t="s">
        <v>2032</v>
      </c>
      <c r="C504" s="117" t="s">
        <v>249</v>
      </c>
      <c r="D504" s="109" t="s">
        <v>237</v>
      </c>
      <c r="E504" s="161">
        <v>15000</v>
      </c>
      <c r="F504" s="165" t="s">
        <v>1691</v>
      </c>
      <c r="G504" s="109" t="s">
        <v>1691</v>
      </c>
      <c r="H504" s="109" t="s">
        <v>1942</v>
      </c>
      <c r="I504" s="109" t="s">
        <v>1908</v>
      </c>
      <c r="J504" s="109" t="s">
        <v>1708</v>
      </c>
      <c r="K504" s="109" t="s">
        <v>1708</v>
      </c>
      <c r="L504" s="109" t="s">
        <v>1975</v>
      </c>
      <c r="M504" s="166" t="s">
        <v>1687</v>
      </c>
      <c r="N504" s="162" t="s">
        <v>48</v>
      </c>
      <c r="O504" s="109" t="s">
        <v>48</v>
      </c>
      <c r="P504" s="162" t="s">
        <v>48</v>
      </c>
      <c r="Q504" s="109" t="s">
        <v>48</v>
      </c>
      <c r="R504" s="109" t="s">
        <v>48</v>
      </c>
      <c r="S504" s="109" t="s">
        <v>48</v>
      </c>
      <c r="T504" s="109" t="s">
        <v>48</v>
      </c>
      <c r="U504" s="109" t="s">
        <v>48</v>
      </c>
      <c r="V504" s="166" t="s">
        <v>48</v>
      </c>
      <c r="W504" s="165" t="s">
        <v>237</v>
      </c>
      <c r="X504" s="109" t="s">
        <v>237</v>
      </c>
      <c r="Y504" s="109" t="s">
        <v>48</v>
      </c>
      <c r="Z504" s="109" t="s">
        <v>48</v>
      </c>
      <c r="AA504" s="109" t="s">
        <v>48</v>
      </c>
      <c r="AB504" s="109" t="s">
        <v>48</v>
      </c>
      <c r="AC504" s="109" t="s">
        <v>48</v>
      </c>
      <c r="AD504" s="166" t="s">
        <v>48</v>
      </c>
      <c r="AE504" s="174" t="s">
        <v>48</v>
      </c>
      <c r="AF504" s="109" t="s">
        <v>48</v>
      </c>
      <c r="AG504" s="117" t="s">
        <v>48</v>
      </c>
      <c r="AH504" s="109" t="s">
        <v>48</v>
      </c>
      <c r="AI504" s="109" t="s">
        <v>48</v>
      </c>
      <c r="AJ504" s="109" t="s">
        <v>48</v>
      </c>
      <c r="AK504" s="166" t="s">
        <v>48</v>
      </c>
      <c r="AL504" s="165" t="s">
        <v>237</v>
      </c>
      <c r="AM504" s="109" t="s">
        <v>237</v>
      </c>
      <c r="AN504" s="109" t="s">
        <v>48</v>
      </c>
      <c r="AO504" s="109" t="s">
        <v>48</v>
      </c>
      <c r="AP504" s="109" t="s">
        <v>48</v>
      </c>
      <c r="AQ504" s="109" t="s">
        <v>48</v>
      </c>
      <c r="AR504" s="109" t="s">
        <v>48</v>
      </c>
      <c r="AS504" s="166" t="s">
        <v>48</v>
      </c>
      <c r="AT504" s="165" t="s">
        <v>48</v>
      </c>
      <c r="AU504" s="109" t="s">
        <v>48</v>
      </c>
      <c r="AV504" s="109" t="s">
        <v>48</v>
      </c>
      <c r="AW504" s="109" t="s">
        <v>48</v>
      </c>
      <c r="AX504" s="109" t="s">
        <v>48</v>
      </c>
      <c r="AY504" s="109" t="s">
        <v>48</v>
      </c>
      <c r="AZ504" s="166" t="s">
        <v>48</v>
      </c>
      <c r="BA504" s="162" t="s">
        <v>1710</v>
      </c>
      <c r="BB504" s="117" t="s">
        <v>49</v>
      </c>
      <c r="BC504" s="120" t="s">
        <v>1692</v>
      </c>
    </row>
    <row r="505" spans="1:55" ht="75" hidden="1" customHeight="1">
      <c r="A505" s="109" t="s">
        <v>38</v>
      </c>
      <c r="B505" s="109" t="s">
        <v>2024</v>
      </c>
      <c r="C505" s="117" t="s">
        <v>249</v>
      </c>
      <c r="D505" s="109" t="s">
        <v>237</v>
      </c>
      <c r="E505" s="161">
        <v>15000</v>
      </c>
      <c r="F505" s="165" t="s">
        <v>1691</v>
      </c>
      <c r="G505" s="109" t="s">
        <v>1691</v>
      </c>
      <c r="H505" s="109" t="s">
        <v>1942</v>
      </c>
      <c r="I505" s="109" t="s">
        <v>1908</v>
      </c>
      <c r="J505" s="109" t="s">
        <v>1708</v>
      </c>
      <c r="K505" s="109" t="s">
        <v>1708</v>
      </c>
      <c r="L505" s="109" t="s">
        <v>1975</v>
      </c>
      <c r="M505" s="166" t="s">
        <v>1687</v>
      </c>
      <c r="N505" s="162" t="s">
        <v>48</v>
      </c>
      <c r="O505" s="109" t="s">
        <v>48</v>
      </c>
      <c r="P505" s="162" t="s">
        <v>48</v>
      </c>
      <c r="Q505" s="109" t="s">
        <v>48</v>
      </c>
      <c r="R505" s="109" t="s">
        <v>48</v>
      </c>
      <c r="S505" s="109" t="s">
        <v>48</v>
      </c>
      <c r="T505" s="109" t="s">
        <v>48</v>
      </c>
      <c r="U505" s="109" t="s">
        <v>48</v>
      </c>
      <c r="V505" s="166" t="s">
        <v>48</v>
      </c>
      <c r="W505" s="165" t="s">
        <v>1011</v>
      </c>
      <c r="X505" s="109" t="s">
        <v>237</v>
      </c>
      <c r="Y505" s="109" t="s">
        <v>2045</v>
      </c>
      <c r="Z505" s="109" t="s">
        <v>1908</v>
      </c>
      <c r="AA505" s="109" t="s">
        <v>1034</v>
      </c>
      <c r="AB505" s="109" t="s">
        <v>1034</v>
      </c>
      <c r="AC505" s="109" t="s">
        <v>2046</v>
      </c>
      <c r="AD505" s="166" t="s">
        <v>1075</v>
      </c>
      <c r="AE505" s="174" t="s">
        <v>48</v>
      </c>
      <c r="AF505" s="109" t="s">
        <v>48</v>
      </c>
      <c r="AG505" s="117" t="s">
        <v>48</v>
      </c>
      <c r="AH505" s="109" t="s">
        <v>48</v>
      </c>
      <c r="AI505" s="109" t="s">
        <v>48</v>
      </c>
      <c r="AJ505" s="109" t="s">
        <v>48</v>
      </c>
      <c r="AK505" s="166" t="s">
        <v>48</v>
      </c>
      <c r="AL505" s="165" t="s">
        <v>237</v>
      </c>
      <c r="AM505" s="109" t="s">
        <v>237</v>
      </c>
      <c r="AN505" s="109" t="s">
        <v>48</v>
      </c>
      <c r="AO505" s="109" t="s">
        <v>48</v>
      </c>
      <c r="AP505" s="109" t="s">
        <v>48</v>
      </c>
      <c r="AQ505" s="109" t="s">
        <v>48</v>
      </c>
      <c r="AR505" s="109" t="s">
        <v>48</v>
      </c>
      <c r="AS505" s="166" t="s">
        <v>48</v>
      </c>
      <c r="AT505" s="165" t="s">
        <v>48</v>
      </c>
      <c r="AU505" s="109" t="s">
        <v>48</v>
      </c>
      <c r="AV505" s="109" t="s">
        <v>48</v>
      </c>
      <c r="AW505" s="109" t="s">
        <v>48</v>
      </c>
      <c r="AX505" s="109" t="s">
        <v>48</v>
      </c>
      <c r="AY505" s="109" t="s">
        <v>48</v>
      </c>
      <c r="AZ505" s="166" t="s">
        <v>48</v>
      </c>
      <c r="BA505" s="162" t="s">
        <v>1078</v>
      </c>
      <c r="BB505" s="117" t="s">
        <v>49</v>
      </c>
      <c r="BC505" s="79" t="s">
        <v>1692</v>
      </c>
    </row>
    <row r="506" spans="1:55" ht="75" hidden="1" customHeight="1">
      <c r="A506" s="109" t="s">
        <v>2341</v>
      </c>
      <c r="B506" s="109" t="s">
        <v>2023</v>
      </c>
      <c r="C506" s="117" t="s">
        <v>249</v>
      </c>
      <c r="D506" s="109" t="s">
        <v>237</v>
      </c>
      <c r="E506" s="161">
        <v>30000</v>
      </c>
      <c r="F506" s="165" t="s">
        <v>1691</v>
      </c>
      <c r="G506" s="109" t="s">
        <v>1691</v>
      </c>
      <c r="H506" s="109" t="s">
        <v>1942</v>
      </c>
      <c r="I506" s="109" t="s">
        <v>1908</v>
      </c>
      <c r="J506" s="109" t="s">
        <v>1708</v>
      </c>
      <c r="K506" s="109" t="s">
        <v>1708</v>
      </c>
      <c r="L506" s="109" t="s">
        <v>1975</v>
      </c>
      <c r="M506" s="166" t="s">
        <v>1687</v>
      </c>
      <c r="N506" s="162" t="s">
        <v>48</v>
      </c>
      <c r="O506" s="109" t="s">
        <v>48</v>
      </c>
      <c r="P506" s="162" t="s">
        <v>48</v>
      </c>
      <c r="Q506" s="109" t="s">
        <v>48</v>
      </c>
      <c r="R506" s="109" t="s">
        <v>48</v>
      </c>
      <c r="S506" s="109" t="s">
        <v>48</v>
      </c>
      <c r="T506" s="109" t="s">
        <v>48</v>
      </c>
      <c r="U506" s="109" t="s">
        <v>48</v>
      </c>
      <c r="V506" s="166" t="s">
        <v>48</v>
      </c>
      <c r="W506" s="165" t="s">
        <v>237</v>
      </c>
      <c r="X506" s="109" t="s">
        <v>237</v>
      </c>
      <c r="Y506" s="109" t="s">
        <v>48</v>
      </c>
      <c r="Z506" s="109" t="s">
        <v>48</v>
      </c>
      <c r="AA506" s="109" t="s">
        <v>48</v>
      </c>
      <c r="AB506" s="109" t="s">
        <v>48</v>
      </c>
      <c r="AC506" s="109" t="s">
        <v>48</v>
      </c>
      <c r="AD506" s="166" t="s">
        <v>48</v>
      </c>
      <c r="AE506" s="174" t="s">
        <v>48</v>
      </c>
      <c r="AF506" s="109" t="s">
        <v>48</v>
      </c>
      <c r="AG506" s="117" t="s">
        <v>48</v>
      </c>
      <c r="AH506" s="109" t="s">
        <v>48</v>
      </c>
      <c r="AI506" s="109" t="s">
        <v>48</v>
      </c>
      <c r="AJ506" s="109" t="s">
        <v>48</v>
      </c>
      <c r="AK506" s="166" t="s">
        <v>48</v>
      </c>
      <c r="AL506" s="165" t="s">
        <v>237</v>
      </c>
      <c r="AM506" s="109" t="s">
        <v>237</v>
      </c>
      <c r="AN506" s="109" t="s">
        <v>48</v>
      </c>
      <c r="AO506" s="109" t="s">
        <v>48</v>
      </c>
      <c r="AP506" s="109" t="s">
        <v>48</v>
      </c>
      <c r="AQ506" s="109" t="s">
        <v>48</v>
      </c>
      <c r="AR506" s="109" t="s">
        <v>48</v>
      </c>
      <c r="AS506" s="166" t="s">
        <v>48</v>
      </c>
      <c r="AT506" s="165" t="s">
        <v>48</v>
      </c>
      <c r="AU506" s="109" t="s">
        <v>48</v>
      </c>
      <c r="AV506" s="109" t="s">
        <v>48</v>
      </c>
      <c r="AW506" s="109" t="s">
        <v>48</v>
      </c>
      <c r="AX506" s="109" t="s">
        <v>48</v>
      </c>
      <c r="AY506" s="109" t="s">
        <v>48</v>
      </c>
      <c r="AZ506" s="166" t="s">
        <v>48</v>
      </c>
      <c r="BA506" s="162" t="s">
        <v>1710</v>
      </c>
      <c r="BB506" s="117" t="s">
        <v>49</v>
      </c>
      <c r="BC506" s="120" t="s">
        <v>1692</v>
      </c>
    </row>
    <row r="507" spans="1:55" ht="75" hidden="1" customHeight="1">
      <c r="A507" s="109" t="s">
        <v>2340</v>
      </c>
      <c r="B507" s="109" t="s">
        <v>2022</v>
      </c>
      <c r="C507" s="117" t="s">
        <v>249</v>
      </c>
      <c r="D507" s="109" t="s">
        <v>237</v>
      </c>
      <c r="E507" s="161">
        <v>30000</v>
      </c>
      <c r="F507" s="165" t="s">
        <v>1691</v>
      </c>
      <c r="G507" s="109" t="s">
        <v>1691</v>
      </c>
      <c r="H507" s="109" t="s">
        <v>1942</v>
      </c>
      <c r="I507" s="109" t="s">
        <v>1908</v>
      </c>
      <c r="J507" s="109" t="s">
        <v>1708</v>
      </c>
      <c r="K507" s="109" t="s">
        <v>1708</v>
      </c>
      <c r="L507" s="109" t="s">
        <v>1975</v>
      </c>
      <c r="M507" s="166" t="s">
        <v>1687</v>
      </c>
      <c r="N507" s="162" t="s">
        <v>48</v>
      </c>
      <c r="O507" s="109" t="s">
        <v>48</v>
      </c>
      <c r="P507" s="162" t="s">
        <v>48</v>
      </c>
      <c r="Q507" s="109" t="s">
        <v>48</v>
      </c>
      <c r="R507" s="109" t="s">
        <v>48</v>
      </c>
      <c r="S507" s="109" t="s">
        <v>48</v>
      </c>
      <c r="T507" s="109" t="s">
        <v>48</v>
      </c>
      <c r="U507" s="109" t="s">
        <v>48</v>
      </c>
      <c r="V507" s="166" t="s">
        <v>48</v>
      </c>
      <c r="W507" s="165" t="s">
        <v>237</v>
      </c>
      <c r="X507" s="109" t="s">
        <v>237</v>
      </c>
      <c r="Y507" s="109" t="s">
        <v>48</v>
      </c>
      <c r="Z507" s="109" t="s">
        <v>48</v>
      </c>
      <c r="AA507" s="109" t="s">
        <v>48</v>
      </c>
      <c r="AB507" s="109" t="s">
        <v>48</v>
      </c>
      <c r="AC507" s="109" t="s">
        <v>48</v>
      </c>
      <c r="AD507" s="166" t="s">
        <v>48</v>
      </c>
      <c r="AE507" s="174" t="s">
        <v>48</v>
      </c>
      <c r="AF507" s="109" t="s">
        <v>48</v>
      </c>
      <c r="AG507" s="117" t="s">
        <v>48</v>
      </c>
      <c r="AH507" s="109" t="s">
        <v>48</v>
      </c>
      <c r="AI507" s="109" t="s">
        <v>48</v>
      </c>
      <c r="AJ507" s="109" t="s">
        <v>48</v>
      </c>
      <c r="AK507" s="166" t="s">
        <v>48</v>
      </c>
      <c r="AL507" s="165" t="s">
        <v>237</v>
      </c>
      <c r="AM507" s="109" t="s">
        <v>237</v>
      </c>
      <c r="AN507" s="109" t="s">
        <v>48</v>
      </c>
      <c r="AO507" s="109" t="s">
        <v>48</v>
      </c>
      <c r="AP507" s="109" t="s">
        <v>48</v>
      </c>
      <c r="AQ507" s="109" t="s">
        <v>48</v>
      </c>
      <c r="AR507" s="109" t="s">
        <v>48</v>
      </c>
      <c r="AS507" s="166" t="s">
        <v>48</v>
      </c>
      <c r="AT507" s="165" t="s">
        <v>48</v>
      </c>
      <c r="AU507" s="109" t="s">
        <v>48</v>
      </c>
      <c r="AV507" s="109" t="s">
        <v>48</v>
      </c>
      <c r="AW507" s="109" t="s">
        <v>48</v>
      </c>
      <c r="AX507" s="109" t="s">
        <v>48</v>
      </c>
      <c r="AY507" s="109" t="s">
        <v>48</v>
      </c>
      <c r="AZ507" s="166" t="s">
        <v>48</v>
      </c>
      <c r="BA507" s="162" t="s">
        <v>1710</v>
      </c>
      <c r="BB507" s="117" t="s">
        <v>49</v>
      </c>
      <c r="BC507" s="120" t="s">
        <v>1692</v>
      </c>
    </row>
    <row r="508" spans="1:55" ht="75" hidden="1" customHeight="1">
      <c r="A508" s="109" t="s">
        <v>2339</v>
      </c>
      <c r="B508" s="109" t="s">
        <v>2031</v>
      </c>
      <c r="C508" s="117" t="s">
        <v>249</v>
      </c>
      <c r="D508" s="109" t="s">
        <v>237</v>
      </c>
      <c r="E508" s="161">
        <v>15000</v>
      </c>
      <c r="F508" s="165" t="s">
        <v>1691</v>
      </c>
      <c r="G508" s="109" t="s">
        <v>1691</v>
      </c>
      <c r="H508" s="109" t="s">
        <v>1942</v>
      </c>
      <c r="I508" s="109" t="s">
        <v>1908</v>
      </c>
      <c r="J508" s="109" t="s">
        <v>1708</v>
      </c>
      <c r="K508" s="109" t="s">
        <v>1708</v>
      </c>
      <c r="L508" s="109" t="s">
        <v>1975</v>
      </c>
      <c r="M508" s="166" t="s">
        <v>1687</v>
      </c>
      <c r="N508" s="162" t="s">
        <v>48</v>
      </c>
      <c r="O508" s="109" t="s">
        <v>48</v>
      </c>
      <c r="P508" s="162" t="s">
        <v>48</v>
      </c>
      <c r="Q508" s="109" t="s">
        <v>48</v>
      </c>
      <c r="R508" s="109" t="s">
        <v>48</v>
      </c>
      <c r="S508" s="109" t="s">
        <v>48</v>
      </c>
      <c r="T508" s="109" t="s">
        <v>48</v>
      </c>
      <c r="U508" s="109" t="s">
        <v>48</v>
      </c>
      <c r="V508" s="166" t="s">
        <v>48</v>
      </c>
      <c r="W508" s="165" t="s">
        <v>237</v>
      </c>
      <c r="X508" s="109" t="s">
        <v>237</v>
      </c>
      <c r="Y508" s="109" t="s">
        <v>48</v>
      </c>
      <c r="Z508" s="109" t="s">
        <v>48</v>
      </c>
      <c r="AA508" s="109" t="s">
        <v>48</v>
      </c>
      <c r="AB508" s="109" t="s">
        <v>48</v>
      </c>
      <c r="AC508" s="109" t="s">
        <v>48</v>
      </c>
      <c r="AD508" s="166" t="s">
        <v>48</v>
      </c>
      <c r="AE508" s="174" t="s">
        <v>48</v>
      </c>
      <c r="AF508" s="109" t="s">
        <v>48</v>
      </c>
      <c r="AG508" s="117" t="s">
        <v>48</v>
      </c>
      <c r="AH508" s="109" t="s">
        <v>48</v>
      </c>
      <c r="AI508" s="109" t="s">
        <v>48</v>
      </c>
      <c r="AJ508" s="109" t="s">
        <v>48</v>
      </c>
      <c r="AK508" s="166" t="s">
        <v>48</v>
      </c>
      <c r="AL508" s="165" t="s">
        <v>237</v>
      </c>
      <c r="AM508" s="109" t="s">
        <v>237</v>
      </c>
      <c r="AN508" s="109" t="s">
        <v>48</v>
      </c>
      <c r="AO508" s="109" t="s">
        <v>48</v>
      </c>
      <c r="AP508" s="109" t="s">
        <v>48</v>
      </c>
      <c r="AQ508" s="109" t="s">
        <v>48</v>
      </c>
      <c r="AR508" s="109" t="s">
        <v>48</v>
      </c>
      <c r="AS508" s="166" t="s">
        <v>48</v>
      </c>
      <c r="AT508" s="165" t="s">
        <v>48</v>
      </c>
      <c r="AU508" s="109" t="s">
        <v>48</v>
      </c>
      <c r="AV508" s="109" t="s">
        <v>48</v>
      </c>
      <c r="AW508" s="109" t="s">
        <v>48</v>
      </c>
      <c r="AX508" s="109" t="s">
        <v>48</v>
      </c>
      <c r="AY508" s="109" t="s">
        <v>48</v>
      </c>
      <c r="AZ508" s="166" t="s">
        <v>48</v>
      </c>
      <c r="BA508" s="162" t="s">
        <v>1710</v>
      </c>
      <c r="BB508" s="117" t="s">
        <v>49</v>
      </c>
      <c r="BC508" s="120" t="s">
        <v>1692</v>
      </c>
    </row>
    <row r="509" spans="1:55" ht="75" hidden="1" customHeight="1">
      <c r="A509" s="109" t="s">
        <v>41</v>
      </c>
      <c r="B509" s="117" t="s">
        <v>2466</v>
      </c>
      <c r="C509" s="117" t="s">
        <v>223</v>
      </c>
      <c r="D509" s="109" t="s">
        <v>236</v>
      </c>
      <c r="E509" s="161">
        <v>15000</v>
      </c>
      <c r="F509" s="165" t="s">
        <v>1691</v>
      </c>
      <c r="G509" s="109" t="s">
        <v>1691</v>
      </c>
      <c r="H509" s="109" t="s">
        <v>1942</v>
      </c>
      <c r="I509" s="109" t="s">
        <v>1908</v>
      </c>
      <c r="J509" s="109" t="s">
        <v>1708</v>
      </c>
      <c r="K509" s="109" t="s">
        <v>1708</v>
      </c>
      <c r="L509" s="109" t="s">
        <v>1975</v>
      </c>
      <c r="M509" s="166" t="s">
        <v>1687</v>
      </c>
      <c r="N509" s="162" t="s">
        <v>48</v>
      </c>
      <c r="O509" s="109" t="s">
        <v>48</v>
      </c>
      <c r="P509" s="162" t="s">
        <v>48</v>
      </c>
      <c r="Q509" s="109" t="s">
        <v>48</v>
      </c>
      <c r="R509" s="109" t="s">
        <v>48</v>
      </c>
      <c r="S509" s="109" t="s">
        <v>48</v>
      </c>
      <c r="T509" s="109" t="s">
        <v>48</v>
      </c>
      <c r="U509" s="109" t="s">
        <v>48</v>
      </c>
      <c r="V509" s="166" t="s">
        <v>48</v>
      </c>
      <c r="W509" s="165" t="s">
        <v>236</v>
      </c>
      <c r="X509" s="109" t="s">
        <v>236</v>
      </c>
      <c r="Y509" s="109" t="s">
        <v>48</v>
      </c>
      <c r="Z509" s="109" t="s">
        <v>48</v>
      </c>
      <c r="AA509" s="109" t="s">
        <v>48</v>
      </c>
      <c r="AB509" s="109" t="s">
        <v>48</v>
      </c>
      <c r="AC509" s="109" t="s">
        <v>48</v>
      </c>
      <c r="AD509" s="166" t="s">
        <v>48</v>
      </c>
      <c r="AE509" s="174" t="s">
        <v>442</v>
      </c>
      <c r="AF509" s="117" t="s">
        <v>224</v>
      </c>
      <c r="AG509" s="117" t="s">
        <v>490</v>
      </c>
      <c r="AH509" s="109" t="s">
        <v>1908</v>
      </c>
      <c r="AI509" s="117" t="s">
        <v>616</v>
      </c>
      <c r="AJ509" s="109" t="s">
        <v>492</v>
      </c>
      <c r="AK509" s="166" t="s">
        <v>493</v>
      </c>
      <c r="AL509" s="165" t="s">
        <v>236</v>
      </c>
      <c r="AM509" s="109" t="s">
        <v>236</v>
      </c>
      <c r="AN509" s="109" t="s">
        <v>48</v>
      </c>
      <c r="AO509" s="109" t="s">
        <v>48</v>
      </c>
      <c r="AP509" s="109" t="s">
        <v>48</v>
      </c>
      <c r="AQ509" s="109" t="s">
        <v>48</v>
      </c>
      <c r="AR509" s="109" t="s">
        <v>48</v>
      </c>
      <c r="AS509" s="166" t="s">
        <v>48</v>
      </c>
      <c r="AT509" s="165" t="s">
        <v>48</v>
      </c>
      <c r="AU509" s="109" t="s">
        <v>48</v>
      </c>
      <c r="AV509" s="109" t="s">
        <v>48</v>
      </c>
      <c r="AW509" s="109" t="s">
        <v>48</v>
      </c>
      <c r="AX509" s="109" t="s">
        <v>48</v>
      </c>
      <c r="AY509" s="109" t="s">
        <v>48</v>
      </c>
      <c r="AZ509" s="166" t="s">
        <v>48</v>
      </c>
      <c r="BA509" s="162" t="s">
        <v>1710</v>
      </c>
      <c r="BB509" s="117" t="s">
        <v>49</v>
      </c>
      <c r="BC509" s="120" t="s">
        <v>1692</v>
      </c>
    </row>
    <row r="510" spans="1:55" ht="75" hidden="1" customHeight="1">
      <c r="A510" s="109" t="s">
        <v>41</v>
      </c>
      <c r="B510" s="117" t="s">
        <v>2028</v>
      </c>
      <c r="C510" s="117" t="s">
        <v>223</v>
      </c>
      <c r="D510" s="109" t="s">
        <v>236</v>
      </c>
      <c r="E510" s="161">
        <v>15000</v>
      </c>
      <c r="F510" s="165" t="s">
        <v>1691</v>
      </c>
      <c r="G510" s="109" t="s">
        <v>1691</v>
      </c>
      <c r="H510" s="109" t="s">
        <v>1942</v>
      </c>
      <c r="I510" s="109" t="s">
        <v>1908</v>
      </c>
      <c r="J510" s="109" t="s">
        <v>1708</v>
      </c>
      <c r="K510" s="109" t="s">
        <v>1708</v>
      </c>
      <c r="L510" s="109" t="s">
        <v>1975</v>
      </c>
      <c r="M510" s="166" t="s">
        <v>1687</v>
      </c>
      <c r="N510" s="162" t="s">
        <v>48</v>
      </c>
      <c r="O510" s="109" t="s">
        <v>48</v>
      </c>
      <c r="P510" s="162" t="s">
        <v>48</v>
      </c>
      <c r="Q510" s="109" t="s">
        <v>48</v>
      </c>
      <c r="R510" s="109" t="s">
        <v>48</v>
      </c>
      <c r="S510" s="109" t="s">
        <v>48</v>
      </c>
      <c r="T510" s="109" t="s">
        <v>48</v>
      </c>
      <c r="U510" s="109" t="s">
        <v>48</v>
      </c>
      <c r="V510" s="166" t="s">
        <v>48</v>
      </c>
      <c r="W510" s="165" t="s">
        <v>236</v>
      </c>
      <c r="X510" s="109" t="s">
        <v>236</v>
      </c>
      <c r="Y510" s="109" t="s">
        <v>48</v>
      </c>
      <c r="Z510" s="109" t="s">
        <v>48</v>
      </c>
      <c r="AA510" s="109" t="s">
        <v>48</v>
      </c>
      <c r="AB510" s="109" t="s">
        <v>48</v>
      </c>
      <c r="AC510" s="109" t="s">
        <v>48</v>
      </c>
      <c r="AD510" s="166" t="s">
        <v>48</v>
      </c>
      <c r="AE510" s="174" t="s">
        <v>442</v>
      </c>
      <c r="AF510" s="117" t="s">
        <v>224</v>
      </c>
      <c r="AG510" s="117" t="s">
        <v>490</v>
      </c>
      <c r="AH510" s="109" t="s">
        <v>1908</v>
      </c>
      <c r="AI510" s="117" t="s">
        <v>616</v>
      </c>
      <c r="AJ510" s="109" t="s">
        <v>492</v>
      </c>
      <c r="AK510" s="166" t="s">
        <v>493</v>
      </c>
      <c r="AL510" s="165" t="s">
        <v>236</v>
      </c>
      <c r="AM510" s="109" t="s">
        <v>236</v>
      </c>
      <c r="AN510" s="109" t="s">
        <v>48</v>
      </c>
      <c r="AO510" s="109" t="s">
        <v>48</v>
      </c>
      <c r="AP510" s="109" t="s">
        <v>48</v>
      </c>
      <c r="AQ510" s="109" t="s">
        <v>48</v>
      </c>
      <c r="AR510" s="109" t="s">
        <v>48</v>
      </c>
      <c r="AS510" s="166" t="s">
        <v>48</v>
      </c>
      <c r="AT510" s="165" t="s">
        <v>48</v>
      </c>
      <c r="AU510" s="109" t="s">
        <v>48</v>
      </c>
      <c r="AV510" s="109" t="s">
        <v>48</v>
      </c>
      <c r="AW510" s="109" t="s">
        <v>48</v>
      </c>
      <c r="AX510" s="109" t="s">
        <v>48</v>
      </c>
      <c r="AY510" s="109" t="s">
        <v>48</v>
      </c>
      <c r="AZ510" s="166" t="s">
        <v>48</v>
      </c>
      <c r="BA510" s="162" t="s">
        <v>1710</v>
      </c>
      <c r="BB510" s="117" t="s">
        <v>49</v>
      </c>
      <c r="BC510" s="120" t="s">
        <v>1692</v>
      </c>
    </row>
    <row r="511" spans="1:55" ht="75" hidden="1" customHeight="1">
      <c r="A511" s="109" t="s">
        <v>40</v>
      </c>
      <c r="B511" s="117" t="s">
        <v>2467</v>
      </c>
      <c r="C511" s="117" t="s">
        <v>223</v>
      </c>
      <c r="D511" s="109" t="s">
        <v>236</v>
      </c>
      <c r="E511" s="161">
        <v>30000</v>
      </c>
      <c r="F511" s="165" t="s">
        <v>1691</v>
      </c>
      <c r="G511" s="109" t="s">
        <v>1691</v>
      </c>
      <c r="H511" s="109" t="s">
        <v>1942</v>
      </c>
      <c r="I511" s="109" t="s">
        <v>1908</v>
      </c>
      <c r="J511" s="109" t="s">
        <v>1708</v>
      </c>
      <c r="K511" s="109" t="s">
        <v>1708</v>
      </c>
      <c r="L511" s="109" t="s">
        <v>1975</v>
      </c>
      <c r="M511" s="166" t="s">
        <v>1687</v>
      </c>
      <c r="N511" s="162" t="s">
        <v>48</v>
      </c>
      <c r="O511" s="109" t="s">
        <v>48</v>
      </c>
      <c r="P511" s="162" t="s">
        <v>48</v>
      </c>
      <c r="Q511" s="109" t="s">
        <v>48</v>
      </c>
      <c r="R511" s="109" t="s">
        <v>48</v>
      </c>
      <c r="S511" s="109" t="s">
        <v>48</v>
      </c>
      <c r="T511" s="109" t="s">
        <v>48</v>
      </c>
      <c r="U511" s="109" t="s">
        <v>48</v>
      </c>
      <c r="V511" s="166" t="s">
        <v>48</v>
      </c>
      <c r="W511" s="165" t="s">
        <v>236</v>
      </c>
      <c r="X511" s="109" t="s">
        <v>236</v>
      </c>
      <c r="Y511" s="109" t="s">
        <v>48</v>
      </c>
      <c r="Z511" s="109" t="s">
        <v>48</v>
      </c>
      <c r="AA511" s="109" t="s">
        <v>48</v>
      </c>
      <c r="AB511" s="109" t="s">
        <v>48</v>
      </c>
      <c r="AC511" s="109" t="s">
        <v>48</v>
      </c>
      <c r="AD511" s="166" t="s">
        <v>48</v>
      </c>
      <c r="AE511" s="174" t="s">
        <v>442</v>
      </c>
      <c r="AF511" s="117" t="s">
        <v>224</v>
      </c>
      <c r="AG511" s="117" t="s">
        <v>490</v>
      </c>
      <c r="AH511" s="109" t="s">
        <v>1908</v>
      </c>
      <c r="AI511" s="117" t="s">
        <v>616</v>
      </c>
      <c r="AJ511" s="109" t="s">
        <v>492</v>
      </c>
      <c r="AK511" s="166" t="s">
        <v>493</v>
      </c>
      <c r="AL511" s="165" t="s">
        <v>236</v>
      </c>
      <c r="AM511" s="109" t="s">
        <v>236</v>
      </c>
      <c r="AN511" s="109" t="s">
        <v>48</v>
      </c>
      <c r="AO511" s="109" t="s">
        <v>48</v>
      </c>
      <c r="AP511" s="109" t="s">
        <v>48</v>
      </c>
      <c r="AQ511" s="109" t="s">
        <v>48</v>
      </c>
      <c r="AR511" s="109" t="s">
        <v>48</v>
      </c>
      <c r="AS511" s="166" t="s">
        <v>48</v>
      </c>
      <c r="AT511" s="165" t="s">
        <v>48</v>
      </c>
      <c r="AU511" s="109" t="s">
        <v>48</v>
      </c>
      <c r="AV511" s="109" t="s">
        <v>48</v>
      </c>
      <c r="AW511" s="109" t="s">
        <v>48</v>
      </c>
      <c r="AX511" s="109" t="s">
        <v>48</v>
      </c>
      <c r="AY511" s="109" t="s">
        <v>48</v>
      </c>
      <c r="AZ511" s="166" t="s">
        <v>48</v>
      </c>
      <c r="BA511" s="162" t="s">
        <v>1710</v>
      </c>
      <c r="BB511" s="117" t="s">
        <v>49</v>
      </c>
      <c r="BC511" s="120" t="s">
        <v>1692</v>
      </c>
    </row>
    <row r="512" spans="1:55" ht="75" hidden="1" customHeight="1">
      <c r="A512" s="109" t="s">
        <v>40</v>
      </c>
      <c r="B512" s="117" t="s">
        <v>2029</v>
      </c>
      <c r="C512" s="117" t="s">
        <v>223</v>
      </c>
      <c r="D512" s="109" t="s">
        <v>236</v>
      </c>
      <c r="E512" s="161">
        <v>30000</v>
      </c>
      <c r="F512" s="165" t="s">
        <v>1691</v>
      </c>
      <c r="G512" s="109" t="s">
        <v>1691</v>
      </c>
      <c r="H512" s="109" t="s">
        <v>1942</v>
      </c>
      <c r="I512" s="109" t="s">
        <v>1908</v>
      </c>
      <c r="J512" s="109" t="s">
        <v>1708</v>
      </c>
      <c r="K512" s="109" t="s">
        <v>1708</v>
      </c>
      <c r="L512" s="109" t="s">
        <v>1975</v>
      </c>
      <c r="M512" s="166" t="s">
        <v>1687</v>
      </c>
      <c r="N512" s="162" t="s">
        <v>48</v>
      </c>
      <c r="O512" s="109" t="s">
        <v>48</v>
      </c>
      <c r="P512" s="162" t="s">
        <v>48</v>
      </c>
      <c r="Q512" s="109" t="s">
        <v>48</v>
      </c>
      <c r="R512" s="109" t="s">
        <v>48</v>
      </c>
      <c r="S512" s="109" t="s">
        <v>48</v>
      </c>
      <c r="T512" s="109" t="s">
        <v>48</v>
      </c>
      <c r="U512" s="109" t="s">
        <v>48</v>
      </c>
      <c r="V512" s="166" t="s">
        <v>48</v>
      </c>
      <c r="W512" s="165" t="s">
        <v>236</v>
      </c>
      <c r="X512" s="109" t="s">
        <v>236</v>
      </c>
      <c r="Y512" s="109" t="s">
        <v>48</v>
      </c>
      <c r="Z512" s="109" t="s">
        <v>48</v>
      </c>
      <c r="AA512" s="109" t="s">
        <v>48</v>
      </c>
      <c r="AB512" s="109" t="s">
        <v>48</v>
      </c>
      <c r="AC512" s="109" t="s">
        <v>48</v>
      </c>
      <c r="AD512" s="166" t="s">
        <v>48</v>
      </c>
      <c r="AE512" s="174" t="s">
        <v>442</v>
      </c>
      <c r="AF512" s="117" t="s">
        <v>224</v>
      </c>
      <c r="AG512" s="117" t="s">
        <v>490</v>
      </c>
      <c r="AH512" s="109" t="s">
        <v>1908</v>
      </c>
      <c r="AI512" s="117" t="s">
        <v>616</v>
      </c>
      <c r="AJ512" s="109" t="s">
        <v>492</v>
      </c>
      <c r="AK512" s="166" t="s">
        <v>493</v>
      </c>
      <c r="AL512" s="165" t="s">
        <v>236</v>
      </c>
      <c r="AM512" s="109" t="s">
        <v>236</v>
      </c>
      <c r="AN512" s="109" t="s">
        <v>48</v>
      </c>
      <c r="AO512" s="109" t="s">
        <v>48</v>
      </c>
      <c r="AP512" s="109" t="s">
        <v>48</v>
      </c>
      <c r="AQ512" s="109" t="s">
        <v>48</v>
      </c>
      <c r="AR512" s="109" t="s">
        <v>48</v>
      </c>
      <c r="AS512" s="166" t="s">
        <v>48</v>
      </c>
      <c r="AT512" s="165" t="s">
        <v>48</v>
      </c>
      <c r="AU512" s="109" t="s">
        <v>48</v>
      </c>
      <c r="AV512" s="109" t="s">
        <v>48</v>
      </c>
      <c r="AW512" s="109" t="s">
        <v>48</v>
      </c>
      <c r="AX512" s="109" t="s">
        <v>48</v>
      </c>
      <c r="AY512" s="109" t="s">
        <v>48</v>
      </c>
      <c r="AZ512" s="166" t="s">
        <v>48</v>
      </c>
      <c r="BA512" s="162" t="s">
        <v>1710</v>
      </c>
      <c r="BB512" s="117" t="s">
        <v>49</v>
      </c>
      <c r="BC512" s="120" t="s">
        <v>1692</v>
      </c>
    </row>
    <row r="513" spans="1:55" ht="75" hidden="1" customHeight="1">
      <c r="A513" s="109" t="s">
        <v>38</v>
      </c>
      <c r="B513" s="109" t="s">
        <v>2032</v>
      </c>
      <c r="C513" s="117" t="s">
        <v>223</v>
      </c>
      <c r="D513" s="109" t="s">
        <v>236</v>
      </c>
      <c r="E513" s="161">
        <v>15000</v>
      </c>
      <c r="F513" s="165" t="s">
        <v>1691</v>
      </c>
      <c r="G513" s="109" t="s">
        <v>1691</v>
      </c>
      <c r="H513" s="109" t="s">
        <v>1942</v>
      </c>
      <c r="I513" s="109" t="s">
        <v>1908</v>
      </c>
      <c r="J513" s="109" t="s">
        <v>1708</v>
      </c>
      <c r="K513" s="109" t="s">
        <v>1708</v>
      </c>
      <c r="L513" s="109" t="s">
        <v>1975</v>
      </c>
      <c r="M513" s="166" t="s">
        <v>1687</v>
      </c>
      <c r="N513" s="162" t="s">
        <v>48</v>
      </c>
      <c r="O513" s="109" t="s">
        <v>48</v>
      </c>
      <c r="P513" s="162" t="s">
        <v>48</v>
      </c>
      <c r="Q513" s="109" t="s">
        <v>48</v>
      </c>
      <c r="R513" s="109" t="s">
        <v>48</v>
      </c>
      <c r="S513" s="109" t="s">
        <v>48</v>
      </c>
      <c r="T513" s="109" t="s">
        <v>48</v>
      </c>
      <c r="U513" s="109" t="s">
        <v>48</v>
      </c>
      <c r="V513" s="166" t="s">
        <v>48</v>
      </c>
      <c r="W513" s="165" t="s">
        <v>236</v>
      </c>
      <c r="X513" s="109" t="s">
        <v>236</v>
      </c>
      <c r="Y513" s="109" t="s">
        <v>48</v>
      </c>
      <c r="Z513" s="109" t="s">
        <v>48</v>
      </c>
      <c r="AA513" s="109" t="s">
        <v>48</v>
      </c>
      <c r="AB513" s="109" t="s">
        <v>48</v>
      </c>
      <c r="AC513" s="109" t="s">
        <v>48</v>
      </c>
      <c r="AD513" s="166" t="s">
        <v>48</v>
      </c>
      <c r="AE513" s="174" t="s">
        <v>442</v>
      </c>
      <c r="AF513" s="117" t="s">
        <v>224</v>
      </c>
      <c r="AG513" s="117" t="s">
        <v>490</v>
      </c>
      <c r="AH513" s="109" t="s">
        <v>1908</v>
      </c>
      <c r="AI513" s="117" t="s">
        <v>616</v>
      </c>
      <c r="AJ513" s="109" t="s">
        <v>492</v>
      </c>
      <c r="AK513" s="166" t="s">
        <v>493</v>
      </c>
      <c r="AL513" s="165" t="s">
        <v>236</v>
      </c>
      <c r="AM513" s="109" t="s">
        <v>236</v>
      </c>
      <c r="AN513" s="109" t="s">
        <v>48</v>
      </c>
      <c r="AO513" s="109" t="s">
        <v>48</v>
      </c>
      <c r="AP513" s="109" t="s">
        <v>48</v>
      </c>
      <c r="AQ513" s="109" t="s">
        <v>48</v>
      </c>
      <c r="AR513" s="109" t="s">
        <v>48</v>
      </c>
      <c r="AS513" s="166" t="s">
        <v>48</v>
      </c>
      <c r="AT513" s="165" t="s">
        <v>48</v>
      </c>
      <c r="AU513" s="109" t="s">
        <v>48</v>
      </c>
      <c r="AV513" s="109" t="s">
        <v>48</v>
      </c>
      <c r="AW513" s="109" t="s">
        <v>48</v>
      </c>
      <c r="AX513" s="109" t="s">
        <v>48</v>
      </c>
      <c r="AY513" s="109" t="s">
        <v>48</v>
      </c>
      <c r="AZ513" s="166" t="s">
        <v>48</v>
      </c>
      <c r="BA513" s="162" t="s">
        <v>1710</v>
      </c>
      <c r="BB513" s="117" t="s">
        <v>49</v>
      </c>
      <c r="BC513" s="120" t="s">
        <v>1692</v>
      </c>
    </row>
    <row r="514" spans="1:55" ht="75" hidden="1" customHeight="1">
      <c r="A514" s="109" t="s">
        <v>38</v>
      </c>
      <c r="B514" s="109" t="s">
        <v>2024</v>
      </c>
      <c r="C514" s="117" t="s">
        <v>223</v>
      </c>
      <c r="D514" s="109" t="s">
        <v>236</v>
      </c>
      <c r="E514" s="161">
        <v>15000</v>
      </c>
      <c r="F514" s="165" t="s">
        <v>1691</v>
      </c>
      <c r="G514" s="109" t="s">
        <v>1691</v>
      </c>
      <c r="H514" s="109" t="s">
        <v>1942</v>
      </c>
      <c r="I514" s="109" t="s">
        <v>1908</v>
      </c>
      <c r="J514" s="109" t="s">
        <v>1708</v>
      </c>
      <c r="K514" s="109" t="s">
        <v>1708</v>
      </c>
      <c r="L514" s="109" t="s">
        <v>1975</v>
      </c>
      <c r="M514" s="166" t="s">
        <v>1687</v>
      </c>
      <c r="N514" s="162" t="s">
        <v>48</v>
      </c>
      <c r="O514" s="109" t="s">
        <v>48</v>
      </c>
      <c r="P514" s="162" t="s">
        <v>48</v>
      </c>
      <c r="Q514" s="109" t="s">
        <v>48</v>
      </c>
      <c r="R514" s="109" t="s">
        <v>48</v>
      </c>
      <c r="S514" s="109" t="s">
        <v>48</v>
      </c>
      <c r="T514" s="109" t="s">
        <v>48</v>
      </c>
      <c r="U514" s="109" t="s">
        <v>48</v>
      </c>
      <c r="V514" s="166" t="s">
        <v>48</v>
      </c>
      <c r="W514" s="165" t="s">
        <v>1011</v>
      </c>
      <c r="X514" s="109" t="s">
        <v>236</v>
      </c>
      <c r="Y514" s="109" t="s">
        <v>2045</v>
      </c>
      <c r="Z514" s="109" t="s">
        <v>1908</v>
      </c>
      <c r="AA514" s="109" t="s">
        <v>1034</v>
      </c>
      <c r="AB514" s="109" t="s">
        <v>1034</v>
      </c>
      <c r="AC514" s="109" t="s">
        <v>2046</v>
      </c>
      <c r="AD514" s="166" t="s">
        <v>1075</v>
      </c>
      <c r="AE514" s="174" t="s">
        <v>442</v>
      </c>
      <c r="AF514" s="117" t="s">
        <v>224</v>
      </c>
      <c r="AG514" s="117" t="s">
        <v>490</v>
      </c>
      <c r="AH514" s="109" t="s">
        <v>1908</v>
      </c>
      <c r="AI514" s="117" t="s">
        <v>616</v>
      </c>
      <c r="AJ514" s="109" t="s">
        <v>492</v>
      </c>
      <c r="AK514" s="166" t="s">
        <v>493</v>
      </c>
      <c r="AL514" s="165" t="s">
        <v>236</v>
      </c>
      <c r="AM514" s="109" t="s">
        <v>236</v>
      </c>
      <c r="AN514" s="109" t="s">
        <v>48</v>
      </c>
      <c r="AO514" s="109" t="s">
        <v>48</v>
      </c>
      <c r="AP514" s="109" t="s">
        <v>48</v>
      </c>
      <c r="AQ514" s="109" t="s">
        <v>48</v>
      </c>
      <c r="AR514" s="109" t="s">
        <v>48</v>
      </c>
      <c r="AS514" s="166" t="s">
        <v>48</v>
      </c>
      <c r="AT514" s="165" t="s">
        <v>48</v>
      </c>
      <c r="AU514" s="109" t="s">
        <v>48</v>
      </c>
      <c r="AV514" s="109" t="s">
        <v>48</v>
      </c>
      <c r="AW514" s="109" t="s">
        <v>48</v>
      </c>
      <c r="AX514" s="109" t="s">
        <v>48</v>
      </c>
      <c r="AY514" s="109" t="s">
        <v>48</v>
      </c>
      <c r="AZ514" s="166" t="s">
        <v>48</v>
      </c>
      <c r="BA514" s="162" t="s">
        <v>1078</v>
      </c>
      <c r="BB514" s="117" t="s">
        <v>49</v>
      </c>
      <c r="BC514" s="79" t="s">
        <v>1692</v>
      </c>
    </row>
    <row r="515" spans="1:55" ht="75" hidden="1" customHeight="1">
      <c r="A515" s="109" t="s">
        <v>2341</v>
      </c>
      <c r="B515" s="109" t="s">
        <v>2023</v>
      </c>
      <c r="C515" s="117" t="s">
        <v>223</v>
      </c>
      <c r="D515" s="109" t="s">
        <v>236</v>
      </c>
      <c r="E515" s="161">
        <v>30000</v>
      </c>
      <c r="F515" s="165" t="s">
        <v>1691</v>
      </c>
      <c r="G515" s="109" t="s">
        <v>1691</v>
      </c>
      <c r="H515" s="109" t="s">
        <v>1942</v>
      </c>
      <c r="I515" s="109" t="s">
        <v>1908</v>
      </c>
      <c r="J515" s="109" t="s">
        <v>1708</v>
      </c>
      <c r="K515" s="109" t="s">
        <v>1708</v>
      </c>
      <c r="L515" s="109" t="s">
        <v>1975</v>
      </c>
      <c r="M515" s="166" t="s">
        <v>1687</v>
      </c>
      <c r="N515" s="162" t="s">
        <v>48</v>
      </c>
      <c r="O515" s="109" t="s">
        <v>48</v>
      </c>
      <c r="P515" s="162" t="s">
        <v>48</v>
      </c>
      <c r="Q515" s="109" t="s">
        <v>48</v>
      </c>
      <c r="R515" s="109" t="s">
        <v>48</v>
      </c>
      <c r="S515" s="109" t="s">
        <v>48</v>
      </c>
      <c r="T515" s="109" t="s">
        <v>48</v>
      </c>
      <c r="U515" s="109" t="s">
        <v>48</v>
      </c>
      <c r="V515" s="166" t="s">
        <v>48</v>
      </c>
      <c r="W515" s="165" t="s">
        <v>236</v>
      </c>
      <c r="X515" s="109" t="s">
        <v>236</v>
      </c>
      <c r="Y515" s="109" t="s">
        <v>48</v>
      </c>
      <c r="Z515" s="109" t="s">
        <v>48</v>
      </c>
      <c r="AA515" s="109" t="s">
        <v>48</v>
      </c>
      <c r="AB515" s="109" t="s">
        <v>48</v>
      </c>
      <c r="AC515" s="109" t="s">
        <v>48</v>
      </c>
      <c r="AD515" s="166" t="s">
        <v>48</v>
      </c>
      <c r="AE515" s="174" t="s">
        <v>442</v>
      </c>
      <c r="AF515" s="117" t="s">
        <v>224</v>
      </c>
      <c r="AG515" s="117" t="s">
        <v>490</v>
      </c>
      <c r="AH515" s="109" t="s">
        <v>1908</v>
      </c>
      <c r="AI515" s="117" t="s">
        <v>616</v>
      </c>
      <c r="AJ515" s="109" t="s">
        <v>492</v>
      </c>
      <c r="AK515" s="166" t="s">
        <v>493</v>
      </c>
      <c r="AL515" s="109" t="s">
        <v>236</v>
      </c>
      <c r="AM515" s="109" t="s">
        <v>236</v>
      </c>
      <c r="AN515" s="109" t="s">
        <v>48</v>
      </c>
      <c r="AO515" s="109" t="s">
        <v>48</v>
      </c>
      <c r="AP515" s="109" t="s">
        <v>48</v>
      </c>
      <c r="AQ515" s="109" t="s">
        <v>48</v>
      </c>
      <c r="AR515" s="196" t="s">
        <v>48</v>
      </c>
      <c r="AS515" s="166" t="s">
        <v>48</v>
      </c>
      <c r="AT515" s="174" t="s">
        <v>48</v>
      </c>
      <c r="AU515" s="117" t="s">
        <v>48</v>
      </c>
      <c r="AV515" s="117" t="s">
        <v>48</v>
      </c>
      <c r="AW515" s="117" t="s">
        <v>48</v>
      </c>
      <c r="AX515" s="117" t="s">
        <v>48</v>
      </c>
      <c r="AY515" s="117" t="s">
        <v>48</v>
      </c>
      <c r="AZ515" s="166" t="s">
        <v>48</v>
      </c>
      <c r="BA515" s="162" t="s">
        <v>1710</v>
      </c>
      <c r="BB515" s="117" t="s">
        <v>49</v>
      </c>
      <c r="BC515" s="120" t="s">
        <v>1692</v>
      </c>
    </row>
    <row r="516" spans="1:55" ht="51" hidden="1" customHeight="1">
      <c r="A516" s="109" t="s">
        <v>2340</v>
      </c>
      <c r="B516" s="109" t="s">
        <v>2022</v>
      </c>
      <c r="C516" s="117" t="s">
        <v>223</v>
      </c>
      <c r="D516" s="109" t="s">
        <v>236</v>
      </c>
      <c r="E516" s="161">
        <v>30000</v>
      </c>
      <c r="F516" s="165" t="s">
        <v>1691</v>
      </c>
      <c r="G516" s="109" t="s">
        <v>1691</v>
      </c>
      <c r="H516" s="109" t="s">
        <v>1942</v>
      </c>
      <c r="I516" s="109" t="s">
        <v>1908</v>
      </c>
      <c r="J516" s="109" t="s">
        <v>1708</v>
      </c>
      <c r="K516" s="109" t="s">
        <v>1708</v>
      </c>
      <c r="L516" s="109" t="s">
        <v>1975</v>
      </c>
      <c r="M516" s="166" t="s">
        <v>1687</v>
      </c>
      <c r="N516" s="162" t="s">
        <v>48</v>
      </c>
      <c r="O516" s="109" t="s">
        <v>48</v>
      </c>
      <c r="P516" s="162" t="s">
        <v>48</v>
      </c>
      <c r="Q516" s="109" t="s">
        <v>48</v>
      </c>
      <c r="R516" s="109" t="s">
        <v>48</v>
      </c>
      <c r="S516" s="109" t="s">
        <v>48</v>
      </c>
      <c r="T516" s="109" t="s">
        <v>48</v>
      </c>
      <c r="U516" s="109" t="s">
        <v>48</v>
      </c>
      <c r="V516" s="166" t="s">
        <v>48</v>
      </c>
      <c r="W516" s="165" t="s">
        <v>236</v>
      </c>
      <c r="X516" s="109" t="s">
        <v>236</v>
      </c>
      <c r="Y516" s="109" t="s">
        <v>48</v>
      </c>
      <c r="Z516" s="109" t="s">
        <v>48</v>
      </c>
      <c r="AA516" s="109" t="s">
        <v>48</v>
      </c>
      <c r="AB516" s="109" t="s">
        <v>48</v>
      </c>
      <c r="AC516" s="109" t="s">
        <v>48</v>
      </c>
      <c r="AD516" s="166" t="s">
        <v>48</v>
      </c>
      <c r="AE516" s="174" t="s">
        <v>442</v>
      </c>
      <c r="AF516" s="117" t="s">
        <v>224</v>
      </c>
      <c r="AG516" s="117" t="s">
        <v>490</v>
      </c>
      <c r="AH516" s="109" t="s">
        <v>1908</v>
      </c>
      <c r="AI516" s="117" t="s">
        <v>616</v>
      </c>
      <c r="AJ516" s="109" t="s">
        <v>492</v>
      </c>
      <c r="AK516" s="166" t="s">
        <v>493</v>
      </c>
      <c r="AL516" s="109" t="s">
        <v>236</v>
      </c>
      <c r="AM516" s="109" t="s">
        <v>236</v>
      </c>
      <c r="AN516" s="109" t="s">
        <v>48</v>
      </c>
      <c r="AO516" s="109" t="s">
        <v>48</v>
      </c>
      <c r="AP516" s="109" t="s">
        <v>48</v>
      </c>
      <c r="AQ516" s="109" t="s">
        <v>48</v>
      </c>
      <c r="AR516" s="109" t="s">
        <v>48</v>
      </c>
      <c r="AS516" s="166" t="s">
        <v>48</v>
      </c>
      <c r="AT516" s="174" t="s">
        <v>48</v>
      </c>
      <c r="AU516" s="117" t="s">
        <v>48</v>
      </c>
      <c r="AV516" s="117" t="s">
        <v>48</v>
      </c>
      <c r="AW516" s="117" t="s">
        <v>48</v>
      </c>
      <c r="AX516" s="117" t="s">
        <v>48</v>
      </c>
      <c r="AY516" s="117" t="s">
        <v>48</v>
      </c>
      <c r="AZ516" s="166" t="s">
        <v>48</v>
      </c>
      <c r="BA516" s="162" t="s">
        <v>1710</v>
      </c>
      <c r="BB516" s="117" t="s">
        <v>49</v>
      </c>
      <c r="BC516" s="120" t="s">
        <v>1692</v>
      </c>
    </row>
    <row r="517" spans="1:55" ht="51" hidden="1" customHeight="1">
      <c r="A517" s="109" t="s">
        <v>2339</v>
      </c>
      <c r="B517" s="109" t="s">
        <v>2031</v>
      </c>
      <c r="C517" s="117" t="s">
        <v>223</v>
      </c>
      <c r="D517" s="109" t="s">
        <v>236</v>
      </c>
      <c r="E517" s="161">
        <v>15000</v>
      </c>
      <c r="F517" s="165" t="s">
        <v>1691</v>
      </c>
      <c r="G517" s="109" t="s">
        <v>1691</v>
      </c>
      <c r="H517" s="109" t="s">
        <v>1942</v>
      </c>
      <c r="I517" s="109" t="s">
        <v>1908</v>
      </c>
      <c r="J517" s="109" t="s">
        <v>1708</v>
      </c>
      <c r="K517" s="109" t="s">
        <v>1708</v>
      </c>
      <c r="L517" s="109" t="s">
        <v>1975</v>
      </c>
      <c r="M517" s="166" t="s">
        <v>1687</v>
      </c>
      <c r="N517" s="162" t="s">
        <v>48</v>
      </c>
      <c r="O517" s="109" t="s">
        <v>48</v>
      </c>
      <c r="P517" s="162" t="s">
        <v>48</v>
      </c>
      <c r="Q517" s="109" t="s">
        <v>48</v>
      </c>
      <c r="R517" s="109" t="s">
        <v>48</v>
      </c>
      <c r="S517" s="109" t="s">
        <v>48</v>
      </c>
      <c r="T517" s="109" t="s">
        <v>48</v>
      </c>
      <c r="U517" s="109" t="s">
        <v>48</v>
      </c>
      <c r="V517" s="166" t="s">
        <v>48</v>
      </c>
      <c r="W517" s="165" t="s">
        <v>236</v>
      </c>
      <c r="X517" s="109" t="s">
        <v>236</v>
      </c>
      <c r="Y517" s="109" t="s">
        <v>48</v>
      </c>
      <c r="Z517" s="109" t="s">
        <v>48</v>
      </c>
      <c r="AA517" s="109" t="s">
        <v>48</v>
      </c>
      <c r="AB517" s="109" t="s">
        <v>48</v>
      </c>
      <c r="AC517" s="109" t="s">
        <v>48</v>
      </c>
      <c r="AD517" s="166" t="s">
        <v>48</v>
      </c>
      <c r="AE517" s="174" t="s">
        <v>442</v>
      </c>
      <c r="AF517" s="117" t="s">
        <v>224</v>
      </c>
      <c r="AG517" s="117" t="s">
        <v>490</v>
      </c>
      <c r="AH517" s="109" t="s">
        <v>1908</v>
      </c>
      <c r="AI517" s="117" t="s">
        <v>616</v>
      </c>
      <c r="AJ517" s="109" t="s">
        <v>492</v>
      </c>
      <c r="AK517" s="166" t="s">
        <v>493</v>
      </c>
      <c r="AL517" s="109" t="s">
        <v>236</v>
      </c>
      <c r="AM517" s="109" t="s">
        <v>236</v>
      </c>
      <c r="AN517" s="109" t="s">
        <v>48</v>
      </c>
      <c r="AO517" s="109" t="s">
        <v>48</v>
      </c>
      <c r="AP517" s="109" t="s">
        <v>48</v>
      </c>
      <c r="AQ517" s="109" t="s">
        <v>48</v>
      </c>
      <c r="AR517" s="109" t="s">
        <v>48</v>
      </c>
      <c r="AS517" s="166" t="s">
        <v>48</v>
      </c>
      <c r="AT517" s="174" t="s">
        <v>48</v>
      </c>
      <c r="AU517" s="117" t="s">
        <v>48</v>
      </c>
      <c r="AV517" s="117" t="s">
        <v>48</v>
      </c>
      <c r="AW517" s="117" t="s">
        <v>48</v>
      </c>
      <c r="AX517" s="117" t="s">
        <v>48</v>
      </c>
      <c r="AY517" s="117" t="s">
        <v>48</v>
      </c>
      <c r="AZ517" s="166" t="s">
        <v>48</v>
      </c>
      <c r="BA517" s="162" t="s">
        <v>1710</v>
      </c>
      <c r="BB517" s="117" t="s">
        <v>49</v>
      </c>
      <c r="BC517" s="120" t="s">
        <v>1692</v>
      </c>
    </row>
    <row r="518" spans="1:55" ht="64.150000000000006" hidden="1" customHeight="1">
      <c r="A518" s="109" t="s">
        <v>41</v>
      </c>
      <c r="B518" s="117" t="s">
        <v>2466</v>
      </c>
      <c r="C518" s="117" t="s">
        <v>222</v>
      </c>
      <c r="D518" s="109" t="s">
        <v>238</v>
      </c>
      <c r="E518" s="161">
        <v>15000</v>
      </c>
      <c r="F518" s="165" t="s">
        <v>1691</v>
      </c>
      <c r="G518" s="109" t="s">
        <v>1691</v>
      </c>
      <c r="H518" s="109" t="s">
        <v>1942</v>
      </c>
      <c r="I518" s="109" t="s">
        <v>1908</v>
      </c>
      <c r="J518" s="109" t="s">
        <v>1708</v>
      </c>
      <c r="K518" s="109" t="s">
        <v>1708</v>
      </c>
      <c r="L518" s="109" t="s">
        <v>1975</v>
      </c>
      <c r="M518" s="166" t="s">
        <v>1687</v>
      </c>
      <c r="N518" s="162" t="s">
        <v>48</v>
      </c>
      <c r="O518" s="109" t="s">
        <v>48</v>
      </c>
      <c r="P518" s="162" t="s">
        <v>48</v>
      </c>
      <c r="Q518" s="109" t="s">
        <v>48</v>
      </c>
      <c r="R518" s="109" t="s">
        <v>48</v>
      </c>
      <c r="S518" s="109" t="s">
        <v>48</v>
      </c>
      <c r="T518" s="109" t="s">
        <v>48</v>
      </c>
      <c r="U518" s="109" t="s">
        <v>48</v>
      </c>
      <c r="V518" s="166" t="s">
        <v>48</v>
      </c>
      <c r="W518" s="165" t="s">
        <v>238</v>
      </c>
      <c r="X518" s="109" t="s">
        <v>238</v>
      </c>
      <c r="Y518" s="109" t="s">
        <v>48</v>
      </c>
      <c r="Z518" s="109" t="s">
        <v>48</v>
      </c>
      <c r="AA518" s="109" t="s">
        <v>48</v>
      </c>
      <c r="AB518" s="109" t="s">
        <v>48</v>
      </c>
      <c r="AC518" s="109" t="s">
        <v>48</v>
      </c>
      <c r="AD518" s="166" t="s">
        <v>48</v>
      </c>
      <c r="AE518" s="174" t="s">
        <v>48</v>
      </c>
      <c r="AF518" s="109" t="s">
        <v>48</v>
      </c>
      <c r="AG518" s="117" t="s">
        <v>48</v>
      </c>
      <c r="AH518" s="109" t="s">
        <v>48</v>
      </c>
      <c r="AI518" s="109" t="s">
        <v>48</v>
      </c>
      <c r="AJ518" s="109" t="s">
        <v>48</v>
      </c>
      <c r="AK518" s="166" t="s">
        <v>48</v>
      </c>
      <c r="AL518" s="165" t="s">
        <v>238</v>
      </c>
      <c r="AM518" s="109" t="s">
        <v>238</v>
      </c>
      <c r="AN518" s="109" t="s">
        <v>48</v>
      </c>
      <c r="AO518" s="109" t="s">
        <v>48</v>
      </c>
      <c r="AP518" s="109" t="s">
        <v>48</v>
      </c>
      <c r="AQ518" s="109" t="s">
        <v>48</v>
      </c>
      <c r="AR518" s="109" t="s">
        <v>48</v>
      </c>
      <c r="AS518" s="166" t="s">
        <v>48</v>
      </c>
      <c r="AT518" s="165" t="s">
        <v>48</v>
      </c>
      <c r="AU518" s="109" t="s">
        <v>48</v>
      </c>
      <c r="AV518" s="109" t="s">
        <v>48</v>
      </c>
      <c r="AW518" s="109" t="s">
        <v>48</v>
      </c>
      <c r="AX518" s="109" t="s">
        <v>48</v>
      </c>
      <c r="AY518" s="109" t="s">
        <v>48</v>
      </c>
      <c r="AZ518" s="166" t="s">
        <v>48</v>
      </c>
      <c r="BA518" s="162" t="s">
        <v>1710</v>
      </c>
      <c r="BB518" s="117" t="s">
        <v>49</v>
      </c>
      <c r="BC518" s="120" t="s">
        <v>1692</v>
      </c>
    </row>
    <row r="519" spans="1:55" ht="64.150000000000006" hidden="1" customHeight="1">
      <c r="A519" s="109" t="s">
        <v>41</v>
      </c>
      <c r="B519" s="117" t="s">
        <v>2028</v>
      </c>
      <c r="C519" s="117" t="s">
        <v>222</v>
      </c>
      <c r="D519" s="109" t="s">
        <v>238</v>
      </c>
      <c r="E519" s="161">
        <v>15000</v>
      </c>
      <c r="F519" s="165" t="s">
        <v>1691</v>
      </c>
      <c r="G519" s="109" t="s">
        <v>1691</v>
      </c>
      <c r="H519" s="109" t="s">
        <v>1942</v>
      </c>
      <c r="I519" s="109" t="s">
        <v>1908</v>
      </c>
      <c r="J519" s="109" t="s">
        <v>1708</v>
      </c>
      <c r="K519" s="109" t="s">
        <v>1708</v>
      </c>
      <c r="L519" s="109" t="s">
        <v>1975</v>
      </c>
      <c r="M519" s="166" t="s">
        <v>1687</v>
      </c>
      <c r="N519" s="162" t="s">
        <v>48</v>
      </c>
      <c r="O519" s="109" t="s">
        <v>48</v>
      </c>
      <c r="P519" s="162" t="s">
        <v>48</v>
      </c>
      <c r="Q519" s="109" t="s">
        <v>48</v>
      </c>
      <c r="R519" s="109" t="s">
        <v>48</v>
      </c>
      <c r="S519" s="109" t="s">
        <v>48</v>
      </c>
      <c r="T519" s="109" t="s">
        <v>48</v>
      </c>
      <c r="U519" s="109" t="s">
        <v>48</v>
      </c>
      <c r="V519" s="166" t="s">
        <v>48</v>
      </c>
      <c r="W519" s="165" t="s">
        <v>238</v>
      </c>
      <c r="X519" s="109" t="s">
        <v>238</v>
      </c>
      <c r="Y519" s="109" t="s">
        <v>48</v>
      </c>
      <c r="Z519" s="109" t="s">
        <v>48</v>
      </c>
      <c r="AA519" s="109" t="s">
        <v>48</v>
      </c>
      <c r="AB519" s="109" t="s">
        <v>48</v>
      </c>
      <c r="AC519" s="109" t="s">
        <v>48</v>
      </c>
      <c r="AD519" s="166" t="s">
        <v>48</v>
      </c>
      <c r="AE519" s="174" t="s">
        <v>48</v>
      </c>
      <c r="AF519" s="109" t="s">
        <v>48</v>
      </c>
      <c r="AG519" s="117" t="s">
        <v>48</v>
      </c>
      <c r="AH519" s="109" t="s">
        <v>48</v>
      </c>
      <c r="AI519" s="109" t="s">
        <v>48</v>
      </c>
      <c r="AJ519" s="109" t="s">
        <v>48</v>
      </c>
      <c r="AK519" s="166" t="s">
        <v>48</v>
      </c>
      <c r="AL519" s="165" t="s">
        <v>238</v>
      </c>
      <c r="AM519" s="109" t="s">
        <v>238</v>
      </c>
      <c r="AN519" s="109" t="s">
        <v>48</v>
      </c>
      <c r="AO519" s="109" t="s">
        <v>48</v>
      </c>
      <c r="AP519" s="109" t="s">
        <v>48</v>
      </c>
      <c r="AQ519" s="109" t="s">
        <v>48</v>
      </c>
      <c r="AR519" s="109" t="s">
        <v>48</v>
      </c>
      <c r="AS519" s="166" t="s">
        <v>48</v>
      </c>
      <c r="AT519" s="165" t="s">
        <v>48</v>
      </c>
      <c r="AU519" s="109" t="s">
        <v>48</v>
      </c>
      <c r="AV519" s="109" t="s">
        <v>48</v>
      </c>
      <c r="AW519" s="109" t="s">
        <v>48</v>
      </c>
      <c r="AX519" s="109" t="s">
        <v>48</v>
      </c>
      <c r="AY519" s="109" t="s">
        <v>48</v>
      </c>
      <c r="AZ519" s="166" t="s">
        <v>48</v>
      </c>
      <c r="BA519" s="162" t="s">
        <v>1710</v>
      </c>
      <c r="BB519" s="117" t="s">
        <v>49</v>
      </c>
      <c r="BC519" s="120" t="s">
        <v>1692</v>
      </c>
    </row>
    <row r="520" spans="1:55" ht="64.150000000000006" hidden="1" customHeight="1">
      <c r="A520" s="109" t="s">
        <v>40</v>
      </c>
      <c r="B520" s="117" t="s">
        <v>2467</v>
      </c>
      <c r="C520" s="117" t="s">
        <v>220</v>
      </c>
      <c r="D520" s="109" t="s">
        <v>418</v>
      </c>
      <c r="E520" s="161">
        <v>30000</v>
      </c>
      <c r="F520" s="165" t="s">
        <v>1691</v>
      </c>
      <c r="G520" s="109" t="s">
        <v>1691</v>
      </c>
      <c r="H520" s="109" t="s">
        <v>1942</v>
      </c>
      <c r="I520" s="109" t="s">
        <v>1908</v>
      </c>
      <c r="J520" s="109" t="s">
        <v>1708</v>
      </c>
      <c r="K520" s="109" t="s">
        <v>1708</v>
      </c>
      <c r="L520" s="109" t="s">
        <v>1975</v>
      </c>
      <c r="M520" s="166" t="s">
        <v>1687</v>
      </c>
      <c r="N520" s="162" t="s">
        <v>48</v>
      </c>
      <c r="O520" s="109" t="s">
        <v>48</v>
      </c>
      <c r="P520" s="162" t="s">
        <v>48</v>
      </c>
      <c r="Q520" s="109" t="s">
        <v>48</v>
      </c>
      <c r="R520" s="109" t="s">
        <v>48</v>
      </c>
      <c r="S520" s="109" t="s">
        <v>48</v>
      </c>
      <c r="T520" s="109" t="s">
        <v>48</v>
      </c>
      <c r="U520" s="109" t="s">
        <v>48</v>
      </c>
      <c r="V520" s="166" t="s">
        <v>48</v>
      </c>
      <c r="W520" s="165" t="s">
        <v>418</v>
      </c>
      <c r="X520" s="109" t="s">
        <v>418</v>
      </c>
      <c r="Y520" s="109" t="s">
        <v>48</v>
      </c>
      <c r="Z520" s="109" t="s">
        <v>48</v>
      </c>
      <c r="AA520" s="109" t="s">
        <v>48</v>
      </c>
      <c r="AB520" s="109" t="s">
        <v>48</v>
      </c>
      <c r="AC520" s="109" t="s">
        <v>48</v>
      </c>
      <c r="AD520" s="166" t="s">
        <v>48</v>
      </c>
      <c r="AE520" s="174" t="s">
        <v>48</v>
      </c>
      <c r="AF520" s="117" t="s">
        <v>48</v>
      </c>
      <c r="AG520" s="117" t="s">
        <v>48</v>
      </c>
      <c r="AH520" s="109" t="s">
        <v>48</v>
      </c>
      <c r="AI520" s="109" t="s">
        <v>48</v>
      </c>
      <c r="AJ520" s="117" t="s">
        <v>48</v>
      </c>
      <c r="AK520" s="166" t="s">
        <v>48</v>
      </c>
      <c r="AL520" s="165" t="s">
        <v>418</v>
      </c>
      <c r="AM520" s="109" t="s">
        <v>418</v>
      </c>
      <c r="AN520" s="109" t="s">
        <v>48</v>
      </c>
      <c r="AO520" s="109" t="s">
        <v>48</v>
      </c>
      <c r="AP520" s="109" t="s">
        <v>48</v>
      </c>
      <c r="AQ520" s="109" t="s">
        <v>48</v>
      </c>
      <c r="AR520" s="109" t="s">
        <v>48</v>
      </c>
      <c r="AS520" s="166" t="s">
        <v>48</v>
      </c>
      <c r="AT520" s="174" t="s">
        <v>48</v>
      </c>
      <c r="AU520" s="117" t="s">
        <v>48</v>
      </c>
      <c r="AV520" s="117" t="s">
        <v>48</v>
      </c>
      <c r="AW520" s="117" t="s">
        <v>48</v>
      </c>
      <c r="AX520" s="117" t="s">
        <v>48</v>
      </c>
      <c r="AY520" s="117" t="s">
        <v>48</v>
      </c>
      <c r="AZ520" s="166" t="s">
        <v>48</v>
      </c>
      <c r="BA520" s="162" t="s">
        <v>1710</v>
      </c>
      <c r="BB520" s="117" t="s">
        <v>49</v>
      </c>
      <c r="BC520" s="120" t="s">
        <v>1692</v>
      </c>
    </row>
    <row r="521" spans="1:55" ht="64.150000000000006" hidden="1" customHeight="1">
      <c r="A521" s="109" t="s">
        <v>40</v>
      </c>
      <c r="B521" s="117" t="s">
        <v>2029</v>
      </c>
      <c r="C521" s="117" t="s">
        <v>220</v>
      </c>
      <c r="D521" s="109" t="s">
        <v>418</v>
      </c>
      <c r="E521" s="161">
        <v>30000</v>
      </c>
      <c r="F521" s="165" t="s">
        <v>1691</v>
      </c>
      <c r="G521" s="109" t="s">
        <v>1691</v>
      </c>
      <c r="H521" s="109" t="s">
        <v>1942</v>
      </c>
      <c r="I521" s="109" t="s">
        <v>1908</v>
      </c>
      <c r="J521" s="109" t="s">
        <v>1708</v>
      </c>
      <c r="K521" s="109" t="s">
        <v>1708</v>
      </c>
      <c r="L521" s="109" t="s">
        <v>1975</v>
      </c>
      <c r="M521" s="166" t="s">
        <v>1687</v>
      </c>
      <c r="N521" s="162" t="s">
        <v>48</v>
      </c>
      <c r="O521" s="109" t="s">
        <v>48</v>
      </c>
      <c r="P521" s="162" t="s">
        <v>48</v>
      </c>
      <c r="Q521" s="109" t="s">
        <v>48</v>
      </c>
      <c r="R521" s="109" t="s">
        <v>48</v>
      </c>
      <c r="S521" s="109" t="s">
        <v>48</v>
      </c>
      <c r="T521" s="109" t="s">
        <v>48</v>
      </c>
      <c r="U521" s="109" t="s">
        <v>48</v>
      </c>
      <c r="V521" s="166" t="s">
        <v>48</v>
      </c>
      <c r="W521" s="165" t="s">
        <v>418</v>
      </c>
      <c r="X521" s="109" t="s">
        <v>418</v>
      </c>
      <c r="Y521" s="109" t="s">
        <v>48</v>
      </c>
      <c r="Z521" s="109" t="s">
        <v>48</v>
      </c>
      <c r="AA521" s="109" t="s">
        <v>48</v>
      </c>
      <c r="AB521" s="109" t="s">
        <v>48</v>
      </c>
      <c r="AC521" s="109" t="s">
        <v>48</v>
      </c>
      <c r="AD521" s="166" t="s">
        <v>48</v>
      </c>
      <c r="AE521" s="174" t="s">
        <v>48</v>
      </c>
      <c r="AF521" s="117" t="s">
        <v>48</v>
      </c>
      <c r="AG521" s="117" t="s">
        <v>48</v>
      </c>
      <c r="AH521" s="109" t="s">
        <v>48</v>
      </c>
      <c r="AI521" s="109" t="s">
        <v>48</v>
      </c>
      <c r="AJ521" s="117" t="s">
        <v>48</v>
      </c>
      <c r="AK521" s="166" t="s">
        <v>48</v>
      </c>
      <c r="AL521" s="165" t="s">
        <v>418</v>
      </c>
      <c r="AM521" s="109" t="s">
        <v>418</v>
      </c>
      <c r="AN521" s="109" t="s">
        <v>48</v>
      </c>
      <c r="AO521" s="109" t="s">
        <v>48</v>
      </c>
      <c r="AP521" s="109" t="s">
        <v>48</v>
      </c>
      <c r="AQ521" s="109" t="s">
        <v>48</v>
      </c>
      <c r="AR521" s="109" t="s">
        <v>48</v>
      </c>
      <c r="AS521" s="166" t="s">
        <v>48</v>
      </c>
      <c r="AT521" s="174" t="s">
        <v>48</v>
      </c>
      <c r="AU521" s="117" t="s">
        <v>48</v>
      </c>
      <c r="AV521" s="117" t="s">
        <v>48</v>
      </c>
      <c r="AW521" s="117" t="s">
        <v>48</v>
      </c>
      <c r="AX521" s="117" t="s">
        <v>48</v>
      </c>
      <c r="AY521" s="117" t="s">
        <v>48</v>
      </c>
      <c r="AZ521" s="166" t="s">
        <v>48</v>
      </c>
      <c r="BA521" s="162" t="s">
        <v>1710</v>
      </c>
      <c r="BB521" s="117" t="s">
        <v>49</v>
      </c>
      <c r="BC521" s="120" t="s">
        <v>1692</v>
      </c>
    </row>
    <row r="522" spans="1:55" ht="64.150000000000006" hidden="1" customHeight="1">
      <c r="A522" s="109" t="s">
        <v>38</v>
      </c>
      <c r="B522" s="109" t="s">
        <v>2032</v>
      </c>
      <c r="C522" s="117" t="s">
        <v>220</v>
      </c>
      <c r="D522" s="109" t="s">
        <v>418</v>
      </c>
      <c r="E522" s="161">
        <v>15000</v>
      </c>
      <c r="F522" s="165" t="s">
        <v>1691</v>
      </c>
      <c r="G522" s="109" t="s">
        <v>1691</v>
      </c>
      <c r="H522" s="109" t="s">
        <v>1942</v>
      </c>
      <c r="I522" s="109" t="s">
        <v>1908</v>
      </c>
      <c r="J522" s="109" t="s">
        <v>1708</v>
      </c>
      <c r="K522" s="109" t="s">
        <v>1708</v>
      </c>
      <c r="L522" s="109" t="s">
        <v>1975</v>
      </c>
      <c r="M522" s="166" t="s">
        <v>1687</v>
      </c>
      <c r="N522" s="162" t="s">
        <v>48</v>
      </c>
      <c r="O522" s="109" t="s">
        <v>48</v>
      </c>
      <c r="P522" s="162" t="s">
        <v>48</v>
      </c>
      <c r="Q522" s="109" t="s">
        <v>48</v>
      </c>
      <c r="R522" s="109" t="s">
        <v>48</v>
      </c>
      <c r="S522" s="109" t="s">
        <v>48</v>
      </c>
      <c r="T522" s="109" t="s">
        <v>48</v>
      </c>
      <c r="U522" s="109" t="s">
        <v>48</v>
      </c>
      <c r="V522" s="166" t="s">
        <v>48</v>
      </c>
      <c r="W522" s="165" t="s">
        <v>418</v>
      </c>
      <c r="X522" s="109" t="s">
        <v>418</v>
      </c>
      <c r="Y522" s="109" t="s">
        <v>48</v>
      </c>
      <c r="Z522" s="109" t="s">
        <v>48</v>
      </c>
      <c r="AA522" s="109" t="s">
        <v>48</v>
      </c>
      <c r="AB522" s="109" t="s">
        <v>48</v>
      </c>
      <c r="AC522" s="109" t="s">
        <v>48</v>
      </c>
      <c r="AD522" s="166" t="s">
        <v>48</v>
      </c>
      <c r="AE522" s="174" t="s">
        <v>48</v>
      </c>
      <c r="AF522" s="117" t="s">
        <v>48</v>
      </c>
      <c r="AG522" s="117" t="s">
        <v>48</v>
      </c>
      <c r="AH522" s="109" t="s">
        <v>48</v>
      </c>
      <c r="AI522" s="109" t="s">
        <v>48</v>
      </c>
      <c r="AJ522" s="117" t="s">
        <v>48</v>
      </c>
      <c r="AK522" s="182" t="s">
        <v>48</v>
      </c>
      <c r="AL522" s="165" t="s">
        <v>418</v>
      </c>
      <c r="AM522" s="109" t="s">
        <v>418</v>
      </c>
      <c r="AN522" s="109" t="s">
        <v>48</v>
      </c>
      <c r="AO522" s="109" t="s">
        <v>48</v>
      </c>
      <c r="AP522" s="109" t="s">
        <v>48</v>
      </c>
      <c r="AQ522" s="109" t="s">
        <v>48</v>
      </c>
      <c r="AR522" s="109" t="s">
        <v>48</v>
      </c>
      <c r="AS522" s="166" t="s">
        <v>48</v>
      </c>
      <c r="AT522" s="174" t="s">
        <v>48</v>
      </c>
      <c r="AU522" s="117" t="s">
        <v>48</v>
      </c>
      <c r="AV522" s="117" t="s">
        <v>48</v>
      </c>
      <c r="AW522" s="117" t="s">
        <v>48</v>
      </c>
      <c r="AX522" s="117" t="s">
        <v>48</v>
      </c>
      <c r="AY522" s="117" t="s">
        <v>48</v>
      </c>
      <c r="AZ522" s="166" t="s">
        <v>48</v>
      </c>
      <c r="BA522" s="162" t="s">
        <v>1710</v>
      </c>
      <c r="BB522" s="117" t="s">
        <v>49</v>
      </c>
      <c r="BC522" s="120" t="s">
        <v>1692</v>
      </c>
    </row>
    <row r="523" spans="1:55" ht="64.150000000000006" hidden="1" customHeight="1">
      <c r="A523" s="109" t="s">
        <v>38</v>
      </c>
      <c r="B523" s="109" t="s">
        <v>2024</v>
      </c>
      <c r="C523" s="117" t="s">
        <v>220</v>
      </c>
      <c r="D523" s="109" t="s">
        <v>418</v>
      </c>
      <c r="E523" s="161">
        <v>15000</v>
      </c>
      <c r="F523" s="165" t="s">
        <v>1691</v>
      </c>
      <c r="G523" s="109" t="s">
        <v>1691</v>
      </c>
      <c r="H523" s="109" t="s">
        <v>1942</v>
      </c>
      <c r="I523" s="109" t="s">
        <v>1908</v>
      </c>
      <c r="J523" s="109" t="s">
        <v>1708</v>
      </c>
      <c r="K523" s="109" t="s">
        <v>1708</v>
      </c>
      <c r="L523" s="109" t="s">
        <v>1975</v>
      </c>
      <c r="M523" s="166" t="s">
        <v>1687</v>
      </c>
      <c r="N523" s="162" t="s">
        <v>48</v>
      </c>
      <c r="O523" s="109" t="s">
        <v>48</v>
      </c>
      <c r="P523" s="162" t="s">
        <v>48</v>
      </c>
      <c r="Q523" s="109" t="s">
        <v>48</v>
      </c>
      <c r="R523" s="109" t="s">
        <v>48</v>
      </c>
      <c r="S523" s="109" t="s">
        <v>48</v>
      </c>
      <c r="T523" s="109" t="s">
        <v>48</v>
      </c>
      <c r="U523" s="109" t="s">
        <v>48</v>
      </c>
      <c r="V523" s="166" t="s">
        <v>48</v>
      </c>
      <c r="W523" s="165" t="s">
        <v>1011</v>
      </c>
      <c r="X523" s="109" t="s">
        <v>418</v>
      </c>
      <c r="Y523" s="109" t="s">
        <v>2045</v>
      </c>
      <c r="Z523" s="109" t="s">
        <v>1908</v>
      </c>
      <c r="AA523" s="109" t="s">
        <v>1034</v>
      </c>
      <c r="AB523" s="109" t="s">
        <v>1034</v>
      </c>
      <c r="AC523" s="109" t="s">
        <v>2046</v>
      </c>
      <c r="AD523" s="166" t="s">
        <v>1075</v>
      </c>
      <c r="AE523" s="174" t="s">
        <v>48</v>
      </c>
      <c r="AF523" s="117" t="s">
        <v>48</v>
      </c>
      <c r="AG523" s="117" t="s">
        <v>48</v>
      </c>
      <c r="AH523" s="109" t="s">
        <v>48</v>
      </c>
      <c r="AI523" s="109" t="s">
        <v>48</v>
      </c>
      <c r="AJ523" s="117" t="s">
        <v>48</v>
      </c>
      <c r="AK523" s="182" t="s">
        <v>48</v>
      </c>
      <c r="AL523" s="165" t="s">
        <v>418</v>
      </c>
      <c r="AM523" s="109" t="s">
        <v>418</v>
      </c>
      <c r="AN523" s="109" t="s">
        <v>48</v>
      </c>
      <c r="AO523" s="109" t="s">
        <v>48</v>
      </c>
      <c r="AP523" s="109" t="s">
        <v>48</v>
      </c>
      <c r="AQ523" s="109" t="s">
        <v>48</v>
      </c>
      <c r="AR523" s="109" t="s">
        <v>48</v>
      </c>
      <c r="AS523" s="166" t="s">
        <v>48</v>
      </c>
      <c r="AT523" s="174" t="s">
        <v>48</v>
      </c>
      <c r="AU523" s="117" t="s">
        <v>48</v>
      </c>
      <c r="AV523" s="117" t="s">
        <v>48</v>
      </c>
      <c r="AW523" s="117" t="s">
        <v>48</v>
      </c>
      <c r="AX523" s="117" t="s">
        <v>48</v>
      </c>
      <c r="AY523" s="117" t="s">
        <v>48</v>
      </c>
      <c r="AZ523" s="166" t="s">
        <v>48</v>
      </c>
      <c r="BA523" s="162" t="s">
        <v>1078</v>
      </c>
      <c r="BB523" s="117" t="s">
        <v>49</v>
      </c>
      <c r="BC523" s="79" t="s">
        <v>1692</v>
      </c>
    </row>
    <row r="524" spans="1:55" ht="64.150000000000006" hidden="1" customHeight="1">
      <c r="A524" s="109" t="s">
        <v>2341</v>
      </c>
      <c r="B524" s="109" t="s">
        <v>2023</v>
      </c>
      <c r="C524" s="117" t="s">
        <v>220</v>
      </c>
      <c r="D524" s="109" t="s">
        <v>418</v>
      </c>
      <c r="E524" s="161">
        <v>30000</v>
      </c>
      <c r="F524" s="165" t="s">
        <v>1691</v>
      </c>
      <c r="G524" s="109" t="s">
        <v>1691</v>
      </c>
      <c r="H524" s="109" t="s">
        <v>1942</v>
      </c>
      <c r="I524" s="109" t="s">
        <v>1908</v>
      </c>
      <c r="J524" s="109" t="s">
        <v>1708</v>
      </c>
      <c r="K524" s="109" t="s">
        <v>1708</v>
      </c>
      <c r="L524" s="109" t="s">
        <v>1975</v>
      </c>
      <c r="M524" s="166" t="s">
        <v>1687</v>
      </c>
      <c r="N524" s="162" t="s">
        <v>48</v>
      </c>
      <c r="O524" s="109" t="s">
        <v>48</v>
      </c>
      <c r="P524" s="162" t="s">
        <v>48</v>
      </c>
      <c r="Q524" s="109" t="s">
        <v>48</v>
      </c>
      <c r="R524" s="109" t="s">
        <v>48</v>
      </c>
      <c r="S524" s="109" t="s">
        <v>48</v>
      </c>
      <c r="T524" s="109" t="s">
        <v>48</v>
      </c>
      <c r="U524" s="109" t="s">
        <v>48</v>
      </c>
      <c r="V524" s="166" t="s">
        <v>48</v>
      </c>
      <c r="W524" s="165" t="s">
        <v>418</v>
      </c>
      <c r="X524" s="109" t="s">
        <v>418</v>
      </c>
      <c r="Y524" s="109" t="s">
        <v>48</v>
      </c>
      <c r="Z524" s="109" t="s">
        <v>48</v>
      </c>
      <c r="AA524" s="109" t="s">
        <v>48</v>
      </c>
      <c r="AB524" s="109" t="s">
        <v>48</v>
      </c>
      <c r="AC524" s="109" t="s">
        <v>48</v>
      </c>
      <c r="AD524" s="166" t="s">
        <v>48</v>
      </c>
      <c r="AE524" s="174" t="s">
        <v>48</v>
      </c>
      <c r="AF524" s="117" t="s">
        <v>48</v>
      </c>
      <c r="AG524" s="117" t="s">
        <v>48</v>
      </c>
      <c r="AH524" s="109" t="s">
        <v>48</v>
      </c>
      <c r="AI524" s="109" t="s">
        <v>48</v>
      </c>
      <c r="AJ524" s="117" t="s">
        <v>48</v>
      </c>
      <c r="AK524" s="182" t="s">
        <v>48</v>
      </c>
      <c r="AL524" s="165" t="s">
        <v>418</v>
      </c>
      <c r="AM524" s="109" t="s">
        <v>418</v>
      </c>
      <c r="AN524" s="109" t="s">
        <v>48</v>
      </c>
      <c r="AO524" s="109" t="s">
        <v>48</v>
      </c>
      <c r="AP524" s="109" t="s">
        <v>48</v>
      </c>
      <c r="AQ524" s="109" t="s">
        <v>48</v>
      </c>
      <c r="AR524" s="109" t="s">
        <v>48</v>
      </c>
      <c r="AS524" s="166" t="s">
        <v>48</v>
      </c>
      <c r="AT524" s="174" t="s">
        <v>48</v>
      </c>
      <c r="AU524" s="117" t="s">
        <v>48</v>
      </c>
      <c r="AV524" s="117" t="s">
        <v>48</v>
      </c>
      <c r="AW524" s="117" t="s">
        <v>48</v>
      </c>
      <c r="AX524" s="117" t="s">
        <v>48</v>
      </c>
      <c r="AY524" s="117" t="s">
        <v>48</v>
      </c>
      <c r="AZ524" s="166" t="s">
        <v>48</v>
      </c>
      <c r="BA524" s="162" t="s">
        <v>1710</v>
      </c>
      <c r="BB524" s="117" t="s">
        <v>49</v>
      </c>
      <c r="BC524" s="120" t="s">
        <v>1692</v>
      </c>
    </row>
    <row r="525" spans="1:55" ht="64.150000000000006" hidden="1" customHeight="1">
      <c r="A525" s="109" t="s">
        <v>2340</v>
      </c>
      <c r="B525" s="109" t="s">
        <v>2022</v>
      </c>
      <c r="C525" s="117" t="s">
        <v>220</v>
      </c>
      <c r="D525" s="109" t="s">
        <v>418</v>
      </c>
      <c r="E525" s="161">
        <v>30000</v>
      </c>
      <c r="F525" s="165" t="s">
        <v>1691</v>
      </c>
      <c r="G525" s="109" t="s">
        <v>1691</v>
      </c>
      <c r="H525" s="109" t="s">
        <v>1942</v>
      </c>
      <c r="I525" s="109" t="s">
        <v>1908</v>
      </c>
      <c r="J525" s="109" t="s">
        <v>1708</v>
      </c>
      <c r="K525" s="109" t="s">
        <v>1708</v>
      </c>
      <c r="L525" s="109" t="s">
        <v>1975</v>
      </c>
      <c r="M525" s="166" t="s">
        <v>1687</v>
      </c>
      <c r="N525" s="162" t="s">
        <v>48</v>
      </c>
      <c r="O525" s="109" t="s">
        <v>48</v>
      </c>
      <c r="P525" s="162" t="s">
        <v>48</v>
      </c>
      <c r="Q525" s="109" t="s">
        <v>48</v>
      </c>
      <c r="R525" s="109" t="s">
        <v>48</v>
      </c>
      <c r="S525" s="109" t="s">
        <v>48</v>
      </c>
      <c r="T525" s="109" t="s">
        <v>48</v>
      </c>
      <c r="U525" s="109" t="s">
        <v>48</v>
      </c>
      <c r="V525" s="166" t="s">
        <v>48</v>
      </c>
      <c r="W525" s="165" t="s">
        <v>418</v>
      </c>
      <c r="X525" s="109" t="s">
        <v>418</v>
      </c>
      <c r="Y525" s="109" t="s">
        <v>48</v>
      </c>
      <c r="Z525" s="109" t="s">
        <v>48</v>
      </c>
      <c r="AA525" s="109" t="s">
        <v>48</v>
      </c>
      <c r="AB525" s="109" t="s">
        <v>48</v>
      </c>
      <c r="AC525" s="109" t="s">
        <v>48</v>
      </c>
      <c r="AD525" s="166" t="s">
        <v>48</v>
      </c>
      <c r="AE525" s="174" t="s">
        <v>48</v>
      </c>
      <c r="AF525" s="117" t="s">
        <v>48</v>
      </c>
      <c r="AG525" s="117" t="s">
        <v>48</v>
      </c>
      <c r="AH525" s="109" t="s">
        <v>48</v>
      </c>
      <c r="AI525" s="109" t="s">
        <v>48</v>
      </c>
      <c r="AJ525" s="117" t="s">
        <v>48</v>
      </c>
      <c r="AK525" s="182" t="s">
        <v>48</v>
      </c>
      <c r="AL525" s="165" t="s">
        <v>418</v>
      </c>
      <c r="AM525" s="109" t="s">
        <v>418</v>
      </c>
      <c r="AN525" s="109" t="s">
        <v>48</v>
      </c>
      <c r="AO525" s="109" t="s">
        <v>48</v>
      </c>
      <c r="AP525" s="109" t="s">
        <v>48</v>
      </c>
      <c r="AQ525" s="109" t="s">
        <v>48</v>
      </c>
      <c r="AR525" s="109" t="s">
        <v>48</v>
      </c>
      <c r="AS525" s="166" t="s">
        <v>48</v>
      </c>
      <c r="AT525" s="174" t="s">
        <v>48</v>
      </c>
      <c r="AU525" s="117" t="s">
        <v>48</v>
      </c>
      <c r="AV525" s="117" t="s">
        <v>48</v>
      </c>
      <c r="AW525" s="117" t="s">
        <v>48</v>
      </c>
      <c r="AX525" s="117" t="s">
        <v>48</v>
      </c>
      <c r="AY525" s="117" t="s">
        <v>48</v>
      </c>
      <c r="AZ525" s="166" t="s">
        <v>48</v>
      </c>
      <c r="BA525" s="162" t="s">
        <v>1710</v>
      </c>
      <c r="BB525" s="117" t="s">
        <v>49</v>
      </c>
      <c r="BC525" s="120" t="s">
        <v>1692</v>
      </c>
    </row>
    <row r="526" spans="1:55" ht="64.150000000000006" hidden="1" customHeight="1">
      <c r="A526" s="109" t="s">
        <v>2339</v>
      </c>
      <c r="B526" s="109" t="s">
        <v>2031</v>
      </c>
      <c r="C526" s="117" t="s">
        <v>220</v>
      </c>
      <c r="D526" s="109" t="s">
        <v>418</v>
      </c>
      <c r="E526" s="161">
        <v>15000</v>
      </c>
      <c r="F526" s="165" t="s">
        <v>1691</v>
      </c>
      <c r="G526" s="109" t="s">
        <v>1691</v>
      </c>
      <c r="H526" s="109" t="s">
        <v>1942</v>
      </c>
      <c r="I526" s="109" t="s">
        <v>1908</v>
      </c>
      <c r="J526" s="109" t="s">
        <v>1708</v>
      </c>
      <c r="K526" s="109" t="s">
        <v>1708</v>
      </c>
      <c r="L526" s="109" t="s">
        <v>1975</v>
      </c>
      <c r="M526" s="166" t="s">
        <v>1687</v>
      </c>
      <c r="N526" s="162" t="s">
        <v>48</v>
      </c>
      <c r="O526" s="109" t="s">
        <v>48</v>
      </c>
      <c r="P526" s="162" t="s">
        <v>48</v>
      </c>
      <c r="Q526" s="109" t="s">
        <v>48</v>
      </c>
      <c r="R526" s="109" t="s">
        <v>48</v>
      </c>
      <c r="S526" s="109" t="s">
        <v>48</v>
      </c>
      <c r="T526" s="109" t="s">
        <v>48</v>
      </c>
      <c r="U526" s="109" t="s">
        <v>48</v>
      </c>
      <c r="V526" s="166" t="s">
        <v>48</v>
      </c>
      <c r="W526" s="165" t="s">
        <v>418</v>
      </c>
      <c r="X526" s="109" t="s">
        <v>418</v>
      </c>
      <c r="Y526" s="109" t="s">
        <v>48</v>
      </c>
      <c r="Z526" s="109" t="s">
        <v>48</v>
      </c>
      <c r="AA526" s="109" t="s">
        <v>48</v>
      </c>
      <c r="AB526" s="109" t="s">
        <v>48</v>
      </c>
      <c r="AC526" s="109" t="s">
        <v>48</v>
      </c>
      <c r="AD526" s="166" t="s">
        <v>48</v>
      </c>
      <c r="AE526" s="174" t="s">
        <v>48</v>
      </c>
      <c r="AF526" s="117" t="s">
        <v>48</v>
      </c>
      <c r="AG526" s="117" t="s">
        <v>48</v>
      </c>
      <c r="AH526" s="109" t="s">
        <v>48</v>
      </c>
      <c r="AI526" s="109" t="s">
        <v>48</v>
      </c>
      <c r="AJ526" s="117" t="s">
        <v>48</v>
      </c>
      <c r="AK526" s="182" t="s">
        <v>48</v>
      </c>
      <c r="AL526" s="165" t="s">
        <v>418</v>
      </c>
      <c r="AM526" s="109" t="s">
        <v>418</v>
      </c>
      <c r="AN526" s="109" t="s">
        <v>48</v>
      </c>
      <c r="AO526" s="109" t="s">
        <v>48</v>
      </c>
      <c r="AP526" s="109" t="s">
        <v>48</v>
      </c>
      <c r="AQ526" s="109" t="s">
        <v>48</v>
      </c>
      <c r="AR526" s="109" t="s">
        <v>48</v>
      </c>
      <c r="AS526" s="166" t="s">
        <v>48</v>
      </c>
      <c r="AT526" s="174" t="s">
        <v>48</v>
      </c>
      <c r="AU526" s="117" t="s">
        <v>48</v>
      </c>
      <c r="AV526" s="117" t="s">
        <v>48</v>
      </c>
      <c r="AW526" s="117" t="s">
        <v>48</v>
      </c>
      <c r="AX526" s="117" t="s">
        <v>48</v>
      </c>
      <c r="AY526" s="117" t="s">
        <v>48</v>
      </c>
      <c r="AZ526" s="166" t="s">
        <v>48</v>
      </c>
      <c r="BA526" s="162" t="s">
        <v>1710</v>
      </c>
      <c r="BB526" s="117" t="s">
        <v>49</v>
      </c>
      <c r="BC526" s="120" t="s">
        <v>1692</v>
      </c>
    </row>
    <row r="527" spans="1:55" ht="64.150000000000006" hidden="1" customHeight="1">
      <c r="A527" s="109" t="s">
        <v>38</v>
      </c>
      <c r="B527" s="109" t="s">
        <v>2032</v>
      </c>
      <c r="C527" s="117" t="s">
        <v>218</v>
      </c>
      <c r="D527" s="109" t="s">
        <v>234</v>
      </c>
      <c r="E527" s="161">
        <v>15000</v>
      </c>
      <c r="F527" s="165" t="s">
        <v>1691</v>
      </c>
      <c r="G527" s="109" t="s">
        <v>1691</v>
      </c>
      <c r="H527" s="109" t="s">
        <v>1942</v>
      </c>
      <c r="I527" s="109" t="s">
        <v>1908</v>
      </c>
      <c r="J527" s="109" t="s">
        <v>1708</v>
      </c>
      <c r="K527" s="109" t="s">
        <v>1708</v>
      </c>
      <c r="L527" s="109" t="s">
        <v>1975</v>
      </c>
      <c r="M527" s="166" t="s">
        <v>1687</v>
      </c>
      <c r="N527" s="162" t="s">
        <v>48</v>
      </c>
      <c r="O527" s="109" t="s">
        <v>48</v>
      </c>
      <c r="P527" s="162" t="s">
        <v>48</v>
      </c>
      <c r="Q527" s="109" t="s">
        <v>48</v>
      </c>
      <c r="R527" s="109" t="s">
        <v>48</v>
      </c>
      <c r="S527" s="109" t="s">
        <v>48</v>
      </c>
      <c r="T527" s="109" t="s">
        <v>48</v>
      </c>
      <c r="U527" s="109" t="s">
        <v>48</v>
      </c>
      <c r="V527" s="166" t="s">
        <v>48</v>
      </c>
      <c r="W527" s="165" t="s">
        <v>234</v>
      </c>
      <c r="X527" s="109" t="s">
        <v>234</v>
      </c>
      <c r="Y527" s="109" t="s">
        <v>48</v>
      </c>
      <c r="Z527" s="109" t="s">
        <v>48</v>
      </c>
      <c r="AA527" s="109" t="s">
        <v>48</v>
      </c>
      <c r="AB527" s="109" t="s">
        <v>48</v>
      </c>
      <c r="AC527" s="109" t="s">
        <v>48</v>
      </c>
      <c r="AD527" s="166" t="s">
        <v>48</v>
      </c>
      <c r="AE527" s="174" t="s">
        <v>48</v>
      </c>
      <c r="AF527" s="109" t="s">
        <v>48</v>
      </c>
      <c r="AG527" s="117" t="s">
        <v>48</v>
      </c>
      <c r="AH527" s="109" t="s">
        <v>48</v>
      </c>
      <c r="AI527" s="109" t="s">
        <v>48</v>
      </c>
      <c r="AJ527" s="109" t="s">
        <v>48</v>
      </c>
      <c r="AK527" s="166" t="s">
        <v>48</v>
      </c>
      <c r="AL527" s="165" t="s">
        <v>234</v>
      </c>
      <c r="AM527" s="109" t="s">
        <v>234</v>
      </c>
      <c r="AN527" s="109" t="s">
        <v>48</v>
      </c>
      <c r="AO527" s="109" t="s">
        <v>48</v>
      </c>
      <c r="AP527" s="109" t="s">
        <v>48</v>
      </c>
      <c r="AQ527" s="109" t="s">
        <v>48</v>
      </c>
      <c r="AR527" s="109" t="s">
        <v>48</v>
      </c>
      <c r="AS527" s="166" t="s">
        <v>48</v>
      </c>
      <c r="AT527" s="165" t="s">
        <v>48</v>
      </c>
      <c r="AU527" s="109" t="s">
        <v>48</v>
      </c>
      <c r="AV527" s="109" t="s">
        <v>48</v>
      </c>
      <c r="AW527" s="109" t="s">
        <v>48</v>
      </c>
      <c r="AX527" s="109" t="s">
        <v>48</v>
      </c>
      <c r="AY527" s="109" t="s">
        <v>48</v>
      </c>
      <c r="AZ527" s="166" t="s">
        <v>48</v>
      </c>
      <c r="BA527" s="162" t="s">
        <v>1710</v>
      </c>
      <c r="BB527" s="117" t="s">
        <v>49</v>
      </c>
      <c r="BC527" s="120" t="s">
        <v>1692</v>
      </c>
    </row>
    <row r="528" spans="1:55" ht="64.150000000000006" hidden="1" customHeight="1">
      <c r="A528" s="109" t="s">
        <v>38</v>
      </c>
      <c r="B528" s="109" t="s">
        <v>2024</v>
      </c>
      <c r="C528" s="117" t="s">
        <v>218</v>
      </c>
      <c r="D528" s="109" t="s">
        <v>234</v>
      </c>
      <c r="E528" s="161">
        <v>15000</v>
      </c>
      <c r="F528" s="165" t="s">
        <v>1691</v>
      </c>
      <c r="G528" s="109" t="s">
        <v>1691</v>
      </c>
      <c r="H528" s="109" t="s">
        <v>1942</v>
      </c>
      <c r="I528" s="109" t="s">
        <v>1908</v>
      </c>
      <c r="J528" s="109" t="s">
        <v>1708</v>
      </c>
      <c r="K528" s="109" t="s">
        <v>1708</v>
      </c>
      <c r="L528" s="109" t="s">
        <v>1975</v>
      </c>
      <c r="M528" s="166" t="s">
        <v>1687</v>
      </c>
      <c r="N528" s="162" t="s">
        <v>48</v>
      </c>
      <c r="O528" s="109" t="s">
        <v>48</v>
      </c>
      <c r="P528" s="162" t="s">
        <v>48</v>
      </c>
      <c r="Q528" s="109" t="s">
        <v>48</v>
      </c>
      <c r="R528" s="109" t="s">
        <v>48</v>
      </c>
      <c r="S528" s="109" t="s">
        <v>48</v>
      </c>
      <c r="T528" s="109" t="s">
        <v>48</v>
      </c>
      <c r="U528" s="109" t="s">
        <v>48</v>
      </c>
      <c r="V528" s="166" t="s">
        <v>48</v>
      </c>
      <c r="W528" s="165" t="s">
        <v>1011</v>
      </c>
      <c r="X528" s="109" t="s">
        <v>234</v>
      </c>
      <c r="Y528" s="109" t="s">
        <v>2045</v>
      </c>
      <c r="Z528" s="109" t="s">
        <v>1908</v>
      </c>
      <c r="AA528" s="109" t="s">
        <v>1034</v>
      </c>
      <c r="AB528" s="109" t="s">
        <v>1034</v>
      </c>
      <c r="AC528" s="109" t="s">
        <v>2046</v>
      </c>
      <c r="AD528" s="166" t="s">
        <v>1075</v>
      </c>
      <c r="AE528" s="174" t="s">
        <v>48</v>
      </c>
      <c r="AF528" s="109" t="s">
        <v>48</v>
      </c>
      <c r="AG528" s="117" t="s">
        <v>48</v>
      </c>
      <c r="AH528" s="109" t="s">
        <v>48</v>
      </c>
      <c r="AI528" s="109" t="s">
        <v>48</v>
      </c>
      <c r="AJ528" s="109" t="s">
        <v>48</v>
      </c>
      <c r="AK528" s="166" t="s">
        <v>48</v>
      </c>
      <c r="AL528" s="109" t="s">
        <v>234</v>
      </c>
      <c r="AM528" s="109" t="s">
        <v>234</v>
      </c>
      <c r="AN528" s="109" t="s">
        <v>48</v>
      </c>
      <c r="AO528" s="109" t="s">
        <v>48</v>
      </c>
      <c r="AP528" s="109" t="s">
        <v>48</v>
      </c>
      <c r="AQ528" s="109" t="s">
        <v>48</v>
      </c>
      <c r="AR528" s="109" t="s">
        <v>48</v>
      </c>
      <c r="AS528" s="166" t="s">
        <v>48</v>
      </c>
      <c r="AT528" s="165" t="s">
        <v>48</v>
      </c>
      <c r="AU528" s="109" t="s">
        <v>48</v>
      </c>
      <c r="AV528" s="109" t="s">
        <v>48</v>
      </c>
      <c r="AW528" s="109" t="s">
        <v>48</v>
      </c>
      <c r="AX528" s="109" t="s">
        <v>48</v>
      </c>
      <c r="AY528" s="109" t="s">
        <v>48</v>
      </c>
      <c r="AZ528" s="166" t="s">
        <v>48</v>
      </c>
      <c r="BA528" s="162" t="s">
        <v>1078</v>
      </c>
      <c r="BB528" s="117" t="s">
        <v>49</v>
      </c>
      <c r="BC528" s="79" t="s">
        <v>1692</v>
      </c>
    </row>
    <row r="529" spans="1:55" ht="64.150000000000006" hidden="1" customHeight="1">
      <c r="A529" s="109" t="s">
        <v>2341</v>
      </c>
      <c r="B529" s="109" t="s">
        <v>2023</v>
      </c>
      <c r="C529" s="117" t="s">
        <v>218</v>
      </c>
      <c r="D529" s="109" t="s">
        <v>234</v>
      </c>
      <c r="E529" s="161">
        <v>30000</v>
      </c>
      <c r="F529" s="165" t="s">
        <v>1691</v>
      </c>
      <c r="G529" s="109" t="s">
        <v>1691</v>
      </c>
      <c r="H529" s="109" t="s">
        <v>1942</v>
      </c>
      <c r="I529" s="109" t="s">
        <v>1908</v>
      </c>
      <c r="J529" s="109" t="s">
        <v>1708</v>
      </c>
      <c r="K529" s="109" t="s">
        <v>1708</v>
      </c>
      <c r="L529" s="109" t="s">
        <v>1975</v>
      </c>
      <c r="M529" s="166" t="s">
        <v>1687</v>
      </c>
      <c r="N529" s="162" t="s">
        <v>48</v>
      </c>
      <c r="O529" s="109" t="s">
        <v>48</v>
      </c>
      <c r="P529" s="162" t="s">
        <v>48</v>
      </c>
      <c r="Q529" s="109" t="s">
        <v>48</v>
      </c>
      <c r="R529" s="109" t="s">
        <v>48</v>
      </c>
      <c r="S529" s="109" t="s">
        <v>48</v>
      </c>
      <c r="T529" s="109" t="s">
        <v>48</v>
      </c>
      <c r="U529" s="109" t="s">
        <v>48</v>
      </c>
      <c r="V529" s="166" t="s">
        <v>48</v>
      </c>
      <c r="W529" s="165" t="s">
        <v>234</v>
      </c>
      <c r="X529" s="109" t="s">
        <v>234</v>
      </c>
      <c r="Y529" s="109" t="s">
        <v>48</v>
      </c>
      <c r="Z529" s="109" t="s">
        <v>48</v>
      </c>
      <c r="AA529" s="109" t="s">
        <v>48</v>
      </c>
      <c r="AB529" s="109" t="s">
        <v>48</v>
      </c>
      <c r="AC529" s="109" t="s">
        <v>48</v>
      </c>
      <c r="AD529" s="166" t="s">
        <v>48</v>
      </c>
      <c r="AE529" s="174" t="s">
        <v>48</v>
      </c>
      <c r="AF529" s="109" t="s">
        <v>48</v>
      </c>
      <c r="AG529" s="117" t="s">
        <v>48</v>
      </c>
      <c r="AH529" s="109" t="s">
        <v>48</v>
      </c>
      <c r="AI529" s="109" t="s">
        <v>48</v>
      </c>
      <c r="AJ529" s="109" t="s">
        <v>48</v>
      </c>
      <c r="AK529" s="166" t="s">
        <v>48</v>
      </c>
      <c r="AL529" s="109" t="s">
        <v>234</v>
      </c>
      <c r="AM529" s="109" t="s">
        <v>234</v>
      </c>
      <c r="AN529" s="109" t="s">
        <v>48</v>
      </c>
      <c r="AO529" s="109" t="s">
        <v>48</v>
      </c>
      <c r="AP529" s="109" t="s">
        <v>48</v>
      </c>
      <c r="AQ529" s="109" t="s">
        <v>48</v>
      </c>
      <c r="AR529" s="109" t="s">
        <v>48</v>
      </c>
      <c r="AS529" s="166" t="s">
        <v>48</v>
      </c>
      <c r="AT529" s="165" t="s">
        <v>48</v>
      </c>
      <c r="AU529" s="109" t="s">
        <v>48</v>
      </c>
      <c r="AV529" s="109" t="s">
        <v>48</v>
      </c>
      <c r="AW529" s="109" t="s">
        <v>48</v>
      </c>
      <c r="AX529" s="109" t="s">
        <v>48</v>
      </c>
      <c r="AY529" s="109" t="s">
        <v>48</v>
      </c>
      <c r="AZ529" s="166" t="s">
        <v>48</v>
      </c>
      <c r="BA529" s="162" t="s">
        <v>1710</v>
      </c>
      <c r="BB529" s="117" t="s">
        <v>49</v>
      </c>
      <c r="BC529" s="120" t="s">
        <v>1692</v>
      </c>
    </row>
    <row r="530" spans="1:55" ht="64.150000000000006" hidden="1" customHeight="1">
      <c r="A530" s="109" t="s">
        <v>2340</v>
      </c>
      <c r="B530" s="109" t="s">
        <v>2022</v>
      </c>
      <c r="C530" s="117" t="s">
        <v>218</v>
      </c>
      <c r="D530" s="109" t="s">
        <v>234</v>
      </c>
      <c r="E530" s="161">
        <v>30000</v>
      </c>
      <c r="F530" s="165" t="s">
        <v>1691</v>
      </c>
      <c r="G530" s="109" t="s">
        <v>1691</v>
      </c>
      <c r="H530" s="109" t="s">
        <v>1942</v>
      </c>
      <c r="I530" s="109" t="s">
        <v>1908</v>
      </c>
      <c r="J530" s="109" t="s">
        <v>1708</v>
      </c>
      <c r="K530" s="109" t="s">
        <v>1708</v>
      </c>
      <c r="L530" s="109" t="s">
        <v>1975</v>
      </c>
      <c r="M530" s="166" t="s">
        <v>1687</v>
      </c>
      <c r="N530" s="162" t="s">
        <v>48</v>
      </c>
      <c r="O530" s="109" t="s">
        <v>48</v>
      </c>
      <c r="P530" s="162" t="s">
        <v>48</v>
      </c>
      <c r="Q530" s="109" t="s">
        <v>48</v>
      </c>
      <c r="R530" s="109" t="s">
        <v>48</v>
      </c>
      <c r="S530" s="109" t="s">
        <v>48</v>
      </c>
      <c r="T530" s="109" t="s">
        <v>48</v>
      </c>
      <c r="U530" s="109" t="s">
        <v>48</v>
      </c>
      <c r="V530" s="166" t="s">
        <v>48</v>
      </c>
      <c r="W530" s="165" t="s">
        <v>234</v>
      </c>
      <c r="X530" s="109" t="s">
        <v>234</v>
      </c>
      <c r="Y530" s="109" t="s">
        <v>48</v>
      </c>
      <c r="Z530" s="109" t="s">
        <v>48</v>
      </c>
      <c r="AA530" s="109" t="s">
        <v>48</v>
      </c>
      <c r="AB530" s="109" t="s">
        <v>48</v>
      </c>
      <c r="AC530" s="109" t="s">
        <v>48</v>
      </c>
      <c r="AD530" s="166" t="s">
        <v>48</v>
      </c>
      <c r="AE530" s="174" t="s">
        <v>48</v>
      </c>
      <c r="AF530" s="109" t="s">
        <v>48</v>
      </c>
      <c r="AG530" s="117" t="s">
        <v>48</v>
      </c>
      <c r="AH530" s="109" t="s">
        <v>48</v>
      </c>
      <c r="AI530" s="109" t="s">
        <v>48</v>
      </c>
      <c r="AJ530" s="109" t="s">
        <v>48</v>
      </c>
      <c r="AK530" s="166" t="s">
        <v>48</v>
      </c>
      <c r="AL530" s="109" t="s">
        <v>234</v>
      </c>
      <c r="AM530" s="109" t="s">
        <v>234</v>
      </c>
      <c r="AN530" s="109" t="s">
        <v>48</v>
      </c>
      <c r="AO530" s="109" t="s">
        <v>48</v>
      </c>
      <c r="AP530" s="109" t="s">
        <v>48</v>
      </c>
      <c r="AQ530" s="109" t="s">
        <v>48</v>
      </c>
      <c r="AR530" s="109" t="s">
        <v>48</v>
      </c>
      <c r="AS530" s="166" t="s">
        <v>48</v>
      </c>
      <c r="AT530" s="165" t="s">
        <v>48</v>
      </c>
      <c r="AU530" s="109" t="s">
        <v>48</v>
      </c>
      <c r="AV530" s="109" t="s">
        <v>48</v>
      </c>
      <c r="AW530" s="109" t="s">
        <v>48</v>
      </c>
      <c r="AX530" s="109" t="s">
        <v>48</v>
      </c>
      <c r="AY530" s="109" t="s">
        <v>48</v>
      </c>
      <c r="AZ530" s="166" t="s">
        <v>48</v>
      </c>
      <c r="BA530" s="162" t="s">
        <v>1710</v>
      </c>
      <c r="BB530" s="117" t="s">
        <v>49</v>
      </c>
      <c r="BC530" s="120" t="s">
        <v>1692</v>
      </c>
    </row>
    <row r="531" spans="1:55" ht="64.150000000000006" hidden="1" customHeight="1">
      <c r="A531" s="109" t="s">
        <v>2339</v>
      </c>
      <c r="B531" s="109" t="s">
        <v>2031</v>
      </c>
      <c r="C531" s="117" t="s">
        <v>218</v>
      </c>
      <c r="D531" s="109" t="s">
        <v>234</v>
      </c>
      <c r="E531" s="161">
        <v>15000</v>
      </c>
      <c r="F531" s="165" t="s">
        <v>1691</v>
      </c>
      <c r="G531" s="109" t="s">
        <v>1691</v>
      </c>
      <c r="H531" s="109" t="s">
        <v>1942</v>
      </c>
      <c r="I531" s="109" t="s">
        <v>1908</v>
      </c>
      <c r="J531" s="109" t="s">
        <v>1708</v>
      </c>
      <c r="K531" s="109" t="s">
        <v>1708</v>
      </c>
      <c r="L531" s="109" t="s">
        <v>1975</v>
      </c>
      <c r="M531" s="166" t="s">
        <v>1687</v>
      </c>
      <c r="N531" s="162" t="s">
        <v>48</v>
      </c>
      <c r="O531" s="109" t="s">
        <v>48</v>
      </c>
      <c r="P531" s="162" t="s">
        <v>48</v>
      </c>
      <c r="Q531" s="109" t="s">
        <v>48</v>
      </c>
      <c r="R531" s="109" t="s">
        <v>48</v>
      </c>
      <c r="S531" s="109" t="s">
        <v>48</v>
      </c>
      <c r="T531" s="109" t="s">
        <v>48</v>
      </c>
      <c r="U531" s="109" t="s">
        <v>48</v>
      </c>
      <c r="V531" s="166" t="s">
        <v>48</v>
      </c>
      <c r="W531" s="165" t="s">
        <v>234</v>
      </c>
      <c r="X531" s="109" t="s">
        <v>234</v>
      </c>
      <c r="Y531" s="109" t="s">
        <v>48</v>
      </c>
      <c r="Z531" s="109" t="s">
        <v>48</v>
      </c>
      <c r="AA531" s="109" t="s">
        <v>48</v>
      </c>
      <c r="AB531" s="109" t="s">
        <v>48</v>
      </c>
      <c r="AC531" s="109" t="s">
        <v>48</v>
      </c>
      <c r="AD531" s="166" t="s">
        <v>48</v>
      </c>
      <c r="AE531" s="174" t="s">
        <v>48</v>
      </c>
      <c r="AF531" s="109" t="s">
        <v>48</v>
      </c>
      <c r="AG531" s="117" t="s">
        <v>48</v>
      </c>
      <c r="AH531" s="109" t="s">
        <v>48</v>
      </c>
      <c r="AI531" s="109" t="s">
        <v>48</v>
      </c>
      <c r="AJ531" s="109" t="s">
        <v>48</v>
      </c>
      <c r="AK531" s="166" t="s">
        <v>48</v>
      </c>
      <c r="AL531" s="109" t="s">
        <v>234</v>
      </c>
      <c r="AM531" s="109" t="s">
        <v>234</v>
      </c>
      <c r="AN531" s="109" t="s">
        <v>48</v>
      </c>
      <c r="AO531" s="109" t="s">
        <v>48</v>
      </c>
      <c r="AP531" s="109" t="s">
        <v>48</v>
      </c>
      <c r="AQ531" s="109" t="s">
        <v>48</v>
      </c>
      <c r="AR531" s="109" t="s">
        <v>48</v>
      </c>
      <c r="AS531" s="166" t="s">
        <v>48</v>
      </c>
      <c r="AT531" s="165" t="s">
        <v>48</v>
      </c>
      <c r="AU531" s="109" t="s">
        <v>48</v>
      </c>
      <c r="AV531" s="109" t="s">
        <v>48</v>
      </c>
      <c r="AW531" s="109" t="s">
        <v>48</v>
      </c>
      <c r="AX531" s="109" t="s">
        <v>48</v>
      </c>
      <c r="AY531" s="109" t="s">
        <v>48</v>
      </c>
      <c r="AZ531" s="166" t="s">
        <v>48</v>
      </c>
      <c r="BA531" s="162" t="s">
        <v>1710</v>
      </c>
      <c r="BB531" s="117" t="s">
        <v>49</v>
      </c>
      <c r="BC531" s="120" t="s">
        <v>1692</v>
      </c>
    </row>
    <row r="532" spans="1:55" ht="64.150000000000006" hidden="1" customHeight="1">
      <c r="A532" s="109" t="s">
        <v>38</v>
      </c>
      <c r="B532" s="109" t="s">
        <v>2032</v>
      </c>
      <c r="C532" s="117" t="s">
        <v>218</v>
      </c>
      <c r="D532" s="109" t="s">
        <v>235</v>
      </c>
      <c r="E532" s="161">
        <v>15000</v>
      </c>
      <c r="F532" s="165" t="s">
        <v>1691</v>
      </c>
      <c r="G532" s="109" t="s">
        <v>1691</v>
      </c>
      <c r="H532" s="109" t="s">
        <v>1942</v>
      </c>
      <c r="I532" s="109" t="s">
        <v>1908</v>
      </c>
      <c r="J532" s="109" t="s">
        <v>1708</v>
      </c>
      <c r="K532" s="109" t="s">
        <v>1708</v>
      </c>
      <c r="L532" s="109" t="s">
        <v>1975</v>
      </c>
      <c r="M532" s="166" t="s">
        <v>1687</v>
      </c>
      <c r="N532" s="162" t="s">
        <v>48</v>
      </c>
      <c r="O532" s="109" t="s">
        <v>48</v>
      </c>
      <c r="P532" s="162" t="s">
        <v>48</v>
      </c>
      <c r="Q532" s="109" t="s">
        <v>48</v>
      </c>
      <c r="R532" s="109" t="s">
        <v>48</v>
      </c>
      <c r="S532" s="109" t="s">
        <v>48</v>
      </c>
      <c r="T532" s="109" t="s">
        <v>48</v>
      </c>
      <c r="U532" s="109" t="s">
        <v>48</v>
      </c>
      <c r="V532" s="166" t="s">
        <v>48</v>
      </c>
      <c r="W532" s="165" t="s">
        <v>235</v>
      </c>
      <c r="X532" s="109" t="s">
        <v>235</v>
      </c>
      <c r="Y532" s="109" t="s">
        <v>48</v>
      </c>
      <c r="Z532" s="109" t="s">
        <v>48</v>
      </c>
      <c r="AA532" s="109" t="s">
        <v>48</v>
      </c>
      <c r="AB532" s="109" t="s">
        <v>48</v>
      </c>
      <c r="AC532" s="109" t="s">
        <v>48</v>
      </c>
      <c r="AD532" s="166" t="s">
        <v>48</v>
      </c>
      <c r="AE532" s="174" t="s">
        <v>80</v>
      </c>
      <c r="AF532" s="117" t="s">
        <v>219</v>
      </c>
      <c r="AG532" s="117" t="s">
        <v>245</v>
      </c>
      <c r="AH532" s="109" t="s">
        <v>1908</v>
      </c>
      <c r="AI532" s="117" t="s">
        <v>615</v>
      </c>
      <c r="AJ532" s="109" t="s">
        <v>788</v>
      </c>
      <c r="AK532" s="166" t="s">
        <v>48</v>
      </c>
      <c r="AL532" s="109" t="s">
        <v>235</v>
      </c>
      <c r="AM532" s="109" t="s">
        <v>235</v>
      </c>
      <c r="AN532" s="109" t="s">
        <v>48</v>
      </c>
      <c r="AO532" s="109" t="s">
        <v>48</v>
      </c>
      <c r="AP532" s="109" t="s">
        <v>48</v>
      </c>
      <c r="AQ532" s="109" t="s">
        <v>48</v>
      </c>
      <c r="AR532" s="109" t="s">
        <v>48</v>
      </c>
      <c r="AS532" s="166" t="s">
        <v>48</v>
      </c>
      <c r="AT532" s="165" t="s">
        <v>48</v>
      </c>
      <c r="AU532" s="109" t="s">
        <v>48</v>
      </c>
      <c r="AV532" s="109" t="s">
        <v>48</v>
      </c>
      <c r="AW532" s="109" t="s">
        <v>48</v>
      </c>
      <c r="AX532" s="109" t="s">
        <v>48</v>
      </c>
      <c r="AY532" s="109" t="s">
        <v>48</v>
      </c>
      <c r="AZ532" s="166" t="s">
        <v>48</v>
      </c>
      <c r="BA532" s="162" t="s">
        <v>1710</v>
      </c>
      <c r="BB532" s="117" t="s">
        <v>49</v>
      </c>
      <c r="BC532" s="120" t="s">
        <v>1692</v>
      </c>
    </row>
    <row r="533" spans="1:55" ht="64.150000000000006" hidden="1" customHeight="1">
      <c r="A533" s="109" t="s">
        <v>38</v>
      </c>
      <c r="B533" s="109" t="s">
        <v>2024</v>
      </c>
      <c r="C533" s="117" t="s">
        <v>218</v>
      </c>
      <c r="D533" s="109" t="s">
        <v>235</v>
      </c>
      <c r="E533" s="161">
        <v>15000</v>
      </c>
      <c r="F533" s="165" t="s">
        <v>1691</v>
      </c>
      <c r="G533" s="109" t="s">
        <v>1691</v>
      </c>
      <c r="H533" s="109" t="s">
        <v>1942</v>
      </c>
      <c r="I533" s="109" t="s">
        <v>1908</v>
      </c>
      <c r="J533" s="109" t="s">
        <v>1708</v>
      </c>
      <c r="K533" s="109" t="s">
        <v>1708</v>
      </c>
      <c r="L533" s="109" t="s">
        <v>1975</v>
      </c>
      <c r="M533" s="166" t="s">
        <v>1687</v>
      </c>
      <c r="N533" s="162" t="s">
        <v>48</v>
      </c>
      <c r="O533" s="109" t="s">
        <v>48</v>
      </c>
      <c r="P533" s="162" t="s">
        <v>48</v>
      </c>
      <c r="Q533" s="109" t="s">
        <v>48</v>
      </c>
      <c r="R533" s="109" t="s">
        <v>48</v>
      </c>
      <c r="S533" s="109" t="s">
        <v>48</v>
      </c>
      <c r="T533" s="109" t="s">
        <v>48</v>
      </c>
      <c r="U533" s="109" t="s">
        <v>48</v>
      </c>
      <c r="V533" s="166" t="s">
        <v>48</v>
      </c>
      <c r="W533" s="165" t="s">
        <v>1011</v>
      </c>
      <c r="X533" s="109" t="s">
        <v>235</v>
      </c>
      <c r="Y533" s="109" t="s">
        <v>2045</v>
      </c>
      <c r="Z533" s="109" t="s">
        <v>1908</v>
      </c>
      <c r="AA533" s="109" t="s">
        <v>1034</v>
      </c>
      <c r="AB533" s="109" t="s">
        <v>1034</v>
      </c>
      <c r="AC533" s="109" t="s">
        <v>2046</v>
      </c>
      <c r="AD533" s="166" t="s">
        <v>1075</v>
      </c>
      <c r="AE533" s="174" t="s">
        <v>80</v>
      </c>
      <c r="AF533" s="117" t="s">
        <v>219</v>
      </c>
      <c r="AG533" s="117" t="s">
        <v>245</v>
      </c>
      <c r="AH533" s="109" t="s">
        <v>1908</v>
      </c>
      <c r="AI533" s="117" t="s">
        <v>615</v>
      </c>
      <c r="AJ533" s="109" t="s">
        <v>788</v>
      </c>
      <c r="AK533" s="166" t="s">
        <v>48</v>
      </c>
      <c r="AL533" s="109" t="s">
        <v>235</v>
      </c>
      <c r="AM533" s="109" t="s">
        <v>235</v>
      </c>
      <c r="AN533" s="109" t="s">
        <v>48</v>
      </c>
      <c r="AO533" s="109" t="s">
        <v>48</v>
      </c>
      <c r="AP533" s="109" t="s">
        <v>48</v>
      </c>
      <c r="AQ533" s="109" t="s">
        <v>48</v>
      </c>
      <c r="AR533" s="109" t="s">
        <v>48</v>
      </c>
      <c r="AS533" s="166" t="s">
        <v>48</v>
      </c>
      <c r="AT533" s="165" t="s">
        <v>48</v>
      </c>
      <c r="AU533" s="109" t="s">
        <v>48</v>
      </c>
      <c r="AV533" s="109" t="s">
        <v>48</v>
      </c>
      <c r="AW533" s="109" t="s">
        <v>48</v>
      </c>
      <c r="AX533" s="109" t="s">
        <v>48</v>
      </c>
      <c r="AY533" s="109" t="s">
        <v>48</v>
      </c>
      <c r="AZ533" s="166" t="s">
        <v>48</v>
      </c>
      <c r="BA533" s="162" t="s">
        <v>1078</v>
      </c>
      <c r="BB533" s="117" t="s">
        <v>49</v>
      </c>
      <c r="BC533" s="79" t="s">
        <v>1692</v>
      </c>
    </row>
    <row r="534" spans="1:55" ht="56.5" hidden="1" customHeight="1">
      <c r="A534" s="109" t="s">
        <v>2341</v>
      </c>
      <c r="B534" s="109" t="s">
        <v>2023</v>
      </c>
      <c r="C534" s="117" t="s">
        <v>218</v>
      </c>
      <c r="D534" s="109" t="s">
        <v>235</v>
      </c>
      <c r="E534" s="161">
        <v>30000</v>
      </c>
      <c r="F534" s="165" t="s">
        <v>1691</v>
      </c>
      <c r="G534" s="109" t="s">
        <v>1691</v>
      </c>
      <c r="H534" s="109" t="s">
        <v>1942</v>
      </c>
      <c r="I534" s="109" t="s">
        <v>1908</v>
      </c>
      <c r="J534" s="109" t="s">
        <v>1708</v>
      </c>
      <c r="K534" s="109" t="s">
        <v>1708</v>
      </c>
      <c r="L534" s="109" t="s">
        <v>1975</v>
      </c>
      <c r="M534" s="166" t="s">
        <v>1687</v>
      </c>
      <c r="N534" s="162" t="s">
        <v>48</v>
      </c>
      <c r="O534" s="109" t="s">
        <v>48</v>
      </c>
      <c r="P534" s="162" t="s">
        <v>48</v>
      </c>
      <c r="Q534" s="109" t="s">
        <v>48</v>
      </c>
      <c r="R534" s="109" t="s">
        <v>48</v>
      </c>
      <c r="S534" s="109" t="s">
        <v>48</v>
      </c>
      <c r="T534" s="109" t="s">
        <v>48</v>
      </c>
      <c r="U534" s="109" t="s">
        <v>48</v>
      </c>
      <c r="V534" s="166" t="s">
        <v>48</v>
      </c>
      <c r="W534" s="165" t="s">
        <v>235</v>
      </c>
      <c r="X534" s="109" t="s">
        <v>235</v>
      </c>
      <c r="Y534" s="109" t="s">
        <v>48</v>
      </c>
      <c r="Z534" s="109" t="s">
        <v>48</v>
      </c>
      <c r="AA534" s="109" t="s">
        <v>48</v>
      </c>
      <c r="AB534" s="109" t="s">
        <v>48</v>
      </c>
      <c r="AC534" s="109" t="s">
        <v>48</v>
      </c>
      <c r="AD534" s="166" t="s">
        <v>48</v>
      </c>
      <c r="AE534" s="174" t="s">
        <v>80</v>
      </c>
      <c r="AF534" s="117" t="s">
        <v>219</v>
      </c>
      <c r="AG534" s="117" t="s">
        <v>245</v>
      </c>
      <c r="AH534" s="109" t="s">
        <v>1908</v>
      </c>
      <c r="AI534" s="117" t="s">
        <v>615</v>
      </c>
      <c r="AJ534" s="109" t="s">
        <v>788</v>
      </c>
      <c r="AK534" s="166" t="s">
        <v>48</v>
      </c>
      <c r="AL534" s="109" t="s">
        <v>235</v>
      </c>
      <c r="AM534" s="109" t="s">
        <v>235</v>
      </c>
      <c r="AN534" s="109" t="s">
        <v>48</v>
      </c>
      <c r="AO534" s="109" t="s">
        <v>48</v>
      </c>
      <c r="AP534" s="109" t="s">
        <v>48</v>
      </c>
      <c r="AQ534" s="109" t="s">
        <v>48</v>
      </c>
      <c r="AR534" s="109" t="s">
        <v>48</v>
      </c>
      <c r="AS534" s="166" t="s">
        <v>48</v>
      </c>
      <c r="AT534" s="165" t="s">
        <v>48</v>
      </c>
      <c r="AU534" s="109" t="s">
        <v>48</v>
      </c>
      <c r="AV534" s="109" t="s">
        <v>48</v>
      </c>
      <c r="AW534" s="109" t="s">
        <v>48</v>
      </c>
      <c r="AX534" s="109" t="s">
        <v>48</v>
      </c>
      <c r="AY534" s="109" t="s">
        <v>48</v>
      </c>
      <c r="AZ534" s="166" t="s">
        <v>48</v>
      </c>
      <c r="BA534" s="162" t="s">
        <v>1710</v>
      </c>
      <c r="BB534" s="117" t="s">
        <v>49</v>
      </c>
      <c r="BC534" s="120" t="s">
        <v>1692</v>
      </c>
    </row>
    <row r="535" spans="1:55" ht="56.5" hidden="1" customHeight="1">
      <c r="A535" s="109" t="s">
        <v>2340</v>
      </c>
      <c r="B535" s="109" t="s">
        <v>2022</v>
      </c>
      <c r="C535" s="117" t="s">
        <v>218</v>
      </c>
      <c r="D535" s="109" t="s">
        <v>235</v>
      </c>
      <c r="E535" s="161">
        <v>30000</v>
      </c>
      <c r="F535" s="165" t="s">
        <v>1691</v>
      </c>
      <c r="G535" s="109" t="s">
        <v>1691</v>
      </c>
      <c r="H535" s="109" t="s">
        <v>1942</v>
      </c>
      <c r="I535" s="109" t="s">
        <v>1908</v>
      </c>
      <c r="J535" s="109" t="s">
        <v>1708</v>
      </c>
      <c r="K535" s="109" t="s">
        <v>1708</v>
      </c>
      <c r="L535" s="109" t="s">
        <v>1975</v>
      </c>
      <c r="M535" s="166" t="s">
        <v>1687</v>
      </c>
      <c r="N535" s="162" t="s">
        <v>48</v>
      </c>
      <c r="O535" s="109" t="s">
        <v>48</v>
      </c>
      <c r="P535" s="162" t="s">
        <v>48</v>
      </c>
      <c r="Q535" s="109" t="s">
        <v>48</v>
      </c>
      <c r="R535" s="109" t="s">
        <v>48</v>
      </c>
      <c r="S535" s="109" t="s">
        <v>48</v>
      </c>
      <c r="T535" s="109" t="s">
        <v>48</v>
      </c>
      <c r="U535" s="109" t="s">
        <v>48</v>
      </c>
      <c r="V535" s="166" t="s">
        <v>48</v>
      </c>
      <c r="W535" s="165" t="s">
        <v>235</v>
      </c>
      <c r="X535" s="109" t="s">
        <v>235</v>
      </c>
      <c r="Y535" s="109" t="s">
        <v>48</v>
      </c>
      <c r="Z535" s="109" t="s">
        <v>48</v>
      </c>
      <c r="AA535" s="109" t="s">
        <v>48</v>
      </c>
      <c r="AB535" s="109" t="s">
        <v>48</v>
      </c>
      <c r="AC535" s="109" t="s">
        <v>48</v>
      </c>
      <c r="AD535" s="166" t="s">
        <v>48</v>
      </c>
      <c r="AE535" s="174" t="s">
        <v>80</v>
      </c>
      <c r="AF535" s="117" t="s">
        <v>219</v>
      </c>
      <c r="AG535" s="117" t="s">
        <v>245</v>
      </c>
      <c r="AH535" s="109" t="s">
        <v>1908</v>
      </c>
      <c r="AI535" s="117" t="s">
        <v>615</v>
      </c>
      <c r="AJ535" s="109" t="s">
        <v>788</v>
      </c>
      <c r="AK535" s="166" t="s">
        <v>48</v>
      </c>
      <c r="AL535" s="109" t="s">
        <v>235</v>
      </c>
      <c r="AM535" s="109" t="s">
        <v>235</v>
      </c>
      <c r="AN535" s="109" t="s">
        <v>48</v>
      </c>
      <c r="AO535" s="109" t="s">
        <v>48</v>
      </c>
      <c r="AP535" s="109" t="s">
        <v>48</v>
      </c>
      <c r="AQ535" s="109" t="s">
        <v>48</v>
      </c>
      <c r="AR535" s="109" t="s">
        <v>48</v>
      </c>
      <c r="AS535" s="166" t="s">
        <v>48</v>
      </c>
      <c r="AT535" s="165" t="s">
        <v>48</v>
      </c>
      <c r="AU535" s="109" t="s">
        <v>48</v>
      </c>
      <c r="AV535" s="109" t="s">
        <v>48</v>
      </c>
      <c r="AW535" s="109" t="s">
        <v>48</v>
      </c>
      <c r="AX535" s="109" t="s">
        <v>48</v>
      </c>
      <c r="AY535" s="109" t="s">
        <v>48</v>
      </c>
      <c r="AZ535" s="166" t="s">
        <v>48</v>
      </c>
      <c r="BA535" s="162" t="s">
        <v>1710</v>
      </c>
      <c r="BB535" s="117" t="s">
        <v>49</v>
      </c>
      <c r="BC535" s="120" t="s">
        <v>1692</v>
      </c>
    </row>
    <row r="536" spans="1:55" ht="56.5" hidden="1" customHeight="1">
      <c r="A536" s="109" t="s">
        <v>2339</v>
      </c>
      <c r="B536" s="109" t="s">
        <v>2031</v>
      </c>
      <c r="C536" s="117" t="s">
        <v>218</v>
      </c>
      <c r="D536" s="109" t="s">
        <v>235</v>
      </c>
      <c r="E536" s="161">
        <v>15000</v>
      </c>
      <c r="F536" s="165" t="s">
        <v>1691</v>
      </c>
      <c r="G536" s="109" t="s">
        <v>1691</v>
      </c>
      <c r="H536" s="109" t="s">
        <v>1942</v>
      </c>
      <c r="I536" s="109" t="s">
        <v>1908</v>
      </c>
      <c r="J536" s="109" t="s">
        <v>1708</v>
      </c>
      <c r="K536" s="109" t="s">
        <v>1708</v>
      </c>
      <c r="L536" s="109" t="s">
        <v>1975</v>
      </c>
      <c r="M536" s="166" t="s">
        <v>1687</v>
      </c>
      <c r="N536" s="162" t="s">
        <v>48</v>
      </c>
      <c r="O536" s="109" t="s">
        <v>48</v>
      </c>
      <c r="P536" s="162" t="s">
        <v>48</v>
      </c>
      <c r="Q536" s="109" t="s">
        <v>48</v>
      </c>
      <c r="R536" s="109" t="s">
        <v>48</v>
      </c>
      <c r="S536" s="109" t="s">
        <v>48</v>
      </c>
      <c r="T536" s="109" t="s">
        <v>48</v>
      </c>
      <c r="U536" s="109" t="s">
        <v>48</v>
      </c>
      <c r="V536" s="166" t="s">
        <v>48</v>
      </c>
      <c r="W536" s="165" t="s">
        <v>235</v>
      </c>
      <c r="X536" s="109" t="s">
        <v>235</v>
      </c>
      <c r="Y536" s="109" t="s">
        <v>48</v>
      </c>
      <c r="Z536" s="109" t="s">
        <v>48</v>
      </c>
      <c r="AA536" s="109" t="s">
        <v>48</v>
      </c>
      <c r="AB536" s="109" t="s">
        <v>48</v>
      </c>
      <c r="AC536" s="109" t="s">
        <v>48</v>
      </c>
      <c r="AD536" s="166" t="s">
        <v>48</v>
      </c>
      <c r="AE536" s="174" t="s">
        <v>80</v>
      </c>
      <c r="AF536" s="117" t="s">
        <v>219</v>
      </c>
      <c r="AG536" s="117" t="s">
        <v>245</v>
      </c>
      <c r="AH536" s="109" t="s">
        <v>1908</v>
      </c>
      <c r="AI536" s="117" t="s">
        <v>615</v>
      </c>
      <c r="AJ536" s="109" t="s">
        <v>788</v>
      </c>
      <c r="AK536" s="166" t="s">
        <v>48</v>
      </c>
      <c r="AL536" s="165" t="s">
        <v>235</v>
      </c>
      <c r="AM536" s="109" t="s">
        <v>235</v>
      </c>
      <c r="AN536" s="109" t="s">
        <v>48</v>
      </c>
      <c r="AO536" s="109" t="s">
        <v>48</v>
      </c>
      <c r="AP536" s="109" t="s">
        <v>48</v>
      </c>
      <c r="AQ536" s="109" t="s">
        <v>48</v>
      </c>
      <c r="AR536" s="109" t="s">
        <v>48</v>
      </c>
      <c r="AS536" s="166" t="s">
        <v>48</v>
      </c>
      <c r="AT536" s="165" t="s">
        <v>48</v>
      </c>
      <c r="AU536" s="109" t="s">
        <v>48</v>
      </c>
      <c r="AV536" s="109" t="s">
        <v>48</v>
      </c>
      <c r="AW536" s="109" t="s">
        <v>48</v>
      </c>
      <c r="AX536" s="109" t="s">
        <v>48</v>
      </c>
      <c r="AY536" s="109" t="s">
        <v>48</v>
      </c>
      <c r="AZ536" s="166" t="s">
        <v>48</v>
      </c>
      <c r="BA536" s="162" t="s">
        <v>1710</v>
      </c>
      <c r="BB536" s="117" t="s">
        <v>49</v>
      </c>
      <c r="BC536" s="120" t="s">
        <v>1692</v>
      </c>
    </row>
    <row r="537" spans="1:55" ht="56.5" hidden="1" customHeight="1">
      <c r="A537" s="109" t="s">
        <v>38</v>
      </c>
      <c r="B537" s="109" t="s">
        <v>2470</v>
      </c>
      <c r="C537" s="117" t="s">
        <v>225</v>
      </c>
      <c r="D537" s="109" t="s">
        <v>467</v>
      </c>
      <c r="E537" s="161">
        <v>15000</v>
      </c>
      <c r="F537" s="165" t="s">
        <v>1748</v>
      </c>
      <c r="G537" s="109" t="s">
        <v>1748</v>
      </c>
      <c r="H537" s="109" t="s">
        <v>1977</v>
      </c>
      <c r="I537" s="109" t="s">
        <v>1908</v>
      </c>
      <c r="J537" s="109" t="s">
        <v>1708</v>
      </c>
      <c r="K537" s="109" t="s">
        <v>1708</v>
      </c>
      <c r="L537" s="117" t="s">
        <v>1978</v>
      </c>
      <c r="M537" s="182" t="s">
        <v>1687</v>
      </c>
      <c r="N537" s="162" t="s">
        <v>48</v>
      </c>
      <c r="O537" s="109" t="s">
        <v>48</v>
      </c>
      <c r="P537" s="162" t="s">
        <v>48</v>
      </c>
      <c r="Q537" s="109" t="s">
        <v>48</v>
      </c>
      <c r="R537" s="109" t="s">
        <v>48</v>
      </c>
      <c r="S537" s="109" t="s">
        <v>48</v>
      </c>
      <c r="T537" s="109" t="s">
        <v>48</v>
      </c>
      <c r="U537" s="109" t="s">
        <v>48</v>
      </c>
      <c r="V537" s="166" t="s">
        <v>48</v>
      </c>
      <c r="W537" s="165" t="s">
        <v>467</v>
      </c>
      <c r="X537" s="109" t="s">
        <v>467</v>
      </c>
      <c r="Y537" s="109" t="s">
        <v>48</v>
      </c>
      <c r="Z537" s="109" t="s">
        <v>48</v>
      </c>
      <c r="AA537" s="109" t="s">
        <v>48</v>
      </c>
      <c r="AB537" s="109" t="s">
        <v>48</v>
      </c>
      <c r="AC537" s="109" t="s">
        <v>48</v>
      </c>
      <c r="AD537" s="166" t="s">
        <v>48</v>
      </c>
      <c r="AE537" s="174" t="s">
        <v>789</v>
      </c>
      <c r="AF537" s="115" t="s">
        <v>790</v>
      </c>
      <c r="AG537" s="109" t="s">
        <v>791</v>
      </c>
      <c r="AH537" s="109" t="s">
        <v>1908</v>
      </c>
      <c r="AI537" s="109" t="s">
        <v>792</v>
      </c>
      <c r="AJ537" s="109" t="s">
        <v>793</v>
      </c>
      <c r="AK537" s="166" t="s">
        <v>794</v>
      </c>
      <c r="AL537" s="165" t="s">
        <v>467</v>
      </c>
      <c r="AM537" s="109" t="s">
        <v>467</v>
      </c>
      <c r="AN537" s="166" t="s">
        <v>48</v>
      </c>
      <c r="AO537" s="166" t="s">
        <v>48</v>
      </c>
      <c r="AP537" s="166" t="s">
        <v>48</v>
      </c>
      <c r="AQ537" s="166" t="s">
        <v>48</v>
      </c>
      <c r="AR537" s="166" t="s">
        <v>48</v>
      </c>
      <c r="AS537" s="166" t="s">
        <v>48</v>
      </c>
      <c r="AT537" s="165" t="s">
        <v>48</v>
      </c>
      <c r="AU537" s="109" t="s">
        <v>48</v>
      </c>
      <c r="AV537" s="109" t="s">
        <v>48</v>
      </c>
      <c r="AW537" s="109" t="s">
        <v>48</v>
      </c>
      <c r="AX537" s="109" t="s">
        <v>48</v>
      </c>
      <c r="AY537" s="109" t="s">
        <v>48</v>
      </c>
      <c r="AZ537" s="166" t="s">
        <v>48</v>
      </c>
      <c r="BA537" s="166" t="s">
        <v>1709</v>
      </c>
      <c r="BB537" s="166" t="s">
        <v>49</v>
      </c>
      <c r="BC537" s="197" t="s">
        <v>1744</v>
      </c>
    </row>
    <row r="538" spans="1:55" ht="56.5" hidden="1" customHeight="1">
      <c r="A538" s="109" t="s">
        <v>38</v>
      </c>
      <c r="B538" s="109" t="s">
        <v>2024</v>
      </c>
      <c r="C538" s="117" t="s">
        <v>225</v>
      </c>
      <c r="D538" s="109" t="s">
        <v>467</v>
      </c>
      <c r="E538" s="161">
        <v>15000</v>
      </c>
      <c r="F538" s="165" t="s">
        <v>1748</v>
      </c>
      <c r="G538" s="109" t="s">
        <v>1748</v>
      </c>
      <c r="H538" s="109" t="s">
        <v>1977</v>
      </c>
      <c r="I538" s="109" t="s">
        <v>1908</v>
      </c>
      <c r="J538" s="109" t="s">
        <v>1708</v>
      </c>
      <c r="K538" s="109" t="s">
        <v>1708</v>
      </c>
      <c r="L538" s="117" t="s">
        <v>1978</v>
      </c>
      <c r="M538" s="182" t="s">
        <v>1687</v>
      </c>
      <c r="N538" s="162" t="s">
        <v>48</v>
      </c>
      <c r="O538" s="109" t="s">
        <v>48</v>
      </c>
      <c r="P538" s="162" t="s">
        <v>48</v>
      </c>
      <c r="Q538" s="109" t="s">
        <v>48</v>
      </c>
      <c r="R538" s="109" t="s">
        <v>48</v>
      </c>
      <c r="S538" s="109" t="s">
        <v>48</v>
      </c>
      <c r="T538" s="109" t="s">
        <v>48</v>
      </c>
      <c r="U538" s="109" t="s">
        <v>48</v>
      </c>
      <c r="V538" s="166" t="s">
        <v>48</v>
      </c>
      <c r="W538" s="165" t="s">
        <v>1011</v>
      </c>
      <c r="X538" s="109" t="s">
        <v>467</v>
      </c>
      <c r="Y538" s="109" t="s">
        <v>2043</v>
      </c>
      <c r="Z538" s="109" t="s">
        <v>1908</v>
      </c>
      <c r="AA538" s="109" t="s">
        <v>1034</v>
      </c>
      <c r="AB538" s="109" t="s">
        <v>48</v>
      </c>
      <c r="AC538" s="109" t="s">
        <v>2044</v>
      </c>
      <c r="AD538" s="182" t="s">
        <v>1040</v>
      </c>
      <c r="AE538" s="174" t="s">
        <v>789</v>
      </c>
      <c r="AF538" s="115" t="s">
        <v>790</v>
      </c>
      <c r="AG538" s="109" t="s">
        <v>791</v>
      </c>
      <c r="AH538" s="109" t="s">
        <v>1908</v>
      </c>
      <c r="AI538" s="109" t="s">
        <v>792</v>
      </c>
      <c r="AJ538" s="109" t="s">
        <v>793</v>
      </c>
      <c r="AK538" s="166" t="s">
        <v>794</v>
      </c>
      <c r="AL538" s="165" t="s">
        <v>467</v>
      </c>
      <c r="AM538" s="109" t="s">
        <v>467</v>
      </c>
      <c r="AN538" s="109" t="s">
        <v>48</v>
      </c>
      <c r="AO538" s="109" t="s">
        <v>48</v>
      </c>
      <c r="AP538" s="109" t="s">
        <v>48</v>
      </c>
      <c r="AQ538" s="109" t="s">
        <v>48</v>
      </c>
      <c r="AR538" s="109" t="s">
        <v>48</v>
      </c>
      <c r="AS538" s="166" t="s">
        <v>48</v>
      </c>
      <c r="AT538" s="165" t="s">
        <v>48</v>
      </c>
      <c r="AU538" s="109" t="s">
        <v>48</v>
      </c>
      <c r="AV538" s="109" t="s">
        <v>48</v>
      </c>
      <c r="AW538" s="109" t="s">
        <v>48</v>
      </c>
      <c r="AX538" s="109" t="s">
        <v>48</v>
      </c>
      <c r="AY538" s="109" t="s">
        <v>48</v>
      </c>
      <c r="AZ538" s="166" t="s">
        <v>48</v>
      </c>
      <c r="BA538" s="162" t="s">
        <v>1033</v>
      </c>
      <c r="BB538" s="109" t="s">
        <v>49</v>
      </c>
      <c r="BC538" s="79" t="s">
        <v>226</v>
      </c>
    </row>
    <row r="539" spans="1:55" ht="75" hidden="1" customHeight="1">
      <c r="A539" s="109" t="s">
        <v>2341</v>
      </c>
      <c r="B539" s="109" t="s">
        <v>2474</v>
      </c>
      <c r="C539" s="117" t="s">
        <v>225</v>
      </c>
      <c r="D539" s="109" t="s">
        <v>467</v>
      </c>
      <c r="E539" s="161">
        <v>30000</v>
      </c>
      <c r="F539" s="165" t="s">
        <v>1748</v>
      </c>
      <c r="G539" s="109" t="s">
        <v>1748</v>
      </c>
      <c r="H539" s="109" t="s">
        <v>1977</v>
      </c>
      <c r="I539" s="109" t="s">
        <v>1908</v>
      </c>
      <c r="J539" s="109" t="s">
        <v>1708</v>
      </c>
      <c r="K539" s="109" t="s">
        <v>1708</v>
      </c>
      <c r="L539" s="117" t="s">
        <v>1978</v>
      </c>
      <c r="M539" s="182" t="s">
        <v>1687</v>
      </c>
      <c r="N539" s="162" t="s">
        <v>48</v>
      </c>
      <c r="O539" s="109" t="s">
        <v>48</v>
      </c>
      <c r="P539" s="162" t="s">
        <v>48</v>
      </c>
      <c r="Q539" s="109" t="s">
        <v>48</v>
      </c>
      <c r="R539" s="109" t="s">
        <v>48</v>
      </c>
      <c r="S539" s="109" t="s">
        <v>48</v>
      </c>
      <c r="T539" s="109" t="s">
        <v>48</v>
      </c>
      <c r="U539" s="109" t="s">
        <v>48</v>
      </c>
      <c r="V539" s="166" t="s">
        <v>48</v>
      </c>
      <c r="W539" s="165" t="s">
        <v>467</v>
      </c>
      <c r="X539" s="109" t="s">
        <v>467</v>
      </c>
      <c r="Y539" s="109" t="s">
        <v>48</v>
      </c>
      <c r="Z539" s="109" t="s">
        <v>48</v>
      </c>
      <c r="AA539" s="109" t="s">
        <v>48</v>
      </c>
      <c r="AB539" s="109" t="s">
        <v>48</v>
      </c>
      <c r="AC539" s="109" t="s">
        <v>48</v>
      </c>
      <c r="AD539" s="166" t="s">
        <v>48</v>
      </c>
      <c r="AE539" s="174" t="s">
        <v>789</v>
      </c>
      <c r="AF539" s="115" t="s">
        <v>790</v>
      </c>
      <c r="AG539" s="109" t="s">
        <v>791</v>
      </c>
      <c r="AH539" s="109" t="s">
        <v>1908</v>
      </c>
      <c r="AI539" s="109" t="s">
        <v>792</v>
      </c>
      <c r="AJ539" s="109" t="s">
        <v>793</v>
      </c>
      <c r="AK539" s="166" t="s">
        <v>794</v>
      </c>
      <c r="AL539" s="109" t="s">
        <v>467</v>
      </c>
      <c r="AM539" s="109" t="s">
        <v>467</v>
      </c>
      <c r="AN539" s="109" t="s">
        <v>48</v>
      </c>
      <c r="AO539" s="109" t="s">
        <v>48</v>
      </c>
      <c r="AP539" s="109" t="s">
        <v>48</v>
      </c>
      <c r="AQ539" s="109" t="s">
        <v>48</v>
      </c>
      <c r="AR539" s="109" t="s">
        <v>48</v>
      </c>
      <c r="AS539" s="166" t="s">
        <v>48</v>
      </c>
      <c r="AT539" s="165" t="s">
        <v>48</v>
      </c>
      <c r="AU539" s="109" t="s">
        <v>48</v>
      </c>
      <c r="AV539" s="109" t="s">
        <v>48</v>
      </c>
      <c r="AW539" s="109" t="s">
        <v>48</v>
      </c>
      <c r="AX539" s="109" t="s">
        <v>48</v>
      </c>
      <c r="AY539" s="109" t="s">
        <v>48</v>
      </c>
      <c r="AZ539" s="166" t="s">
        <v>48</v>
      </c>
      <c r="BA539" s="162" t="s">
        <v>1709</v>
      </c>
      <c r="BB539" s="109" t="s">
        <v>49</v>
      </c>
      <c r="BC539" s="120" t="s">
        <v>1744</v>
      </c>
    </row>
    <row r="540" spans="1:55" ht="75" hidden="1" customHeight="1">
      <c r="A540" s="109" t="s">
        <v>2340</v>
      </c>
      <c r="B540" s="109" t="s">
        <v>2471</v>
      </c>
      <c r="C540" s="117" t="s">
        <v>225</v>
      </c>
      <c r="D540" s="109" t="s">
        <v>467</v>
      </c>
      <c r="E540" s="161">
        <v>30000</v>
      </c>
      <c r="F540" s="165" t="s">
        <v>1748</v>
      </c>
      <c r="G540" s="109" t="s">
        <v>1748</v>
      </c>
      <c r="H540" s="109" t="s">
        <v>1977</v>
      </c>
      <c r="I540" s="109" t="s">
        <v>1908</v>
      </c>
      <c r="J540" s="109" t="s">
        <v>1708</v>
      </c>
      <c r="K540" s="109" t="s">
        <v>1708</v>
      </c>
      <c r="L540" s="117" t="s">
        <v>1978</v>
      </c>
      <c r="M540" s="182" t="s">
        <v>1687</v>
      </c>
      <c r="N540" s="162" t="s">
        <v>48</v>
      </c>
      <c r="O540" s="109" t="s">
        <v>48</v>
      </c>
      <c r="P540" s="162" t="s">
        <v>48</v>
      </c>
      <c r="Q540" s="109" t="s">
        <v>48</v>
      </c>
      <c r="R540" s="109" t="s">
        <v>48</v>
      </c>
      <c r="S540" s="109" t="s">
        <v>48</v>
      </c>
      <c r="T540" s="109" t="s">
        <v>48</v>
      </c>
      <c r="U540" s="109" t="s">
        <v>48</v>
      </c>
      <c r="V540" s="166" t="s">
        <v>48</v>
      </c>
      <c r="W540" s="165" t="s">
        <v>467</v>
      </c>
      <c r="X540" s="109" t="s">
        <v>467</v>
      </c>
      <c r="Y540" s="109" t="s">
        <v>48</v>
      </c>
      <c r="Z540" s="109" t="s">
        <v>48</v>
      </c>
      <c r="AA540" s="109" t="s">
        <v>48</v>
      </c>
      <c r="AB540" s="109" t="s">
        <v>48</v>
      </c>
      <c r="AC540" s="109" t="s">
        <v>48</v>
      </c>
      <c r="AD540" s="166" t="s">
        <v>48</v>
      </c>
      <c r="AE540" s="174" t="s">
        <v>789</v>
      </c>
      <c r="AF540" s="115" t="s">
        <v>790</v>
      </c>
      <c r="AG540" s="109" t="s">
        <v>791</v>
      </c>
      <c r="AH540" s="109" t="s">
        <v>1908</v>
      </c>
      <c r="AI540" s="109" t="s">
        <v>792</v>
      </c>
      <c r="AJ540" s="109" t="s">
        <v>793</v>
      </c>
      <c r="AK540" s="166" t="s">
        <v>794</v>
      </c>
      <c r="AL540" s="109" t="s">
        <v>467</v>
      </c>
      <c r="AM540" s="109" t="s">
        <v>467</v>
      </c>
      <c r="AN540" s="109" t="s">
        <v>48</v>
      </c>
      <c r="AO540" s="109" t="s">
        <v>48</v>
      </c>
      <c r="AP540" s="109" t="s">
        <v>48</v>
      </c>
      <c r="AQ540" s="109" t="s">
        <v>48</v>
      </c>
      <c r="AR540" s="109" t="s">
        <v>48</v>
      </c>
      <c r="AS540" s="166" t="s">
        <v>48</v>
      </c>
      <c r="AT540" s="165" t="s">
        <v>48</v>
      </c>
      <c r="AU540" s="109" t="s">
        <v>48</v>
      </c>
      <c r="AV540" s="109" t="s">
        <v>48</v>
      </c>
      <c r="AW540" s="109" t="s">
        <v>48</v>
      </c>
      <c r="AX540" s="109" t="s">
        <v>48</v>
      </c>
      <c r="AY540" s="109" t="s">
        <v>48</v>
      </c>
      <c r="AZ540" s="166" t="s">
        <v>48</v>
      </c>
      <c r="BA540" s="162" t="s">
        <v>1709</v>
      </c>
      <c r="BB540" s="109" t="s">
        <v>49</v>
      </c>
      <c r="BC540" s="120" t="s">
        <v>1744</v>
      </c>
    </row>
    <row r="541" spans="1:55" ht="75" hidden="1" customHeight="1">
      <c r="A541" s="109" t="s">
        <v>2339</v>
      </c>
      <c r="B541" s="109" t="s">
        <v>2468</v>
      </c>
      <c r="C541" s="117" t="s">
        <v>225</v>
      </c>
      <c r="D541" s="109" t="s">
        <v>467</v>
      </c>
      <c r="E541" s="161">
        <v>15000</v>
      </c>
      <c r="F541" s="165" t="s">
        <v>1748</v>
      </c>
      <c r="G541" s="109" t="s">
        <v>1748</v>
      </c>
      <c r="H541" s="109" t="s">
        <v>1977</v>
      </c>
      <c r="I541" s="109" t="s">
        <v>1908</v>
      </c>
      <c r="J541" s="109" t="s">
        <v>1708</v>
      </c>
      <c r="K541" s="109" t="s">
        <v>1708</v>
      </c>
      <c r="L541" s="117" t="s">
        <v>1978</v>
      </c>
      <c r="M541" s="182" t="s">
        <v>1746</v>
      </c>
      <c r="N541" s="162" t="s">
        <v>48</v>
      </c>
      <c r="O541" s="109" t="s">
        <v>48</v>
      </c>
      <c r="P541" s="162" t="s">
        <v>48</v>
      </c>
      <c r="Q541" s="109" t="s">
        <v>48</v>
      </c>
      <c r="R541" s="109" t="s">
        <v>48</v>
      </c>
      <c r="S541" s="109" t="s">
        <v>48</v>
      </c>
      <c r="T541" s="109" t="s">
        <v>48</v>
      </c>
      <c r="U541" s="109" t="s">
        <v>48</v>
      </c>
      <c r="V541" s="166" t="s">
        <v>48</v>
      </c>
      <c r="W541" s="165" t="s">
        <v>467</v>
      </c>
      <c r="X541" s="109" t="s">
        <v>467</v>
      </c>
      <c r="Y541" s="109" t="s">
        <v>48</v>
      </c>
      <c r="Z541" s="109" t="s">
        <v>48</v>
      </c>
      <c r="AA541" s="109" t="s">
        <v>48</v>
      </c>
      <c r="AB541" s="109" t="s">
        <v>48</v>
      </c>
      <c r="AC541" s="109" t="s">
        <v>48</v>
      </c>
      <c r="AD541" s="166" t="s">
        <v>48</v>
      </c>
      <c r="AE541" s="174" t="s">
        <v>789</v>
      </c>
      <c r="AF541" s="115" t="s">
        <v>790</v>
      </c>
      <c r="AG541" s="109" t="s">
        <v>791</v>
      </c>
      <c r="AH541" s="109" t="s">
        <v>1908</v>
      </c>
      <c r="AI541" s="109" t="s">
        <v>792</v>
      </c>
      <c r="AJ541" s="109" t="s">
        <v>793</v>
      </c>
      <c r="AK541" s="166" t="s">
        <v>794</v>
      </c>
      <c r="AL541" s="109" t="s">
        <v>467</v>
      </c>
      <c r="AM541" s="109" t="s">
        <v>467</v>
      </c>
      <c r="AN541" s="109" t="s">
        <v>48</v>
      </c>
      <c r="AO541" s="109" t="s">
        <v>48</v>
      </c>
      <c r="AP541" s="109" t="s">
        <v>48</v>
      </c>
      <c r="AQ541" s="109" t="s">
        <v>48</v>
      </c>
      <c r="AR541" s="109" t="s">
        <v>48</v>
      </c>
      <c r="AS541" s="166" t="s">
        <v>48</v>
      </c>
      <c r="AT541" s="165" t="s">
        <v>48</v>
      </c>
      <c r="AU541" s="109" t="s">
        <v>48</v>
      </c>
      <c r="AV541" s="109" t="s">
        <v>48</v>
      </c>
      <c r="AW541" s="109" t="s">
        <v>48</v>
      </c>
      <c r="AX541" s="109" t="s">
        <v>48</v>
      </c>
      <c r="AY541" s="109" t="s">
        <v>48</v>
      </c>
      <c r="AZ541" s="166" t="s">
        <v>48</v>
      </c>
      <c r="BA541" s="162" t="s">
        <v>1709</v>
      </c>
      <c r="BB541" s="109" t="s">
        <v>49</v>
      </c>
      <c r="BC541" s="120" t="s">
        <v>1744</v>
      </c>
    </row>
    <row r="542" spans="1:55" ht="75" hidden="1" customHeight="1">
      <c r="A542" s="109" t="s">
        <v>38</v>
      </c>
      <c r="B542" s="109" t="s">
        <v>2470</v>
      </c>
      <c r="C542" s="109" t="s">
        <v>179</v>
      </c>
      <c r="D542" s="109" t="s">
        <v>180</v>
      </c>
      <c r="E542" s="161">
        <v>15000</v>
      </c>
      <c r="F542" s="165" t="s">
        <v>180</v>
      </c>
      <c r="G542" s="109" t="s">
        <v>180</v>
      </c>
      <c r="H542" s="109" t="s">
        <v>48</v>
      </c>
      <c r="I542" s="109" t="s">
        <v>48</v>
      </c>
      <c r="J542" s="109" t="s">
        <v>48</v>
      </c>
      <c r="K542" s="109" t="s">
        <v>48</v>
      </c>
      <c r="L542" s="109" t="s">
        <v>48</v>
      </c>
      <c r="M542" s="166" t="s">
        <v>48</v>
      </c>
      <c r="N542" s="162" t="s">
        <v>48</v>
      </c>
      <c r="O542" s="109" t="s">
        <v>48</v>
      </c>
      <c r="P542" s="162" t="s">
        <v>48</v>
      </c>
      <c r="Q542" s="109" t="s">
        <v>48</v>
      </c>
      <c r="R542" s="109" t="s">
        <v>48</v>
      </c>
      <c r="S542" s="109" t="s">
        <v>48</v>
      </c>
      <c r="T542" s="109" t="s">
        <v>48</v>
      </c>
      <c r="U542" s="109" t="s">
        <v>48</v>
      </c>
      <c r="V542" s="166" t="s">
        <v>48</v>
      </c>
      <c r="W542" s="165" t="s">
        <v>1011</v>
      </c>
      <c r="X542" s="109" t="s">
        <v>180</v>
      </c>
      <c r="Y542" s="109" t="s">
        <v>2043</v>
      </c>
      <c r="Z542" s="109" t="s">
        <v>1908</v>
      </c>
      <c r="AA542" s="109" t="s">
        <v>1034</v>
      </c>
      <c r="AB542" s="109" t="s">
        <v>616</v>
      </c>
      <c r="AC542" s="109" t="s">
        <v>2044</v>
      </c>
      <c r="AD542" s="166" t="s">
        <v>1068</v>
      </c>
      <c r="AE542" s="165" t="s">
        <v>80</v>
      </c>
      <c r="AF542" s="109" t="s">
        <v>181</v>
      </c>
      <c r="AG542" s="109">
        <v>60905</v>
      </c>
      <c r="AH542" s="109" t="s">
        <v>1908</v>
      </c>
      <c r="AI542" s="109" t="s">
        <v>613</v>
      </c>
      <c r="AJ542" s="109">
        <v>5765452</v>
      </c>
      <c r="AK542" s="166" t="s">
        <v>182</v>
      </c>
      <c r="AL542" s="109" t="s">
        <v>180</v>
      </c>
      <c r="AM542" s="109" t="s">
        <v>180</v>
      </c>
      <c r="AN542" s="109" t="s">
        <v>48</v>
      </c>
      <c r="AO542" s="109" t="s">
        <v>48</v>
      </c>
      <c r="AP542" s="109" t="s">
        <v>48</v>
      </c>
      <c r="AQ542" s="109" t="s">
        <v>48</v>
      </c>
      <c r="AR542" s="109" t="s">
        <v>48</v>
      </c>
      <c r="AS542" s="166" t="s">
        <v>1040</v>
      </c>
      <c r="AT542" s="166" t="s">
        <v>48</v>
      </c>
      <c r="AU542" s="109" t="s">
        <v>48</v>
      </c>
      <c r="AV542" s="109" t="s">
        <v>48</v>
      </c>
      <c r="AW542" s="109" t="s">
        <v>48</v>
      </c>
      <c r="AX542" s="109" t="s">
        <v>48</v>
      </c>
      <c r="AY542" s="109" t="s">
        <v>48</v>
      </c>
      <c r="AZ542" s="166" t="s">
        <v>48</v>
      </c>
      <c r="BA542" s="162" t="s">
        <v>1033</v>
      </c>
      <c r="BB542" s="109" t="s">
        <v>49</v>
      </c>
      <c r="BC542" s="79"/>
    </row>
    <row r="543" spans="1:55" ht="75" hidden="1" customHeight="1">
      <c r="A543" s="109" t="s">
        <v>38</v>
      </c>
      <c r="B543" s="109" t="s">
        <v>2024</v>
      </c>
      <c r="C543" s="109" t="s">
        <v>179</v>
      </c>
      <c r="D543" s="109" t="s">
        <v>180</v>
      </c>
      <c r="E543" s="161">
        <v>15000</v>
      </c>
      <c r="F543" s="165" t="s">
        <v>180</v>
      </c>
      <c r="G543" s="109" t="s">
        <v>180</v>
      </c>
      <c r="H543" s="109" t="s">
        <v>48</v>
      </c>
      <c r="I543" s="109" t="s">
        <v>48</v>
      </c>
      <c r="J543" s="109" t="s">
        <v>48</v>
      </c>
      <c r="K543" s="109" t="s">
        <v>48</v>
      </c>
      <c r="L543" s="109" t="s">
        <v>48</v>
      </c>
      <c r="M543" s="166" t="s">
        <v>48</v>
      </c>
      <c r="N543" s="162" t="s">
        <v>48</v>
      </c>
      <c r="O543" s="109" t="s">
        <v>48</v>
      </c>
      <c r="P543" s="162" t="s">
        <v>48</v>
      </c>
      <c r="Q543" s="109" t="s">
        <v>48</v>
      </c>
      <c r="R543" s="109" t="s">
        <v>48</v>
      </c>
      <c r="S543" s="109" t="s">
        <v>48</v>
      </c>
      <c r="T543" s="109" t="s">
        <v>48</v>
      </c>
      <c r="U543" s="109" t="s">
        <v>48</v>
      </c>
      <c r="V543" s="166" t="s">
        <v>48</v>
      </c>
      <c r="W543" s="165" t="s">
        <v>1011</v>
      </c>
      <c r="X543" s="109" t="s">
        <v>180</v>
      </c>
      <c r="Y543" s="109" t="s">
        <v>2043</v>
      </c>
      <c r="Z543" s="109" t="s">
        <v>1908</v>
      </c>
      <c r="AA543" s="109" t="s">
        <v>1034</v>
      </c>
      <c r="AB543" s="109" t="s">
        <v>616</v>
      </c>
      <c r="AC543" s="109" t="s">
        <v>2044</v>
      </c>
      <c r="AD543" s="166" t="s">
        <v>1039</v>
      </c>
      <c r="AE543" s="165" t="s">
        <v>80</v>
      </c>
      <c r="AF543" s="109" t="s">
        <v>181</v>
      </c>
      <c r="AG543" s="109">
        <v>60905</v>
      </c>
      <c r="AH543" s="109" t="s">
        <v>1908</v>
      </c>
      <c r="AI543" s="109" t="s">
        <v>613</v>
      </c>
      <c r="AJ543" s="109">
        <v>5765452</v>
      </c>
      <c r="AK543" s="166" t="s">
        <v>182</v>
      </c>
      <c r="AL543" s="109" t="s">
        <v>180</v>
      </c>
      <c r="AM543" s="109" t="s">
        <v>180</v>
      </c>
      <c r="AN543" s="109" t="s">
        <v>48</v>
      </c>
      <c r="AO543" s="109" t="s">
        <v>48</v>
      </c>
      <c r="AP543" s="109" t="s">
        <v>48</v>
      </c>
      <c r="AQ543" s="109" t="s">
        <v>48</v>
      </c>
      <c r="AR543" s="109" t="s">
        <v>48</v>
      </c>
      <c r="AS543" s="166" t="s">
        <v>1039</v>
      </c>
      <c r="AT543" s="166" t="s">
        <v>48</v>
      </c>
      <c r="AU543" s="109" t="s">
        <v>48</v>
      </c>
      <c r="AV543" s="109" t="s">
        <v>48</v>
      </c>
      <c r="AW543" s="109" t="s">
        <v>48</v>
      </c>
      <c r="AX543" s="109" t="s">
        <v>48</v>
      </c>
      <c r="AY543" s="109" t="s">
        <v>48</v>
      </c>
      <c r="AZ543" s="166" t="s">
        <v>48</v>
      </c>
      <c r="BA543" s="162" t="s">
        <v>1033</v>
      </c>
      <c r="BB543" s="109" t="s">
        <v>49</v>
      </c>
      <c r="BC543" s="79"/>
    </row>
    <row r="544" spans="1:55" ht="75" hidden="1" customHeight="1">
      <c r="A544" s="109" t="s">
        <v>2341</v>
      </c>
      <c r="B544" s="109" t="s">
        <v>2474</v>
      </c>
      <c r="C544" s="109" t="s">
        <v>179</v>
      </c>
      <c r="D544" s="109" t="s">
        <v>180</v>
      </c>
      <c r="E544" s="161">
        <v>30000</v>
      </c>
      <c r="F544" s="165" t="s">
        <v>183</v>
      </c>
      <c r="G544" s="109" t="s">
        <v>183</v>
      </c>
      <c r="H544" s="109" t="s">
        <v>497</v>
      </c>
      <c r="I544" s="109" t="s">
        <v>1908</v>
      </c>
      <c r="J544" s="109" t="s">
        <v>614</v>
      </c>
      <c r="K544" s="109" t="s">
        <v>614</v>
      </c>
      <c r="L544" s="109" t="s">
        <v>496</v>
      </c>
      <c r="M544" s="166" t="s">
        <v>1048</v>
      </c>
      <c r="N544" s="162" t="s">
        <v>48</v>
      </c>
      <c r="O544" s="109" t="s">
        <v>48</v>
      </c>
      <c r="P544" s="162" t="s">
        <v>48</v>
      </c>
      <c r="Q544" s="109" t="s">
        <v>48</v>
      </c>
      <c r="R544" s="109" t="s">
        <v>48</v>
      </c>
      <c r="S544" s="109" t="s">
        <v>48</v>
      </c>
      <c r="T544" s="109" t="s">
        <v>48</v>
      </c>
      <c r="U544" s="109" t="s">
        <v>48</v>
      </c>
      <c r="V544" s="166" t="s">
        <v>48</v>
      </c>
      <c r="W544" s="165" t="s">
        <v>1011</v>
      </c>
      <c r="X544" s="109" t="s">
        <v>180</v>
      </c>
      <c r="Y544" s="109" t="s">
        <v>2033</v>
      </c>
      <c r="Z544" s="109" t="s">
        <v>1908</v>
      </c>
      <c r="AA544" s="109" t="s">
        <v>1921</v>
      </c>
      <c r="AB544" s="109" t="s">
        <v>48</v>
      </c>
      <c r="AC544" s="109" t="s">
        <v>2038</v>
      </c>
      <c r="AD544" s="166" t="s">
        <v>1040</v>
      </c>
      <c r="AE544" s="165" t="s">
        <v>80</v>
      </c>
      <c r="AF544" s="109" t="s">
        <v>181</v>
      </c>
      <c r="AG544" s="109" t="s">
        <v>483</v>
      </c>
      <c r="AH544" s="109" t="s">
        <v>1908</v>
      </c>
      <c r="AI544" s="109" t="s">
        <v>581</v>
      </c>
      <c r="AJ544" s="109">
        <v>5765452</v>
      </c>
      <c r="AK544" s="166" t="s">
        <v>182</v>
      </c>
      <c r="AL544" s="165" t="s">
        <v>180</v>
      </c>
      <c r="AM544" s="109" t="s">
        <v>180</v>
      </c>
      <c r="AN544" s="109" t="s">
        <v>48</v>
      </c>
      <c r="AO544" s="109" t="s">
        <v>48</v>
      </c>
      <c r="AP544" s="109" t="s">
        <v>48</v>
      </c>
      <c r="AQ544" s="109" t="s">
        <v>48</v>
      </c>
      <c r="AR544" s="109" t="s">
        <v>48</v>
      </c>
      <c r="AS544" s="166" t="s">
        <v>48</v>
      </c>
      <c r="AT544" s="165" t="s">
        <v>48</v>
      </c>
      <c r="AU544" s="109" t="s">
        <v>48</v>
      </c>
      <c r="AV544" s="109" t="s">
        <v>48</v>
      </c>
      <c r="AW544" s="109" t="s">
        <v>48</v>
      </c>
      <c r="AX544" s="109" t="s">
        <v>48</v>
      </c>
      <c r="AY544" s="109" t="s">
        <v>48</v>
      </c>
      <c r="AZ544" s="166" t="s">
        <v>48</v>
      </c>
      <c r="BA544" s="162" t="s">
        <v>1049</v>
      </c>
      <c r="BB544" s="109" t="s">
        <v>49</v>
      </c>
      <c r="BC544" s="79"/>
    </row>
    <row r="545" spans="1:55" ht="75" hidden="1" customHeight="1">
      <c r="A545" s="109" t="s">
        <v>2340</v>
      </c>
      <c r="B545" s="109" t="s">
        <v>2471</v>
      </c>
      <c r="C545" s="109" t="s">
        <v>179</v>
      </c>
      <c r="D545" s="109" t="s">
        <v>180</v>
      </c>
      <c r="E545" s="161">
        <v>30000</v>
      </c>
      <c r="F545" s="165" t="s">
        <v>180</v>
      </c>
      <c r="G545" s="109" t="s">
        <v>180</v>
      </c>
      <c r="H545" s="109" t="s">
        <v>48</v>
      </c>
      <c r="I545" s="109" t="s">
        <v>48</v>
      </c>
      <c r="J545" s="109" t="s">
        <v>48</v>
      </c>
      <c r="K545" s="109" t="s">
        <v>48</v>
      </c>
      <c r="L545" s="109" t="s">
        <v>48</v>
      </c>
      <c r="M545" s="166" t="s">
        <v>48</v>
      </c>
      <c r="N545" s="162" t="s">
        <v>48</v>
      </c>
      <c r="O545" s="109" t="s">
        <v>48</v>
      </c>
      <c r="P545" s="162" t="s">
        <v>48</v>
      </c>
      <c r="Q545" s="109" t="s">
        <v>48</v>
      </c>
      <c r="R545" s="109" t="s">
        <v>48</v>
      </c>
      <c r="S545" s="109" t="s">
        <v>48</v>
      </c>
      <c r="T545" s="109" t="s">
        <v>48</v>
      </c>
      <c r="U545" s="109" t="s">
        <v>48</v>
      </c>
      <c r="V545" s="166" t="s">
        <v>48</v>
      </c>
      <c r="W545" s="165" t="s">
        <v>1011</v>
      </c>
      <c r="X545" s="109" t="s">
        <v>180</v>
      </c>
      <c r="Y545" s="109" t="s">
        <v>2033</v>
      </c>
      <c r="Z545" s="109" t="s">
        <v>1908</v>
      </c>
      <c r="AA545" s="109" t="s">
        <v>1034</v>
      </c>
      <c r="AB545" s="109" t="s">
        <v>48</v>
      </c>
      <c r="AC545" s="109" t="s">
        <v>2038</v>
      </c>
      <c r="AD545" s="166" t="s">
        <v>1068</v>
      </c>
      <c r="AE545" s="165" t="s">
        <v>80</v>
      </c>
      <c r="AF545" s="109" t="s">
        <v>181</v>
      </c>
      <c r="AG545" s="109">
        <v>60905</v>
      </c>
      <c r="AH545" s="109" t="s">
        <v>1908</v>
      </c>
      <c r="AI545" s="109" t="s">
        <v>613</v>
      </c>
      <c r="AJ545" s="109">
        <v>5765452</v>
      </c>
      <c r="AK545" s="166" t="s">
        <v>182</v>
      </c>
      <c r="AL545" s="165" t="s">
        <v>180</v>
      </c>
      <c r="AM545" s="109" t="s">
        <v>180</v>
      </c>
      <c r="AN545" s="109" t="s">
        <v>48</v>
      </c>
      <c r="AO545" s="109" t="s">
        <v>48</v>
      </c>
      <c r="AP545" s="109" t="s">
        <v>48</v>
      </c>
      <c r="AQ545" s="109" t="s">
        <v>48</v>
      </c>
      <c r="AR545" s="109" t="s">
        <v>48</v>
      </c>
      <c r="AS545" s="166" t="s">
        <v>1068</v>
      </c>
      <c r="AT545" s="165" t="s">
        <v>48</v>
      </c>
      <c r="AU545" s="109" t="s">
        <v>48</v>
      </c>
      <c r="AV545" s="109" t="s">
        <v>48</v>
      </c>
      <c r="AW545" s="109" t="s">
        <v>48</v>
      </c>
      <c r="AX545" s="109" t="s">
        <v>48</v>
      </c>
      <c r="AY545" s="109" t="s">
        <v>48</v>
      </c>
      <c r="AZ545" s="166" t="s">
        <v>48</v>
      </c>
      <c r="BA545" s="162" t="s">
        <v>1033</v>
      </c>
      <c r="BB545" s="109" t="s">
        <v>49</v>
      </c>
      <c r="BC545" s="79"/>
    </row>
    <row r="546" spans="1:55" ht="75" hidden="1" customHeight="1">
      <c r="A546" s="109" t="s">
        <v>2339</v>
      </c>
      <c r="B546" s="109" t="s">
        <v>2468</v>
      </c>
      <c r="C546" s="109" t="s">
        <v>179</v>
      </c>
      <c r="D546" s="109" t="s">
        <v>180</v>
      </c>
      <c r="E546" s="161">
        <v>15000</v>
      </c>
      <c r="F546" s="165" t="s">
        <v>180</v>
      </c>
      <c r="G546" s="109" t="s">
        <v>180</v>
      </c>
      <c r="H546" s="109" t="s">
        <v>48</v>
      </c>
      <c r="I546" s="109" t="s">
        <v>48</v>
      </c>
      <c r="J546" s="109" t="s">
        <v>48</v>
      </c>
      <c r="K546" s="109" t="s">
        <v>48</v>
      </c>
      <c r="L546" s="109" t="s">
        <v>48</v>
      </c>
      <c r="M546" s="166" t="s">
        <v>48</v>
      </c>
      <c r="N546" s="162" t="s">
        <v>48</v>
      </c>
      <c r="O546" s="109" t="s">
        <v>48</v>
      </c>
      <c r="P546" s="162" t="s">
        <v>48</v>
      </c>
      <c r="Q546" s="109" t="s">
        <v>48</v>
      </c>
      <c r="R546" s="109" t="s">
        <v>48</v>
      </c>
      <c r="S546" s="109" t="s">
        <v>48</v>
      </c>
      <c r="T546" s="109" t="s">
        <v>48</v>
      </c>
      <c r="U546" s="109" t="s">
        <v>48</v>
      </c>
      <c r="V546" s="166" t="s">
        <v>48</v>
      </c>
      <c r="W546" s="165" t="s">
        <v>1011</v>
      </c>
      <c r="X546" s="109" t="s">
        <v>180</v>
      </c>
      <c r="Y546" s="109" t="s">
        <v>2043</v>
      </c>
      <c r="Z546" s="109" t="s">
        <v>1908</v>
      </c>
      <c r="AA546" s="109" t="s">
        <v>1034</v>
      </c>
      <c r="AB546" s="109" t="s">
        <v>616</v>
      </c>
      <c r="AC546" s="109" t="s">
        <v>2044</v>
      </c>
      <c r="AD546" s="166" t="s">
        <v>1040</v>
      </c>
      <c r="AE546" s="165" t="s">
        <v>80</v>
      </c>
      <c r="AF546" s="109" t="s">
        <v>181</v>
      </c>
      <c r="AG546" s="109">
        <v>60905</v>
      </c>
      <c r="AH546" s="109" t="s">
        <v>1908</v>
      </c>
      <c r="AI546" s="109" t="s">
        <v>613</v>
      </c>
      <c r="AJ546" s="109">
        <v>5765452</v>
      </c>
      <c r="AK546" s="166" t="s">
        <v>182</v>
      </c>
      <c r="AL546" s="165" t="s">
        <v>180</v>
      </c>
      <c r="AM546" s="109" t="s">
        <v>180</v>
      </c>
      <c r="AN546" s="109" t="s">
        <v>48</v>
      </c>
      <c r="AO546" s="109" t="s">
        <v>48</v>
      </c>
      <c r="AP546" s="109" t="s">
        <v>48</v>
      </c>
      <c r="AQ546" s="109" t="s">
        <v>48</v>
      </c>
      <c r="AR546" s="109" t="s">
        <v>48</v>
      </c>
      <c r="AS546" s="166" t="s">
        <v>1040</v>
      </c>
      <c r="AT546" s="165" t="s">
        <v>48</v>
      </c>
      <c r="AU546" s="109" t="s">
        <v>48</v>
      </c>
      <c r="AV546" s="109" t="s">
        <v>48</v>
      </c>
      <c r="AW546" s="109" t="s">
        <v>48</v>
      </c>
      <c r="AX546" s="109" t="s">
        <v>48</v>
      </c>
      <c r="AY546" s="109" t="s">
        <v>48</v>
      </c>
      <c r="AZ546" s="166" t="s">
        <v>48</v>
      </c>
      <c r="BA546" s="162" t="s">
        <v>1033</v>
      </c>
      <c r="BB546" s="109" t="s">
        <v>49</v>
      </c>
      <c r="BC546" s="79"/>
    </row>
    <row r="547" spans="1:55" ht="75" hidden="1" customHeight="1">
      <c r="A547" s="109" t="s">
        <v>38</v>
      </c>
      <c r="B547" s="109" t="s">
        <v>2470</v>
      </c>
      <c r="C547" s="109" t="s">
        <v>179</v>
      </c>
      <c r="D547" s="109" t="s">
        <v>183</v>
      </c>
      <c r="E547" s="161">
        <v>15000</v>
      </c>
      <c r="F547" s="165" t="s">
        <v>1706</v>
      </c>
      <c r="G547" s="109" t="s">
        <v>1706</v>
      </c>
      <c r="H547" s="109" t="s">
        <v>1976</v>
      </c>
      <c r="I547" s="109" t="s">
        <v>1908</v>
      </c>
      <c r="J547" s="109" t="s">
        <v>1708</v>
      </c>
      <c r="K547" s="109" t="s">
        <v>1708</v>
      </c>
      <c r="L547" s="109" t="s">
        <v>1974</v>
      </c>
      <c r="M547" s="166" t="s">
        <v>1687</v>
      </c>
      <c r="N547" s="162" t="s">
        <v>48</v>
      </c>
      <c r="O547" s="109" t="s">
        <v>48</v>
      </c>
      <c r="P547" s="162" t="s">
        <v>48</v>
      </c>
      <c r="Q547" s="109" t="s">
        <v>48</v>
      </c>
      <c r="R547" s="109" t="s">
        <v>48</v>
      </c>
      <c r="S547" s="109" t="s">
        <v>48</v>
      </c>
      <c r="T547" s="109" t="s">
        <v>48</v>
      </c>
      <c r="U547" s="109" t="s">
        <v>48</v>
      </c>
      <c r="V547" s="166" t="s">
        <v>48</v>
      </c>
      <c r="W547" s="165" t="s">
        <v>183</v>
      </c>
      <c r="X547" s="109" t="s">
        <v>183</v>
      </c>
      <c r="Y547" s="109" t="s">
        <v>48</v>
      </c>
      <c r="Z547" s="109" t="s">
        <v>48</v>
      </c>
      <c r="AA547" s="109" t="s">
        <v>48</v>
      </c>
      <c r="AB547" s="109" t="s">
        <v>48</v>
      </c>
      <c r="AC547" s="109" t="s">
        <v>48</v>
      </c>
      <c r="AD547" s="166" t="s">
        <v>48</v>
      </c>
      <c r="AE547" s="165" t="s">
        <v>80</v>
      </c>
      <c r="AF547" s="109" t="s">
        <v>185</v>
      </c>
      <c r="AG547" s="109">
        <v>60901</v>
      </c>
      <c r="AH547" s="109" t="s">
        <v>1908</v>
      </c>
      <c r="AI547" s="109" t="s">
        <v>614</v>
      </c>
      <c r="AJ547" s="109">
        <v>5766594</v>
      </c>
      <c r="AK547" s="166" t="s">
        <v>184</v>
      </c>
      <c r="AL547" s="165" t="s">
        <v>183</v>
      </c>
      <c r="AM547" s="109" t="s">
        <v>183</v>
      </c>
      <c r="AN547" s="109" t="s">
        <v>48</v>
      </c>
      <c r="AO547" s="109" t="s">
        <v>48</v>
      </c>
      <c r="AP547" s="109" t="s">
        <v>48</v>
      </c>
      <c r="AQ547" s="109" t="s">
        <v>48</v>
      </c>
      <c r="AR547" s="109" t="s">
        <v>48</v>
      </c>
      <c r="AS547" s="166" t="s">
        <v>48</v>
      </c>
      <c r="AT547" s="165" t="s">
        <v>48</v>
      </c>
      <c r="AU547" s="109" t="s">
        <v>48</v>
      </c>
      <c r="AV547" s="109" t="s">
        <v>48</v>
      </c>
      <c r="AW547" s="109" t="s">
        <v>48</v>
      </c>
      <c r="AX547" s="109" t="s">
        <v>48</v>
      </c>
      <c r="AY547" s="109" t="s">
        <v>48</v>
      </c>
      <c r="AZ547" s="166" t="s">
        <v>48</v>
      </c>
      <c r="BA547" s="162" t="s">
        <v>1688</v>
      </c>
      <c r="BB547" s="109" t="s">
        <v>49</v>
      </c>
      <c r="BC547" s="120" t="s">
        <v>1743</v>
      </c>
    </row>
    <row r="548" spans="1:55" ht="75" hidden="1" customHeight="1">
      <c r="A548" s="109" t="s">
        <v>38</v>
      </c>
      <c r="B548" s="109" t="s">
        <v>2024</v>
      </c>
      <c r="C548" s="109" t="s">
        <v>179</v>
      </c>
      <c r="D548" s="109" t="s">
        <v>183</v>
      </c>
      <c r="E548" s="161">
        <v>15000</v>
      </c>
      <c r="F548" s="165" t="s">
        <v>1706</v>
      </c>
      <c r="G548" s="109" t="s">
        <v>1706</v>
      </c>
      <c r="H548" s="109" t="s">
        <v>1976</v>
      </c>
      <c r="I548" s="109" t="s">
        <v>1908</v>
      </c>
      <c r="J548" s="109" t="s">
        <v>1708</v>
      </c>
      <c r="K548" s="109" t="s">
        <v>1708</v>
      </c>
      <c r="L548" s="109" t="s">
        <v>1974</v>
      </c>
      <c r="M548" s="166" t="s">
        <v>1687</v>
      </c>
      <c r="N548" s="162" t="s">
        <v>48</v>
      </c>
      <c r="O548" s="109" t="s">
        <v>48</v>
      </c>
      <c r="P548" s="162" t="s">
        <v>48</v>
      </c>
      <c r="Q548" s="109" t="s">
        <v>48</v>
      </c>
      <c r="R548" s="109" t="s">
        <v>48</v>
      </c>
      <c r="S548" s="109" t="s">
        <v>48</v>
      </c>
      <c r="T548" s="109" t="s">
        <v>48</v>
      </c>
      <c r="U548" s="109" t="s">
        <v>48</v>
      </c>
      <c r="V548" s="166" t="s">
        <v>48</v>
      </c>
      <c r="W548" s="165" t="s">
        <v>1011</v>
      </c>
      <c r="X548" s="109" t="s">
        <v>183</v>
      </c>
      <c r="Y548" s="109" t="s">
        <v>2043</v>
      </c>
      <c r="Z548" s="109" t="s">
        <v>1908</v>
      </c>
      <c r="AA548" s="109" t="s">
        <v>1034</v>
      </c>
      <c r="AB548" s="109" t="s">
        <v>616</v>
      </c>
      <c r="AC548" s="109" t="s">
        <v>2044</v>
      </c>
      <c r="AD548" s="166" t="s">
        <v>1039</v>
      </c>
      <c r="AE548" s="165" t="s">
        <v>80</v>
      </c>
      <c r="AF548" s="109" t="s">
        <v>185</v>
      </c>
      <c r="AG548" s="109">
        <v>60901</v>
      </c>
      <c r="AH548" s="109" t="s">
        <v>1908</v>
      </c>
      <c r="AI548" s="109" t="s">
        <v>614</v>
      </c>
      <c r="AJ548" s="109">
        <v>5766594</v>
      </c>
      <c r="AK548" s="166" t="s">
        <v>184</v>
      </c>
      <c r="AL548" s="165" t="s">
        <v>183</v>
      </c>
      <c r="AM548" s="109" t="s">
        <v>183</v>
      </c>
      <c r="AN548" s="109" t="s">
        <v>48</v>
      </c>
      <c r="AO548" s="109" t="s">
        <v>48</v>
      </c>
      <c r="AP548" s="109" t="s">
        <v>48</v>
      </c>
      <c r="AQ548" s="109" t="s">
        <v>48</v>
      </c>
      <c r="AR548" s="109" t="s">
        <v>48</v>
      </c>
      <c r="AS548" s="166" t="s">
        <v>1039</v>
      </c>
      <c r="AT548" s="165" t="s">
        <v>48</v>
      </c>
      <c r="AU548" s="109" t="s">
        <v>48</v>
      </c>
      <c r="AV548" s="109" t="s">
        <v>48</v>
      </c>
      <c r="AW548" s="109" t="s">
        <v>48</v>
      </c>
      <c r="AX548" s="109" t="s">
        <v>48</v>
      </c>
      <c r="AY548" s="109" t="s">
        <v>48</v>
      </c>
      <c r="AZ548" s="166" t="s">
        <v>48</v>
      </c>
      <c r="BA548" s="162" t="s">
        <v>1033</v>
      </c>
      <c r="BB548" s="109" t="s">
        <v>49</v>
      </c>
      <c r="BC548" s="79"/>
    </row>
    <row r="549" spans="1:55" ht="75" hidden="1" customHeight="1">
      <c r="A549" s="109" t="s">
        <v>2341</v>
      </c>
      <c r="B549" s="109" t="s">
        <v>2474</v>
      </c>
      <c r="C549" s="109" t="s">
        <v>179</v>
      </c>
      <c r="D549" s="109" t="s">
        <v>183</v>
      </c>
      <c r="E549" s="161">
        <v>30000</v>
      </c>
      <c r="F549" s="165" t="s">
        <v>1706</v>
      </c>
      <c r="G549" s="109" t="s">
        <v>1706</v>
      </c>
      <c r="H549" s="109" t="s">
        <v>1976</v>
      </c>
      <c r="I549" s="109" t="s">
        <v>1908</v>
      </c>
      <c r="J549" s="109" t="s">
        <v>1708</v>
      </c>
      <c r="K549" s="109" t="s">
        <v>1708</v>
      </c>
      <c r="L549" s="109" t="s">
        <v>1974</v>
      </c>
      <c r="M549" s="166" t="s">
        <v>1687</v>
      </c>
      <c r="N549" s="162" t="s">
        <v>48</v>
      </c>
      <c r="O549" s="109" t="s">
        <v>48</v>
      </c>
      <c r="P549" s="162" t="s">
        <v>48</v>
      </c>
      <c r="Q549" s="109" t="s">
        <v>48</v>
      </c>
      <c r="R549" s="109" t="s">
        <v>48</v>
      </c>
      <c r="S549" s="109" t="s">
        <v>48</v>
      </c>
      <c r="T549" s="109" t="s">
        <v>48</v>
      </c>
      <c r="U549" s="109" t="s">
        <v>48</v>
      </c>
      <c r="V549" s="166" t="s">
        <v>48</v>
      </c>
      <c r="W549" s="165" t="s">
        <v>183</v>
      </c>
      <c r="X549" s="109" t="s">
        <v>183</v>
      </c>
      <c r="Y549" s="109" t="s">
        <v>48</v>
      </c>
      <c r="Z549" s="109" t="s">
        <v>48</v>
      </c>
      <c r="AA549" s="109" t="s">
        <v>48</v>
      </c>
      <c r="AB549" s="109" t="s">
        <v>48</v>
      </c>
      <c r="AC549" s="109" t="s">
        <v>48</v>
      </c>
      <c r="AD549" s="166" t="s">
        <v>48</v>
      </c>
      <c r="AE549" s="165" t="s">
        <v>80</v>
      </c>
      <c r="AF549" s="109" t="s">
        <v>185</v>
      </c>
      <c r="AG549" s="109">
        <v>60901</v>
      </c>
      <c r="AH549" s="109" t="s">
        <v>1908</v>
      </c>
      <c r="AI549" s="109" t="s">
        <v>614</v>
      </c>
      <c r="AJ549" s="109" t="s">
        <v>496</v>
      </c>
      <c r="AK549" s="166" t="s">
        <v>184</v>
      </c>
      <c r="AL549" s="165" t="s">
        <v>183</v>
      </c>
      <c r="AM549" s="109" t="s">
        <v>183</v>
      </c>
      <c r="AN549" s="109" t="s">
        <v>48</v>
      </c>
      <c r="AO549" s="109" t="s">
        <v>48</v>
      </c>
      <c r="AP549" s="109" t="s">
        <v>48</v>
      </c>
      <c r="AQ549" s="109" t="s">
        <v>48</v>
      </c>
      <c r="AR549" s="109" t="s">
        <v>48</v>
      </c>
      <c r="AS549" s="166" t="s">
        <v>48</v>
      </c>
      <c r="AT549" s="165" t="s">
        <v>48</v>
      </c>
      <c r="AU549" s="109" t="s">
        <v>48</v>
      </c>
      <c r="AV549" s="109" t="s">
        <v>48</v>
      </c>
      <c r="AW549" s="109" t="s">
        <v>48</v>
      </c>
      <c r="AX549" s="109" t="s">
        <v>48</v>
      </c>
      <c r="AY549" s="109" t="s">
        <v>48</v>
      </c>
      <c r="AZ549" s="166" t="s">
        <v>48</v>
      </c>
      <c r="BA549" s="162" t="s">
        <v>1688</v>
      </c>
      <c r="BB549" s="109" t="s">
        <v>49</v>
      </c>
      <c r="BC549" s="120" t="s">
        <v>1743</v>
      </c>
    </row>
    <row r="550" spans="1:55" ht="75" hidden="1" customHeight="1">
      <c r="A550" s="109" t="s">
        <v>2340</v>
      </c>
      <c r="B550" s="109" t="s">
        <v>2471</v>
      </c>
      <c r="C550" s="109" t="s">
        <v>179</v>
      </c>
      <c r="D550" s="109" t="s">
        <v>183</v>
      </c>
      <c r="E550" s="161">
        <v>30000</v>
      </c>
      <c r="F550" s="165" t="s">
        <v>1706</v>
      </c>
      <c r="G550" s="109" t="s">
        <v>1706</v>
      </c>
      <c r="H550" s="109" t="s">
        <v>1976</v>
      </c>
      <c r="I550" s="109" t="s">
        <v>1908</v>
      </c>
      <c r="J550" s="109" t="s">
        <v>1708</v>
      </c>
      <c r="K550" s="109" t="s">
        <v>1708</v>
      </c>
      <c r="L550" s="109" t="s">
        <v>1974</v>
      </c>
      <c r="M550" s="166" t="s">
        <v>1687</v>
      </c>
      <c r="N550" s="162" t="s">
        <v>48</v>
      </c>
      <c r="O550" s="109" t="s">
        <v>48</v>
      </c>
      <c r="P550" s="162" t="s">
        <v>48</v>
      </c>
      <c r="Q550" s="109" t="s">
        <v>48</v>
      </c>
      <c r="R550" s="109" t="s">
        <v>48</v>
      </c>
      <c r="S550" s="109" t="s">
        <v>48</v>
      </c>
      <c r="T550" s="109" t="s">
        <v>48</v>
      </c>
      <c r="U550" s="109" t="s">
        <v>48</v>
      </c>
      <c r="V550" s="166" t="s">
        <v>48</v>
      </c>
      <c r="W550" s="165" t="s">
        <v>183</v>
      </c>
      <c r="X550" s="109" t="s">
        <v>183</v>
      </c>
      <c r="Y550" s="109" t="s">
        <v>48</v>
      </c>
      <c r="Z550" s="109" t="s">
        <v>48</v>
      </c>
      <c r="AA550" s="109" t="s">
        <v>48</v>
      </c>
      <c r="AB550" s="109" t="s">
        <v>48</v>
      </c>
      <c r="AC550" s="109" t="s">
        <v>48</v>
      </c>
      <c r="AD550" s="166" t="s">
        <v>48</v>
      </c>
      <c r="AE550" s="165" t="s">
        <v>80</v>
      </c>
      <c r="AF550" s="109" t="s">
        <v>185</v>
      </c>
      <c r="AG550" s="109" t="s">
        <v>497</v>
      </c>
      <c r="AH550" s="109" t="s">
        <v>1908</v>
      </c>
      <c r="AI550" s="109" t="s">
        <v>614</v>
      </c>
      <c r="AJ550" s="109" t="s">
        <v>496</v>
      </c>
      <c r="AK550" s="166" t="s">
        <v>184</v>
      </c>
      <c r="AL550" s="165" t="s">
        <v>183</v>
      </c>
      <c r="AM550" s="109" t="s">
        <v>183</v>
      </c>
      <c r="AN550" s="109" t="s">
        <v>48</v>
      </c>
      <c r="AO550" s="109" t="s">
        <v>48</v>
      </c>
      <c r="AP550" s="109" t="s">
        <v>48</v>
      </c>
      <c r="AQ550" s="109" t="s">
        <v>48</v>
      </c>
      <c r="AR550" s="109" t="s">
        <v>48</v>
      </c>
      <c r="AS550" s="166" t="s">
        <v>48</v>
      </c>
      <c r="AT550" s="165" t="s">
        <v>48</v>
      </c>
      <c r="AU550" s="109" t="s">
        <v>48</v>
      </c>
      <c r="AV550" s="109" t="s">
        <v>48</v>
      </c>
      <c r="AW550" s="109" t="s">
        <v>48</v>
      </c>
      <c r="AX550" s="109" t="s">
        <v>48</v>
      </c>
      <c r="AY550" s="109" t="s">
        <v>48</v>
      </c>
      <c r="AZ550" s="166" t="s">
        <v>48</v>
      </c>
      <c r="BA550" s="162" t="s">
        <v>1688</v>
      </c>
      <c r="BB550" s="109" t="s">
        <v>49</v>
      </c>
      <c r="BC550" s="120" t="s">
        <v>1743</v>
      </c>
    </row>
    <row r="551" spans="1:55" ht="75" hidden="1" customHeight="1">
      <c r="A551" s="109" t="s">
        <v>2339</v>
      </c>
      <c r="B551" s="109" t="s">
        <v>2468</v>
      </c>
      <c r="C551" s="109" t="s">
        <v>179</v>
      </c>
      <c r="D551" s="109" t="s">
        <v>183</v>
      </c>
      <c r="E551" s="161">
        <v>15000</v>
      </c>
      <c r="F551" s="165" t="s">
        <v>1706</v>
      </c>
      <c r="G551" s="109" t="s">
        <v>1706</v>
      </c>
      <c r="H551" s="109" t="s">
        <v>1976</v>
      </c>
      <c r="I551" s="109" t="s">
        <v>1908</v>
      </c>
      <c r="J551" s="109" t="s">
        <v>1708</v>
      </c>
      <c r="K551" s="109" t="s">
        <v>1708</v>
      </c>
      <c r="L551" s="109" t="s">
        <v>1974</v>
      </c>
      <c r="M551" s="166" t="s">
        <v>1687</v>
      </c>
      <c r="N551" s="162" t="s">
        <v>48</v>
      </c>
      <c r="O551" s="109" t="s">
        <v>48</v>
      </c>
      <c r="P551" s="162" t="s">
        <v>48</v>
      </c>
      <c r="Q551" s="109" t="s">
        <v>48</v>
      </c>
      <c r="R551" s="109" t="s">
        <v>48</v>
      </c>
      <c r="S551" s="109" t="s">
        <v>48</v>
      </c>
      <c r="T551" s="109" t="s">
        <v>48</v>
      </c>
      <c r="U551" s="109" t="s">
        <v>48</v>
      </c>
      <c r="V551" s="166" t="s">
        <v>48</v>
      </c>
      <c r="W551" s="165" t="s">
        <v>183</v>
      </c>
      <c r="X551" s="109" t="s">
        <v>183</v>
      </c>
      <c r="Y551" s="109" t="s">
        <v>48</v>
      </c>
      <c r="Z551" s="109" t="s">
        <v>48</v>
      </c>
      <c r="AA551" s="109" t="s">
        <v>48</v>
      </c>
      <c r="AB551" s="109" t="s">
        <v>48</v>
      </c>
      <c r="AC551" s="109" t="s">
        <v>48</v>
      </c>
      <c r="AD551" s="166" t="s">
        <v>48</v>
      </c>
      <c r="AE551" s="165" t="s">
        <v>80</v>
      </c>
      <c r="AF551" s="109" t="s">
        <v>185</v>
      </c>
      <c r="AG551" s="109">
        <v>60901</v>
      </c>
      <c r="AH551" s="109" t="s">
        <v>1908</v>
      </c>
      <c r="AI551" s="109" t="s">
        <v>614</v>
      </c>
      <c r="AJ551" s="109">
        <v>5766594</v>
      </c>
      <c r="AK551" s="166" t="s">
        <v>184</v>
      </c>
      <c r="AL551" s="165" t="s">
        <v>183</v>
      </c>
      <c r="AM551" s="109" t="s">
        <v>183</v>
      </c>
      <c r="AN551" s="109" t="s">
        <v>48</v>
      </c>
      <c r="AO551" s="109" t="s">
        <v>48</v>
      </c>
      <c r="AP551" s="109" t="s">
        <v>48</v>
      </c>
      <c r="AQ551" s="109" t="s">
        <v>48</v>
      </c>
      <c r="AR551" s="109" t="s">
        <v>48</v>
      </c>
      <c r="AS551" s="166" t="s">
        <v>48</v>
      </c>
      <c r="AT551" s="165" t="s">
        <v>48</v>
      </c>
      <c r="AU551" s="109" t="s">
        <v>48</v>
      </c>
      <c r="AV551" s="109" t="s">
        <v>48</v>
      </c>
      <c r="AW551" s="109" t="s">
        <v>48</v>
      </c>
      <c r="AX551" s="109" t="s">
        <v>48</v>
      </c>
      <c r="AY551" s="109" t="s">
        <v>48</v>
      </c>
      <c r="AZ551" s="166" t="s">
        <v>48</v>
      </c>
      <c r="BA551" s="162" t="s">
        <v>1688</v>
      </c>
      <c r="BB551" s="109" t="s">
        <v>49</v>
      </c>
      <c r="BC551" s="120" t="s">
        <v>1743</v>
      </c>
    </row>
    <row r="552" spans="1:55" ht="75" hidden="1" customHeight="1">
      <c r="A552" s="109" t="s">
        <v>38</v>
      </c>
      <c r="B552" s="109" t="s">
        <v>2470</v>
      </c>
      <c r="C552" s="109" t="s">
        <v>175</v>
      </c>
      <c r="D552" s="109" t="s">
        <v>176</v>
      </c>
      <c r="E552" s="161">
        <v>15000</v>
      </c>
      <c r="F552" s="165" t="s">
        <v>176</v>
      </c>
      <c r="G552" s="109" t="s">
        <v>176</v>
      </c>
      <c r="H552" s="109" t="s">
        <v>48</v>
      </c>
      <c r="I552" s="109" t="s">
        <v>48</v>
      </c>
      <c r="J552" s="109" t="s">
        <v>48</v>
      </c>
      <c r="K552" s="109" t="s">
        <v>48</v>
      </c>
      <c r="L552" s="109" t="s">
        <v>48</v>
      </c>
      <c r="M552" s="166" t="s">
        <v>48</v>
      </c>
      <c r="N552" s="162" t="s">
        <v>48</v>
      </c>
      <c r="O552" s="109" t="s">
        <v>48</v>
      </c>
      <c r="P552" s="162" t="s">
        <v>48</v>
      </c>
      <c r="Q552" s="109" t="s">
        <v>48</v>
      </c>
      <c r="R552" s="109" t="s">
        <v>48</v>
      </c>
      <c r="S552" s="109" t="s">
        <v>48</v>
      </c>
      <c r="T552" s="109" t="s">
        <v>48</v>
      </c>
      <c r="U552" s="109" t="s">
        <v>48</v>
      </c>
      <c r="V552" s="166" t="s">
        <v>48</v>
      </c>
      <c r="W552" s="165" t="s">
        <v>1011</v>
      </c>
      <c r="X552" s="109" t="s">
        <v>176</v>
      </c>
      <c r="Y552" s="109" t="s">
        <v>2043</v>
      </c>
      <c r="Z552" s="109" t="s">
        <v>1908</v>
      </c>
      <c r="AA552" s="109" t="s">
        <v>1034</v>
      </c>
      <c r="AB552" s="109" t="s">
        <v>616</v>
      </c>
      <c r="AC552" s="109" t="s">
        <v>2044</v>
      </c>
      <c r="AD552" s="166" t="s">
        <v>1040</v>
      </c>
      <c r="AE552" s="165" t="s">
        <v>48</v>
      </c>
      <c r="AF552" s="109" t="s">
        <v>48</v>
      </c>
      <c r="AG552" s="109" t="s">
        <v>48</v>
      </c>
      <c r="AH552" s="109" t="s">
        <v>48</v>
      </c>
      <c r="AI552" s="109" t="s">
        <v>48</v>
      </c>
      <c r="AJ552" s="109" t="s">
        <v>48</v>
      </c>
      <c r="AK552" s="166" t="s">
        <v>48</v>
      </c>
      <c r="AL552" s="165" t="s">
        <v>176</v>
      </c>
      <c r="AM552" s="109" t="s">
        <v>176</v>
      </c>
      <c r="AN552" s="109" t="s">
        <v>48</v>
      </c>
      <c r="AO552" s="109" t="s">
        <v>48</v>
      </c>
      <c r="AP552" s="109" t="s">
        <v>48</v>
      </c>
      <c r="AQ552" s="109" t="s">
        <v>48</v>
      </c>
      <c r="AR552" s="109" t="s">
        <v>48</v>
      </c>
      <c r="AS552" s="166" t="s">
        <v>48</v>
      </c>
      <c r="AT552" s="165" t="s">
        <v>48</v>
      </c>
      <c r="AU552" s="109" t="s">
        <v>48</v>
      </c>
      <c r="AV552" s="109" t="s">
        <v>48</v>
      </c>
      <c r="AW552" s="109" t="s">
        <v>48</v>
      </c>
      <c r="AX552" s="109" t="s">
        <v>48</v>
      </c>
      <c r="AY552" s="109" t="s">
        <v>48</v>
      </c>
      <c r="AZ552" s="166" t="s">
        <v>48</v>
      </c>
      <c r="BA552" s="162" t="s">
        <v>1033</v>
      </c>
      <c r="BB552" s="109" t="s">
        <v>49</v>
      </c>
      <c r="BC552" s="79"/>
    </row>
    <row r="553" spans="1:55" ht="75" hidden="1" customHeight="1">
      <c r="A553" s="109" t="s">
        <v>38</v>
      </c>
      <c r="B553" s="109" t="s">
        <v>2024</v>
      </c>
      <c r="C553" s="109" t="s">
        <v>175</v>
      </c>
      <c r="D553" s="109" t="s">
        <v>176</v>
      </c>
      <c r="E553" s="161">
        <v>15000</v>
      </c>
      <c r="F553" s="165" t="s">
        <v>176</v>
      </c>
      <c r="G553" s="109" t="s">
        <v>176</v>
      </c>
      <c r="H553" s="109" t="s">
        <v>48</v>
      </c>
      <c r="I553" s="109" t="s">
        <v>48</v>
      </c>
      <c r="J553" s="109" t="s">
        <v>48</v>
      </c>
      <c r="K553" s="109" t="s">
        <v>48</v>
      </c>
      <c r="L553" s="109" t="s">
        <v>48</v>
      </c>
      <c r="M553" s="166" t="s">
        <v>48</v>
      </c>
      <c r="N553" s="162" t="s">
        <v>48</v>
      </c>
      <c r="O553" s="109" t="s">
        <v>48</v>
      </c>
      <c r="P553" s="162" t="s">
        <v>48</v>
      </c>
      <c r="Q553" s="109" t="s">
        <v>48</v>
      </c>
      <c r="R553" s="109" t="s">
        <v>48</v>
      </c>
      <c r="S553" s="109" t="s">
        <v>48</v>
      </c>
      <c r="T553" s="109" t="s">
        <v>48</v>
      </c>
      <c r="U553" s="109" t="s">
        <v>48</v>
      </c>
      <c r="V553" s="166" t="s">
        <v>48</v>
      </c>
      <c r="W553" s="165" t="s">
        <v>1011</v>
      </c>
      <c r="X553" s="109" t="s">
        <v>176</v>
      </c>
      <c r="Y553" s="109" t="s">
        <v>2043</v>
      </c>
      <c r="Z553" s="109" t="s">
        <v>1908</v>
      </c>
      <c r="AA553" s="109" t="s">
        <v>1034</v>
      </c>
      <c r="AB553" s="109" t="s">
        <v>616</v>
      </c>
      <c r="AC553" s="109" t="s">
        <v>2044</v>
      </c>
      <c r="AD553" s="166" t="s">
        <v>1039</v>
      </c>
      <c r="AE553" s="165" t="s">
        <v>48</v>
      </c>
      <c r="AF553" s="109" t="s">
        <v>48</v>
      </c>
      <c r="AG553" s="109" t="s">
        <v>48</v>
      </c>
      <c r="AH553" s="109" t="s">
        <v>48</v>
      </c>
      <c r="AI553" s="109" t="s">
        <v>48</v>
      </c>
      <c r="AJ553" s="109" t="s">
        <v>48</v>
      </c>
      <c r="AK553" s="166" t="s">
        <v>48</v>
      </c>
      <c r="AL553" s="165" t="s">
        <v>176</v>
      </c>
      <c r="AM553" s="109" t="s">
        <v>176</v>
      </c>
      <c r="AN553" s="109" t="s">
        <v>48</v>
      </c>
      <c r="AO553" s="109" t="s">
        <v>48</v>
      </c>
      <c r="AP553" s="109" t="s">
        <v>48</v>
      </c>
      <c r="AQ553" s="109" t="s">
        <v>48</v>
      </c>
      <c r="AR553" s="109" t="s">
        <v>48</v>
      </c>
      <c r="AS553" s="166" t="s">
        <v>48</v>
      </c>
      <c r="AT553" s="165" t="s">
        <v>48</v>
      </c>
      <c r="AU553" s="109" t="s">
        <v>48</v>
      </c>
      <c r="AV553" s="109" t="s">
        <v>48</v>
      </c>
      <c r="AW553" s="109" t="s">
        <v>48</v>
      </c>
      <c r="AX553" s="109" t="s">
        <v>48</v>
      </c>
      <c r="AY553" s="109" t="s">
        <v>48</v>
      </c>
      <c r="AZ553" s="166" t="s">
        <v>48</v>
      </c>
      <c r="BA553" s="162" t="s">
        <v>1033</v>
      </c>
      <c r="BB553" s="109" t="s">
        <v>49</v>
      </c>
      <c r="BC553" s="79"/>
    </row>
    <row r="554" spans="1:55" ht="75" hidden="1" customHeight="1">
      <c r="A554" s="109" t="s">
        <v>2341</v>
      </c>
      <c r="B554" s="109" t="s">
        <v>2474</v>
      </c>
      <c r="C554" s="109" t="s">
        <v>175</v>
      </c>
      <c r="D554" s="109" t="s">
        <v>176</v>
      </c>
      <c r="E554" s="161">
        <v>30000</v>
      </c>
      <c r="F554" s="165" t="s">
        <v>183</v>
      </c>
      <c r="G554" s="109" t="s">
        <v>183</v>
      </c>
      <c r="H554" s="109" t="s">
        <v>497</v>
      </c>
      <c r="I554" s="109" t="s">
        <v>1908</v>
      </c>
      <c r="J554" s="109" t="s">
        <v>614</v>
      </c>
      <c r="K554" s="109" t="s">
        <v>614</v>
      </c>
      <c r="L554" s="109" t="s">
        <v>496</v>
      </c>
      <c r="M554" s="166" t="s">
        <v>1048</v>
      </c>
      <c r="N554" s="162" t="s">
        <v>48</v>
      </c>
      <c r="O554" s="109" t="s">
        <v>48</v>
      </c>
      <c r="P554" s="162" t="s">
        <v>48</v>
      </c>
      <c r="Q554" s="109" t="s">
        <v>48</v>
      </c>
      <c r="R554" s="109" t="s">
        <v>48</v>
      </c>
      <c r="S554" s="109" t="s">
        <v>48</v>
      </c>
      <c r="T554" s="109" t="s">
        <v>48</v>
      </c>
      <c r="U554" s="109" t="s">
        <v>48</v>
      </c>
      <c r="V554" s="166" t="s">
        <v>48</v>
      </c>
      <c r="W554" s="165" t="s">
        <v>1011</v>
      </c>
      <c r="X554" s="109" t="s">
        <v>176</v>
      </c>
      <c r="Y554" s="109" t="s">
        <v>2033</v>
      </c>
      <c r="Z554" s="109" t="s">
        <v>1908</v>
      </c>
      <c r="AA554" s="109" t="s">
        <v>1921</v>
      </c>
      <c r="AB554" s="109" t="s">
        <v>48</v>
      </c>
      <c r="AC554" s="109" t="s">
        <v>2038</v>
      </c>
      <c r="AD554" s="166" t="s">
        <v>1040</v>
      </c>
      <c r="AE554" s="165" t="s">
        <v>48</v>
      </c>
      <c r="AF554" s="109" t="s">
        <v>48</v>
      </c>
      <c r="AG554" s="109" t="s">
        <v>48</v>
      </c>
      <c r="AH554" s="109" t="s">
        <v>48</v>
      </c>
      <c r="AI554" s="109" t="s">
        <v>48</v>
      </c>
      <c r="AJ554" s="109" t="s">
        <v>48</v>
      </c>
      <c r="AK554" s="166" t="s">
        <v>48</v>
      </c>
      <c r="AL554" s="165" t="s">
        <v>176</v>
      </c>
      <c r="AM554" s="109" t="s">
        <v>176</v>
      </c>
      <c r="AN554" s="109" t="s">
        <v>48</v>
      </c>
      <c r="AO554" s="109" t="s">
        <v>48</v>
      </c>
      <c r="AP554" s="109" t="s">
        <v>48</v>
      </c>
      <c r="AQ554" s="109" t="s">
        <v>48</v>
      </c>
      <c r="AR554" s="109" t="s">
        <v>48</v>
      </c>
      <c r="AS554" s="166" t="s">
        <v>48</v>
      </c>
      <c r="AT554" s="165" t="s">
        <v>48</v>
      </c>
      <c r="AU554" s="109" t="s">
        <v>48</v>
      </c>
      <c r="AV554" s="109" t="s">
        <v>48</v>
      </c>
      <c r="AW554" s="109" t="s">
        <v>48</v>
      </c>
      <c r="AX554" s="109" t="s">
        <v>48</v>
      </c>
      <c r="AY554" s="109" t="s">
        <v>48</v>
      </c>
      <c r="AZ554" s="166" t="s">
        <v>48</v>
      </c>
      <c r="BA554" s="162" t="s">
        <v>1049</v>
      </c>
      <c r="BB554" s="109" t="s">
        <v>49</v>
      </c>
      <c r="BC554" s="79"/>
    </row>
    <row r="555" spans="1:55" ht="75" hidden="1" customHeight="1">
      <c r="A555" s="109" t="s">
        <v>2340</v>
      </c>
      <c r="B555" s="109" t="s">
        <v>2471</v>
      </c>
      <c r="C555" s="109" t="s">
        <v>175</v>
      </c>
      <c r="D555" s="109" t="s">
        <v>176</v>
      </c>
      <c r="E555" s="161">
        <v>30000</v>
      </c>
      <c r="F555" s="165" t="s">
        <v>177</v>
      </c>
      <c r="G555" s="109" t="s">
        <v>177</v>
      </c>
      <c r="H555" s="109" t="s">
        <v>2358</v>
      </c>
      <c r="I555" s="109" t="s">
        <v>1908</v>
      </c>
      <c r="J555" s="109" t="s">
        <v>628</v>
      </c>
      <c r="K555" s="109" t="s">
        <v>628</v>
      </c>
      <c r="L555" s="109" t="s">
        <v>2358</v>
      </c>
      <c r="M555" s="166" t="s">
        <v>2359</v>
      </c>
      <c r="N555" s="162" t="s">
        <v>48</v>
      </c>
      <c r="O555" s="109" t="s">
        <v>48</v>
      </c>
      <c r="P555" s="162" t="s">
        <v>48</v>
      </c>
      <c r="Q555" s="109" t="s">
        <v>48</v>
      </c>
      <c r="R555" s="109" t="s">
        <v>48</v>
      </c>
      <c r="S555" s="109" t="s">
        <v>48</v>
      </c>
      <c r="T555" s="109" t="s">
        <v>48</v>
      </c>
      <c r="U555" s="109" t="s">
        <v>48</v>
      </c>
      <c r="V555" s="166" t="s">
        <v>48</v>
      </c>
      <c r="W555" s="165" t="s">
        <v>1011</v>
      </c>
      <c r="X555" s="109" t="s">
        <v>176</v>
      </c>
      <c r="Y555" s="109" t="s">
        <v>2033</v>
      </c>
      <c r="Z555" s="109" t="s">
        <v>1908</v>
      </c>
      <c r="AA555" s="109" t="s">
        <v>1034</v>
      </c>
      <c r="AB555" s="109" t="s">
        <v>48</v>
      </c>
      <c r="AC555" s="109" t="s">
        <v>2038</v>
      </c>
      <c r="AD555" s="166" t="s">
        <v>1928</v>
      </c>
      <c r="AE555" s="165" t="s">
        <v>48</v>
      </c>
      <c r="AF555" s="109" t="s">
        <v>48</v>
      </c>
      <c r="AG555" s="109" t="s">
        <v>48</v>
      </c>
      <c r="AH555" s="109" t="s">
        <v>48</v>
      </c>
      <c r="AI555" s="109" t="s">
        <v>48</v>
      </c>
      <c r="AJ555" s="109" t="s">
        <v>48</v>
      </c>
      <c r="AK555" s="166" t="s">
        <v>48</v>
      </c>
      <c r="AL555" s="165" t="s">
        <v>176</v>
      </c>
      <c r="AM555" s="109" t="s">
        <v>176</v>
      </c>
      <c r="AN555" s="109" t="s">
        <v>48</v>
      </c>
      <c r="AO555" s="109" t="s">
        <v>48</v>
      </c>
      <c r="AP555" s="109" t="s">
        <v>48</v>
      </c>
      <c r="AQ555" s="109" t="s">
        <v>48</v>
      </c>
      <c r="AR555" s="109" t="s">
        <v>48</v>
      </c>
      <c r="AS555" s="166" t="s">
        <v>48</v>
      </c>
      <c r="AT555" s="165" t="s">
        <v>48</v>
      </c>
      <c r="AU555" s="109" t="s">
        <v>48</v>
      </c>
      <c r="AV555" s="109" t="s">
        <v>48</v>
      </c>
      <c r="AW555" s="109" t="s">
        <v>48</v>
      </c>
      <c r="AX555" s="109" t="s">
        <v>48</v>
      </c>
      <c r="AY555" s="109" t="s">
        <v>48</v>
      </c>
      <c r="AZ555" s="166" t="s">
        <v>48</v>
      </c>
      <c r="BA555" s="162" t="s">
        <v>1061</v>
      </c>
      <c r="BB555" s="109" t="s">
        <v>49</v>
      </c>
      <c r="BC555" s="79"/>
    </row>
    <row r="556" spans="1:55" ht="75" hidden="1" customHeight="1">
      <c r="A556" s="109" t="s">
        <v>2339</v>
      </c>
      <c r="B556" s="109" t="s">
        <v>2468</v>
      </c>
      <c r="C556" s="109" t="s">
        <v>175</v>
      </c>
      <c r="D556" s="109" t="s">
        <v>176</v>
      </c>
      <c r="E556" s="161">
        <v>15000</v>
      </c>
      <c r="F556" s="165" t="s">
        <v>176</v>
      </c>
      <c r="G556" s="109" t="s">
        <v>176</v>
      </c>
      <c r="H556" s="109" t="s">
        <v>48</v>
      </c>
      <c r="I556" s="109" t="s">
        <v>48</v>
      </c>
      <c r="J556" s="109" t="s">
        <v>48</v>
      </c>
      <c r="K556" s="109" t="s">
        <v>48</v>
      </c>
      <c r="L556" s="109" t="s">
        <v>48</v>
      </c>
      <c r="M556" s="166" t="s">
        <v>48</v>
      </c>
      <c r="N556" s="162" t="s">
        <v>48</v>
      </c>
      <c r="O556" s="109" t="s">
        <v>48</v>
      </c>
      <c r="P556" s="162" t="s">
        <v>48</v>
      </c>
      <c r="Q556" s="109" t="s">
        <v>48</v>
      </c>
      <c r="R556" s="109" t="s">
        <v>48</v>
      </c>
      <c r="S556" s="109" t="s">
        <v>48</v>
      </c>
      <c r="T556" s="109" t="s">
        <v>48</v>
      </c>
      <c r="U556" s="109" t="s">
        <v>48</v>
      </c>
      <c r="V556" s="166" t="s">
        <v>48</v>
      </c>
      <c r="W556" s="165" t="s">
        <v>1011</v>
      </c>
      <c r="X556" s="109" t="s">
        <v>176</v>
      </c>
      <c r="Y556" s="109" t="s">
        <v>2043</v>
      </c>
      <c r="Z556" s="109" t="s">
        <v>1908</v>
      </c>
      <c r="AA556" s="109" t="s">
        <v>1034</v>
      </c>
      <c r="AB556" s="109" t="s">
        <v>616</v>
      </c>
      <c r="AC556" s="109" t="s">
        <v>1036</v>
      </c>
      <c r="AD556" s="166" t="s">
        <v>1040</v>
      </c>
      <c r="AE556" s="165" t="s">
        <v>48</v>
      </c>
      <c r="AF556" s="109" t="s">
        <v>48</v>
      </c>
      <c r="AG556" s="109" t="s">
        <v>48</v>
      </c>
      <c r="AH556" s="109" t="s">
        <v>48</v>
      </c>
      <c r="AI556" s="109" t="s">
        <v>48</v>
      </c>
      <c r="AJ556" s="109" t="s">
        <v>48</v>
      </c>
      <c r="AK556" s="166" t="s">
        <v>48</v>
      </c>
      <c r="AL556" s="165" t="s">
        <v>176</v>
      </c>
      <c r="AM556" s="109" t="s">
        <v>176</v>
      </c>
      <c r="AN556" s="109" t="s">
        <v>48</v>
      </c>
      <c r="AO556" s="109" t="s">
        <v>48</v>
      </c>
      <c r="AP556" s="109" t="s">
        <v>48</v>
      </c>
      <c r="AQ556" s="109" t="s">
        <v>48</v>
      </c>
      <c r="AR556" s="109" t="s">
        <v>48</v>
      </c>
      <c r="AS556" s="166" t="s">
        <v>48</v>
      </c>
      <c r="AT556" s="165" t="s">
        <v>48</v>
      </c>
      <c r="AU556" s="109" t="s">
        <v>48</v>
      </c>
      <c r="AV556" s="109" t="s">
        <v>48</v>
      </c>
      <c r="AW556" s="109" t="s">
        <v>48</v>
      </c>
      <c r="AX556" s="109" t="s">
        <v>48</v>
      </c>
      <c r="AY556" s="109" t="s">
        <v>48</v>
      </c>
      <c r="AZ556" s="166" t="s">
        <v>48</v>
      </c>
      <c r="BA556" s="162" t="s">
        <v>1033</v>
      </c>
      <c r="BB556" s="109" t="s">
        <v>49</v>
      </c>
      <c r="BC556" s="79"/>
    </row>
    <row r="557" spans="1:55" ht="75" hidden="1" customHeight="1">
      <c r="A557" s="109" t="s">
        <v>38</v>
      </c>
      <c r="B557" s="109" t="s">
        <v>2470</v>
      </c>
      <c r="C557" s="109" t="s">
        <v>175</v>
      </c>
      <c r="D557" s="109" t="s">
        <v>569</v>
      </c>
      <c r="E557" s="161">
        <v>15000</v>
      </c>
      <c r="F557" s="165" t="s">
        <v>569</v>
      </c>
      <c r="G557" s="109" t="s">
        <v>569</v>
      </c>
      <c r="H557" s="109" t="s">
        <v>48</v>
      </c>
      <c r="I557" s="109" t="s">
        <v>48</v>
      </c>
      <c r="J557" s="109" t="s">
        <v>48</v>
      </c>
      <c r="K557" s="109" t="s">
        <v>48</v>
      </c>
      <c r="L557" s="109" t="s">
        <v>48</v>
      </c>
      <c r="M557" s="166" t="s">
        <v>48</v>
      </c>
      <c r="N557" s="162" t="s">
        <v>48</v>
      </c>
      <c r="O557" s="109" t="s">
        <v>48</v>
      </c>
      <c r="P557" s="162" t="s">
        <v>48</v>
      </c>
      <c r="Q557" s="109" t="s">
        <v>48</v>
      </c>
      <c r="R557" s="109" t="s">
        <v>48</v>
      </c>
      <c r="S557" s="109" t="s">
        <v>48</v>
      </c>
      <c r="T557" s="109" t="s">
        <v>48</v>
      </c>
      <c r="U557" s="109" t="s">
        <v>48</v>
      </c>
      <c r="V557" s="166" t="s">
        <v>48</v>
      </c>
      <c r="W557" s="165" t="s">
        <v>1011</v>
      </c>
      <c r="X557" s="109" t="s">
        <v>569</v>
      </c>
      <c r="Y557" s="109" t="s">
        <v>2043</v>
      </c>
      <c r="Z557" s="109" t="s">
        <v>1908</v>
      </c>
      <c r="AA557" s="109" t="s">
        <v>1034</v>
      </c>
      <c r="AB557" s="109" t="s">
        <v>616</v>
      </c>
      <c r="AC557" s="109" t="s">
        <v>2044</v>
      </c>
      <c r="AD557" s="166" t="s">
        <v>1040</v>
      </c>
      <c r="AE557" s="165" t="s">
        <v>48</v>
      </c>
      <c r="AF557" s="109" t="s">
        <v>48</v>
      </c>
      <c r="AG557" s="109" t="s">
        <v>48</v>
      </c>
      <c r="AH557" s="109" t="s">
        <v>48</v>
      </c>
      <c r="AI557" s="109" t="s">
        <v>48</v>
      </c>
      <c r="AJ557" s="109" t="s">
        <v>48</v>
      </c>
      <c r="AK557" s="166" t="s">
        <v>48</v>
      </c>
      <c r="AL557" s="165" t="s">
        <v>569</v>
      </c>
      <c r="AM557" s="109" t="s">
        <v>569</v>
      </c>
      <c r="AN557" s="109" t="s">
        <v>48</v>
      </c>
      <c r="AO557" s="109" t="s">
        <v>48</v>
      </c>
      <c r="AP557" s="109" t="s">
        <v>48</v>
      </c>
      <c r="AQ557" s="109" t="s">
        <v>48</v>
      </c>
      <c r="AR557" s="109" t="s">
        <v>48</v>
      </c>
      <c r="AS557" s="166" t="s">
        <v>48</v>
      </c>
      <c r="AT557" s="165" t="s">
        <v>48</v>
      </c>
      <c r="AU557" s="109" t="s">
        <v>48</v>
      </c>
      <c r="AV557" s="109" t="s">
        <v>48</v>
      </c>
      <c r="AW557" s="109" t="s">
        <v>48</v>
      </c>
      <c r="AX557" s="109" t="s">
        <v>48</v>
      </c>
      <c r="AY557" s="109" t="s">
        <v>48</v>
      </c>
      <c r="AZ557" s="166" t="s">
        <v>48</v>
      </c>
      <c r="BA557" s="162" t="s">
        <v>1033</v>
      </c>
      <c r="BB557" s="109" t="s">
        <v>49</v>
      </c>
      <c r="BC557" s="79"/>
    </row>
    <row r="558" spans="1:55" ht="75" hidden="1" customHeight="1">
      <c r="A558" s="109" t="s">
        <v>38</v>
      </c>
      <c r="B558" s="109" t="s">
        <v>2470</v>
      </c>
      <c r="C558" s="109" t="s">
        <v>175</v>
      </c>
      <c r="D558" s="109" t="s">
        <v>177</v>
      </c>
      <c r="E558" s="161">
        <v>15000</v>
      </c>
      <c r="F558" s="165" t="s">
        <v>177</v>
      </c>
      <c r="G558" s="109" t="s">
        <v>177</v>
      </c>
      <c r="H558" s="109" t="s">
        <v>48</v>
      </c>
      <c r="I558" s="109" t="s">
        <v>48</v>
      </c>
      <c r="J558" s="109" t="s">
        <v>48</v>
      </c>
      <c r="K558" s="109" t="s">
        <v>48</v>
      </c>
      <c r="L558" s="109" t="s">
        <v>48</v>
      </c>
      <c r="M558" s="166" t="s">
        <v>48</v>
      </c>
      <c r="N558" s="162" t="s">
        <v>48</v>
      </c>
      <c r="O558" s="109" t="s">
        <v>48</v>
      </c>
      <c r="P558" s="162" t="s">
        <v>48</v>
      </c>
      <c r="Q558" s="109" t="s">
        <v>48</v>
      </c>
      <c r="R558" s="109" t="s">
        <v>48</v>
      </c>
      <c r="S558" s="109" t="s">
        <v>48</v>
      </c>
      <c r="T558" s="109" t="s">
        <v>48</v>
      </c>
      <c r="U558" s="109" t="s">
        <v>48</v>
      </c>
      <c r="V558" s="166" t="s">
        <v>48</v>
      </c>
      <c r="W558" s="165" t="s">
        <v>1011</v>
      </c>
      <c r="X558" s="109" t="s">
        <v>177</v>
      </c>
      <c r="Y558" s="109" t="s">
        <v>2043</v>
      </c>
      <c r="Z558" s="109" t="s">
        <v>1908</v>
      </c>
      <c r="AA558" s="109" t="s">
        <v>1034</v>
      </c>
      <c r="AB558" s="109" t="s">
        <v>616</v>
      </c>
      <c r="AC558" s="109" t="s">
        <v>2044</v>
      </c>
      <c r="AD558" s="166" t="s">
        <v>1040</v>
      </c>
      <c r="AE558" s="165" t="s">
        <v>68</v>
      </c>
      <c r="AF558" s="109" t="s">
        <v>178</v>
      </c>
      <c r="AG558" s="109" t="s">
        <v>480</v>
      </c>
      <c r="AH558" s="109" t="s">
        <v>1908</v>
      </c>
      <c r="AI558" s="109" t="s">
        <v>619</v>
      </c>
      <c r="AJ558" s="109" t="s">
        <v>481</v>
      </c>
      <c r="AK558" s="166" t="s">
        <v>482</v>
      </c>
      <c r="AL558" s="109" t="s">
        <v>177</v>
      </c>
      <c r="AM558" s="109" t="s">
        <v>177</v>
      </c>
      <c r="AN558" s="109" t="s">
        <v>48</v>
      </c>
      <c r="AO558" s="109" t="s">
        <v>48</v>
      </c>
      <c r="AP558" s="109" t="s">
        <v>48</v>
      </c>
      <c r="AQ558" s="109" t="s">
        <v>48</v>
      </c>
      <c r="AR558" s="196" t="s">
        <v>48</v>
      </c>
      <c r="AS558" s="166" t="s">
        <v>48</v>
      </c>
      <c r="AT558" s="165" t="s">
        <v>48</v>
      </c>
      <c r="AU558" s="109" t="s">
        <v>48</v>
      </c>
      <c r="AV558" s="109" t="s">
        <v>48</v>
      </c>
      <c r="AW558" s="109" t="s">
        <v>48</v>
      </c>
      <c r="AX558" s="109" t="s">
        <v>48</v>
      </c>
      <c r="AY558" s="109" t="s">
        <v>48</v>
      </c>
      <c r="AZ558" s="166" t="s">
        <v>48</v>
      </c>
      <c r="BA558" s="162" t="s">
        <v>1033</v>
      </c>
      <c r="BB558" s="109" t="s">
        <v>49</v>
      </c>
      <c r="BC558" s="79"/>
    </row>
    <row r="559" spans="1:55" ht="75" hidden="1" customHeight="1">
      <c r="A559" s="109" t="s">
        <v>38</v>
      </c>
      <c r="B559" s="109" t="s">
        <v>2024</v>
      </c>
      <c r="C559" s="109" t="s">
        <v>175</v>
      </c>
      <c r="D559" s="109" t="s">
        <v>177</v>
      </c>
      <c r="E559" s="161">
        <v>15000</v>
      </c>
      <c r="F559" s="165" t="s">
        <v>177</v>
      </c>
      <c r="G559" s="109" t="s">
        <v>177</v>
      </c>
      <c r="H559" s="109" t="s">
        <v>48</v>
      </c>
      <c r="I559" s="109" t="s">
        <v>48</v>
      </c>
      <c r="J559" s="109" t="s">
        <v>48</v>
      </c>
      <c r="K559" s="109" t="s">
        <v>48</v>
      </c>
      <c r="L559" s="109" t="s">
        <v>48</v>
      </c>
      <c r="M559" s="166" t="s">
        <v>48</v>
      </c>
      <c r="N559" s="162" t="s">
        <v>48</v>
      </c>
      <c r="O559" s="109" t="s">
        <v>48</v>
      </c>
      <c r="P559" s="162" t="s">
        <v>48</v>
      </c>
      <c r="Q559" s="109" t="s">
        <v>48</v>
      </c>
      <c r="R559" s="109" t="s">
        <v>48</v>
      </c>
      <c r="S559" s="109" t="s">
        <v>48</v>
      </c>
      <c r="T559" s="109" t="s">
        <v>48</v>
      </c>
      <c r="U559" s="109" t="s">
        <v>48</v>
      </c>
      <c r="V559" s="166" t="s">
        <v>48</v>
      </c>
      <c r="W559" s="165" t="s">
        <v>1011</v>
      </c>
      <c r="X559" s="109" t="s">
        <v>177</v>
      </c>
      <c r="Y559" s="109" t="s">
        <v>2043</v>
      </c>
      <c r="Z559" s="109" t="s">
        <v>1908</v>
      </c>
      <c r="AA559" s="109" t="s">
        <v>1034</v>
      </c>
      <c r="AB559" s="109" t="s">
        <v>616</v>
      </c>
      <c r="AC559" s="109" t="s">
        <v>2044</v>
      </c>
      <c r="AD559" s="166" t="s">
        <v>1039</v>
      </c>
      <c r="AE559" s="165" t="s">
        <v>68</v>
      </c>
      <c r="AF559" s="109" t="s">
        <v>178</v>
      </c>
      <c r="AG559" s="109" t="s">
        <v>480</v>
      </c>
      <c r="AH559" s="109" t="s">
        <v>1908</v>
      </c>
      <c r="AI559" s="109" t="s">
        <v>619</v>
      </c>
      <c r="AJ559" s="109" t="s">
        <v>481</v>
      </c>
      <c r="AK559" s="166" t="s">
        <v>482</v>
      </c>
      <c r="AL559" s="165" t="s">
        <v>177</v>
      </c>
      <c r="AM559" s="109" t="s">
        <v>177</v>
      </c>
      <c r="AN559" s="109" t="s">
        <v>48</v>
      </c>
      <c r="AO559" s="109" t="s">
        <v>48</v>
      </c>
      <c r="AP559" s="109" t="s">
        <v>48</v>
      </c>
      <c r="AQ559" s="109" t="s">
        <v>48</v>
      </c>
      <c r="AR559" s="109" t="s">
        <v>48</v>
      </c>
      <c r="AS559" s="166" t="s">
        <v>48</v>
      </c>
      <c r="AT559" s="165" t="s">
        <v>48</v>
      </c>
      <c r="AU559" s="109" t="s">
        <v>48</v>
      </c>
      <c r="AV559" s="109" t="s">
        <v>48</v>
      </c>
      <c r="AW559" s="109" t="s">
        <v>48</v>
      </c>
      <c r="AX559" s="109" t="s">
        <v>48</v>
      </c>
      <c r="AY559" s="109" t="s">
        <v>48</v>
      </c>
      <c r="AZ559" s="166" t="s">
        <v>48</v>
      </c>
      <c r="BA559" s="162" t="s">
        <v>1033</v>
      </c>
      <c r="BB559" s="109" t="s">
        <v>49</v>
      </c>
      <c r="BC559" s="79"/>
    </row>
    <row r="560" spans="1:55" ht="75" hidden="1" customHeight="1">
      <c r="A560" s="109" t="s">
        <v>2341</v>
      </c>
      <c r="B560" s="109" t="s">
        <v>2474</v>
      </c>
      <c r="C560" s="109" t="s">
        <v>175</v>
      </c>
      <c r="D560" s="109" t="s">
        <v>177</v>
      </c>
      <c r="E560" s="161">
        <v>30000</v>
      </c>
      <c r="F560" s="165" t="s">
        <v>183</v>
      </c>
      <c r="G560" s="109" t="s">
        <v>183</v>
      </c>
      <c r="H560" s="109" t="s">
        <v>497</v>
      </c>
      <c r="I560" s="109" t="s">
        <v>1908</v>
      </c>
      <c r="J560" s="109" t="s">
        <v>614</v>
      </c>
      <c r="K560" s="109" t="s">
        <v>614</v>
      </c>
      <c r="L560" s="109" t="s">
        <v>496</v>
      </c>
      <c r="M560" s="166" t="s">
        <v>1048</v>
      </c>
      <c r="N560" s="162" t="s">
        <v>48</v>
      </c>
      <c r="O560" s="109" t="s">
        <v>48</v>
      </c>
      <c r="P560" s="162" t="s">
        <v>48</v>
      </c>
      <c r="Q560" s="109" t="s">
        <v>48</v>
      </c>
      <c r="R560" s="109" t="s">
        <v>48</v>
      </c>
      <c r="S560" s="109" t="s">
        <v>48</v>
      </c>
      <c r="T560" s="109" t="s">
        <v>48</v>
      </c>
      <c r="U560" s="109" t="s">
        <v>48</v>
      </c>
      <c r="V560" s="166" t="s">
        <v>48</v>
      </c>
      <c r="W560" s="165" t="s">
        <v>1011</v>
      </c>
      <c r="X560" s="109" t="s">
        <v>177</v>
      </c>
      <c r="Y560" s="109" t="s">
        <v>2033</v>
      </c>
      <c r="Z560" s="109" t="s">
        <v>1908</v>
      </c>
      <c r="AA560" s="109" t="s">
        <v>1921</v>
      </c>
      <c r="AB560" s="109" t="s">
        <v>48</v>
      </c>
      <c r="AC560" s="109" t="s">
        <v>2038</v>
      </c>
      <c r="AD560" s="166" t="s">
        <v>1040</v>
      </c>
      <c r="AE560" s="165" t="s">
        <v>68</v>
      </c>
      <c r="AF560" s="109" t="s">
        <v>178</v>
      </c>
      <c r="AG560" s="109" t="s">
        <v>480</v>
      </c>
      <c r="AH560" s="109" t="s">
        <v>1908</v>
      </c>
      <c r="AI560" s="109" t="s">
        <v>619</v>
      </c>
      <c r="AJ560" s="109" t="s">
        <v>481</v>
      </c>
      <c r="AK560" s="166" t="s">
        <v>482</v>
      </c>
      <c r="AL560" s="165" t="s">
        <v>177</v>
      </c>
      <c r="AM560" s="109" t="s">
        <v>177</v>
      </c>
      <c r="AN560" s="109" t="s">
        <v>48</v>
      </c>
      <c r="AO560" s="109" t="s">
        <v>48</v>
      </c>
      <c r="AP560" s="109" t="s">
        <v>48</v>
      </c>
      <c r="AQ560" s="109" t="s">
        <v>48</v>
      </c>
      <c r="AR560" s="109" t="s">
        <v>48</v>
      </c>
      <c r="AS560" s="166" t="s">
        <v>48</v>
      </c>
      <c r="AT560" s="165" t="s">
        <v>48</v>
      </c>
      <c r="AU560" s="109" t="s">
        <v>48</v>
      </c>
      <c r="AV560" s="109" t="s">
        <v>48</v>
      </c>
      <c r="AW560" s="109" t="s">
        <v>48</v>
      </c>
      <c r="AX560" s="109" t="s">
        <v>48</v>
      </c>
      <c r="AY560" s="109" t="s">
        <v>48</v>
      </c>
      <c r="AZ560" s="166" t="s">
        <v>48</v>
      </c>
      <c r="BA560" s="162" t="s">
        <v>1049</v>
      </c>
      <c r="BB560" s="109" t="s">
        <v>49</v>
      </c>
      <c r="BC560" s="79"/>
    </row>
    <row r="561" spans="1:55" ht="75" hidden="1" customHeight="1">
      <c r="A561" s="109" t="s">
        <v>2340</v>
      </c>
      <c r="B561" s="109" t="s">
        <v>2471</v>
      </c>
      <c r="C561" s="109" t="s">
        <v>175</v>
      </c>
      <c r="D561" s="109" t="s">
        <v>177</v>
      </c>
      <c r="E561" s="161">
        <v>30000</v>
      </c>
      <c r="F561" s="165" t="s">
        <v>177</v>
      </c>
      <c r="G561" s="109" t="s">
        <v>177</v>
      </c>
      <c r="H561" s="109" t="s">
        <v>48</v>
      </c>
      <c r="I561" s="109" t="s">
        <v>48</v>
      </c>
      <c r="J561" s="109" t="s">
        <v>48</v>
      </c>
      <c r="K561" s="109" t="s">
        <v>48</v>
      </c>
      <c r="L561" s="109" t="s">
        <v>48</v>
      </c>
      <c r="M561" s="166" t="s">
        <v>48</v>
      </c>
      <c r="N561" s="162" t="s">
        <v>48</v>
      </c>
      <c r="O561" s="109" t="s">
        <v>48</v>
      </c>
      <c r="P561" s="162" t="s">
        <v>68</v>
      </c>
      <c r="Q561" s="109" t="s">
        <v>178</v>
      </c>
      <c r="R561" s="109" t="s">
        <v>1055</v>
      </c>
      <c r="S561" s="109" t="s">
        <v>48</v>
      </c>
      <c r="T561" s="109" t="s">
        <v>1056</v>
      </c>
      <c r="U561" s="109" t="s">
        <v>1057</v>
      </c>
      <c r="V561" s="166" t="s">
        <v>1058</v>
      </c>
      <c r="W561" s="165" t="s">
        <v>1011</v>
      </c>
      <c r="X561" s="109" t="s">
        <v>177</v>
      </c>
      <c r="Y561" s="109" t="s">
        <v>2033</v>
      </c>
      <c r="Z561" s="109" t="s">
        <v>1908</v>
      </c>
      <c r="AA561" s="109" t="s">
        <v>1034</v>
      </c>
      <c r="AB561" s="109" t="s">
        <v>48</v>
      </c>
      <c r="AC561" s="109" t="s">
        <v>2038</v>
      </c>
      <c r="AD561" s="166" t="s">
        <v>1068</v>
      </c>
      <c r="AE561" s="165" t="s">
        <v>48</v>
      </c>
      <c r="AF561" s="109" t="s">
        <v>48</v>
      </c>
      <c r="AG561" s="109" t="s">
        <v>48</v>
      </c>
      <c r="AH561" s="109" t="s">
        <v>48</v>
      </c>
      <c r="AI561" s="109" t="s">
        <v>48</v>
      </c>
      <c r="AJ561" s="109" t="s">
        <v>48</v>
      </c>
      <c r="AK561" s="166" t="s">
        <v>48</v>
      </c>
      <c r="AL561" s="165" t="s">
        <v>177</v>
      </c>
      <c r="AM561" s="109" t="s">
        <v>177</v>
      </c>
      <c r="AN561" s="109" t="s">
        <v>48</v>
      </c>
      <c r="AO561" s="109" t="s">
        <v>48</v>
      </c>
      <c r="AP561" s="109" t="s">
        <v>48</v>
      </c>
      <c r="AQ561" s="109" t="s">
        <v>48</v>
      </c>
      <c r="AR561" s="109" t="s">
        <v>48</v>
      </c>
      <c r="AS561" s="166" t="s">
        <v>48</v>
      </c>
      <c r="AT561" s="165" t="s">
        <v>48</v>
      </c>
      <c r="AU561" s="109" t="s">
        <v>48</v>
      </c>
      <c r="AV561" s="109" t="s">
        <v>48</v>
      </c>
      <c r="AW561" s="109" t="s">
        <v>48</v>
      </c>
      <c r="AX561" s="109" t="s">
        <v>48</v>
      </c>
      <c r="AY561" s="109" t="s">
        <v>48</v>
      </c>
      <c r="AZ561" s="166" t="s">
        <v>48</v>
      </c>
      <c r="BA561" s="162" t="s">
        <v>1033</v>
      </c>
      <c r="BB561" s="109" t="s">
        <v>49</v>
      </c>
      <c r="BC561" s="79"/>
    </row>
    <row r="562" spans="1:55" ht="75" hidden="1" customHeight="1">
      <c r="A562" s="109" t="s">
        <v>2339</v>
      </c>
      <c r="B562" s="109" t="s">
        <v>2468</v>
      </c>
      <c r="C562" s="109" t="s">
        <v>175</v>
      </c>
      <c r="D562" s="109" t="s">
        <v>177</v>
      </c>
      <c r="E562" s="161">
        <v>15000</v>
      </c>
      <c r="F562" s="165" t="s">
        <v>177</v>
      </c>
      <c r="G562" s="109" t="s">
        <v>177</v>
      </c>
      <c r="H562" s="109" t="s">
        <v>48</v>
      </c>
      <c r="I562" s="109" t="s">
        <v>48</v>
      </c>
      <c r="J562" s="109" t="s">
        <v>48</v>
      </c>
      <c r="K562" s="109" t="s">
        <v>48</v>
      </c>
      <c r="L562" s="109" t="s">
        <v>48</v>
      </c>
      <c r="M562" s="166" t="s">
        <v>48</v>
      </c>
      <c r="N562" s="162" t="s">
        <v>48</v>
      </c>
      <c r="O562" s="109" t="s">
        <v>48</v>
      </c>
      <c r="P562" s="162" t="s">
        <v>48</v>
      </c>
      <c r="Q562" s="109" t="s">
        <v>48</v>
      </c>
      <c r="R562" s="109" t="s">
        <v>48</v>
      </c>
      <c r="S562" s="109" t="s">
        <v>48</v>
      </c>
      <c r="T562" s="109" t="s">
        <v>48</v>
      </c>
      <c r="U562" s="109" t="s">
        <v>48</v>
      </c>
      <c r="V562" s="166" t="s">
        <v>48</v>
      </c>
      <c r="W562" s="165" t="s">
        <v>1011</v>
      </c>
      <c r="X562" s="109" t="s">
        <v>177</v>
      </c>
      <c r="Y562" s="109" t="s">
        <v>2043</v>
      </c>
      <c r="Z562" s="109" t="s">
        <v>1908</v>
      </c>
      <c r="AA562" s="109" t="s">
        <v>1034</v>
      </c>
      <c r="AB562" s="109" t="s">
        <v>616</v>
      </c>
      <c r="AC562" s="109" t="s">
        <v>1036</v>
      </c>
      <c r="AD562" s="166" t="s">
        <v>1040</v>
      </c>
      <c r="AE562" s="165" t="s">
        <v>68</v>
      </c>
      <c r="AF562" s="109" t="s">
        <v>178</v>
      </c>
      <c r="AG562" s="109" t="s">
        <v>480</v>
      </c>
      <c r="AH562" s="109" t="s">
        <v>1908</v>
      </c>
      <c r="AI562" s="109" t="s">
        <v>612</v>
      </c>
      <c r="AJ562" s="109" t="s">
        <v>481</v>
      </c>
      <c r="AK562" s="166" t="s">
        <v>482</v>
      </c>
      <c r="AL562" s="165" t="s">
        <v>177</v>
      </c>
      <c r="AM562" s="109" t="s">
        <v>177</v>
      </c>
      <c r="AN562" s="109" t="s">
        <v>48</v>
      </c>
      <c r="AO562" s="109" t="s">
        <v>48</v>
      </c>
      <c r="AP562" s="109" t="s">
        <v>48</v>
      </c>
      <c r="AQ562" s="109" t="s">
        <v>48</v>
      </c>
      <c r="AR562" s="109" t="s">
        <v>48</v>
      </c>
      <c r="AS562" s="166" t="s">
        <v>48</v>
      </c>
      <c r="AT562" s="165" t="s">
        <v>48</v>
      </c>
      <c r="AU562" s="109" t="s">
        <v>48</v>
      </c>
      <c r="AV562" s="109" t="s">
        <v>48</v>
      </c>
      <c r="AW562" s="109" t="s">
        <v>48</v>
      </c>
      <c r="AX562" s="109" t="s">
        <v>48</v>
      </c>
      <c r="AY562" s="109" t="s">
        <v>48</v>
      </c>
      <c r="AZ562" s="166" t="s">
        <v>48</v>
      </c>
      <c r="BA562" s="162" t="s">
        <v>1033</v>
      </c>
      <c r="BB562" s="109" t="s">
        <v>49</v>
      </c>
      <c r="BC562" s="79"/>
    </row>
    <row r="563" spans="1:55" ht="75" hidden="1" customHeight="1">
      <c r="A563" s="109" t="s">
        <v>38</v>
      </c>
      <c r="B563" s="109" t="s">
        <v>2470</v>
      </c>
      <c r="C563" s="109" t="s">
        <v>172</v>
      </c>
      <c r="D563" s="109" t="s">
        <v>162</v>
      </c>
      <c r="E563" s="161">
        <v>15000</v>
      </c>
      <c r="F563" s="165" t="s">
        <v>162</v>
      </c>
      <c r="G563" s="109" t="s">
        <v>162</v>
      </c>
      <c r="H563" s="109" t="s">
        <v>48</v>
      </c>
      <c r="I563" s="109" t="s">
        <v>48</v>
      </c>
      <c r="J563" s="109" t="s">
        <v>48</v>
      </c>
      <c r="K563" s="109" t="s">
        <v>48</v>
      </c>
      <c r="L563" s="109" t="s">
        <v>48</v>
      </c>
      <c r="M563" s="166" t="s">
        <v>48</v>
      </c>
      <c r="N563" s="162" t="s">
        <v>48</v>
      </c>
      <c r="O563" s="109" t="s">
        <v>48</v>
      </c>
      <c r="P563" s="162" t="s">
        <v>48</v>
      </c>
      <c r="Q563" s="109" t="s">
        <v>48</v>
      </c>
      <c r="R563" s="109" t="s">
        <v>48</v>
      </c>
      <c r="S563" s="109" t="s">
        <v>48</v>
      </c>
      <c r="T563" s="109" t="s">
        <v>48</v>
      </c>
      <c r="U563" s="109" t="s">
        <v>48</v>
      </c>
      <c r="V563" s="166" t="s">
        <v>48</v>
      </c>
      <c r="W563" s="165" t="s">
        <v>1011</v>
      </c>
      <c r="X563" s="109" t="s">
        <v>162</v>
      </c>
      <c r="Y563" s="109" t="s">
        <v>2043</v>
      </c>
      <c r="Z563" s="109" t="s">
        <v>1908</v>
      </c>
      <c r="AA563" s="109" t="s">
        <v>1034</v>
      </c>
      <c r="AB563" s="109" t="s">
        <v>1034</v>
      </c>
      <c r="AC563" s="109" t="s">
        <v>2044</v>
      </c>
      <c r="AD563" s="166" t="s">
        <v>1038</v>
      </c>
      <c r="AE563" s="165" t="s">
        <v>48</v>
      </c>
      <c r="AF563" s="109" t="s">
        <v>48</v>
      </c>
      <c r="AG563" s="109" t="s">
        <v>48</v>
      </c>
      <c r="AH563" s="109" t="s">
        <v>48</v>
      </c>
      <c r="AI563" s="109" t="s">
        <v>48</v>
      </c>
      <c r="AJ563" s="109" t="s">
        <v>48</v>
      </c>
      <c r="AK563" s="166" t="s">
        <v>48</v>
      </c>
      <c r="AL563" s="165" t="s">
        <v>162</v>
      </c>
      <c r="AM563" s="109" t="s">
        <v>162</v>
      </c>
      <c r="AN563" s="109" t="s">
        <v>48</v>
      </c>
      <c r="AO563" s="109" t="s">
        <v>48</v>
      </c>
      <c r="AP563" s="109" t="s">
        <v>48</v>
      </c>
      <c r="AQ563" s="109" t="s">
        <v>48</v>
      </c>
      <c r="AR563" s="109" t="s">
        <v>48</v>
      </c>
      <c r="AS563" s="166" t="s">
        <v>48</v>
      </c>
      <c r="AT563" s="165" t="s">
        <v>48</v>
      </c>
      <c r="AU563" s="109" t="s">
        <v>48</v>
      </c>
      <c r="AV563" s="109" t="s">
        <v>48</v>
      </c>
      <c r="AW563" s="109" t="s">
        <v>48</v>
      </c>
      <c r="AX563" s="109" t="s">
        <v>48</v>
      </c>
      <c r="AY563" s="109" t="s">
        <v>48</v>
      </c>
      <c r="AZ563" s="166" t="s">
        <v>48</v>
      </c>
      <c r="BA563" s="162" t="s">
        <v>1043</v>
      </c>
      <c r="BB563" s="109" t="s">
        <v>49</v>
      </c>
      <c r="BC563" s="79"/>
    </row>
    <row r="564" spans="1:55" ht="75" hidden="1" customHeight="1">
      <c r="A564" s="109" t="s">
        <v>38</v>
      </c>
      <c r="B564" s="109" t="s">
        <v>2024</v>
      </c>
      <c r="C564" s="109" t="s">
        <v>172</v>
      </c>
      <c r="D564" s="109" t="s">
        <v>162</v>
      </c>
      <c r="E564" s="161">
        <v>15000</v>
      </c>
      <c r="F564" s="165" t="s">
        <v>162</v>
      </c>
      <c r="G564" s="109" t="s">
        <v>162</v>
      </c>
      <c r="H564" s="109" t="s">
        <v>48</v>
      </c>
      <c r="I564" s="109" t="s">
        <v>48</v>
      </c>
      <c r="J564" s="109" t="s">
        <v>48</v>
      </c>
      <c r="K564" s="109" t="s">
        <v>48</v>
      </c>
      <c r="L564" s="109" t="s">
        <v>48</v>
      </c>
      <c r="M564" s="166" t="s">
        <v>48</v>
      </c>
      <c r="N564" s="162" t="s">
        <v>48</v>
      </c>
      <c r="O564" s="109" t="s">
        <v>48</v>
      </c>
      <c r="P564" s="162" t="s">
        <v>48</v>
      </c>
      <c r="Q564" s="109" t="s">
        <v>48</v>
      </c>
      <c r="R564" s="109" t="s">
        <v>48</v>
      </c>
      <c r="S564" s="109" t="s">
        <v>48</v>
      </c>
      <c r="T564" s="109" t="s">
        <v>48</v>
      </c>
      <c r="U564" s="109" t="s">
        <v>48</v>
      </c>
      <c r="V564" s="166" t="s">
        <v>48</v>
      </c>
      <c r="W564" s="165" t="s">
        <v>1011</v>
      </c>
      <c r="X564" s="109" t="s">
        <v>162</v>
      </c>
      <c r="Y564" s="109" t="s">
        <v>2043</v>
      </c>
      <c r="Z564" s="109" t="s">
        <v>1908</v>
      </c>
      <c r="AA564" s="109" t="s">
        <v>1034</v>
      </c>
      <c r="AB564" s="109" t="s">
        <v>1034</v>
      </c>
      <c r="AC564" s="109" t="s">
        <v>2044</v>
      </c>
      <c r="AD564" s="166" t="s">
        <v>1038</v>
      </c>
      <c r="AE564" s="165" t="s">
        <v>48</v>
      </c>
      <c r="AF564" s="109" t="s">
        <v>48</v>
      </c>
      <c r="AG564" s="109" t="s">
        <v>48</v>
      </c>
      <c r="AH564" s="109" t="s">
        <v>48</v>
      </c>
      <c r="AI564" s="109" t="s">
        <v>48</v>
      </c>
      <c r="AJ564" s="109" t="s">
        <v>48</v>
      </c>
      <c r="AK564" s="166" t="s">
        <v>48</v>
      </c>
      <c r="AL564" s="165" t="s">
        <v>162</v>
      </c>
      <c r="AM564" s="109" t="s">
        <v>162</v>
      </c>
      <c r="AN564" s="109" t="s">
        <v>48</v>
      </c>
      <c r="AO564" s="109" t="s">
        <v>48</v>
      </c>
      <c r="AP564" s="109" t="s">
        <v>48</v>
      </c>
      <c r="AQ564" s="109" t="s">
        <v>48</v>
      </c>
      <c r="AR564" s="109" t="s">
        <v>48</v>
      </c>
      <c r="AS564" s="166" t="s">
        <v>48</v>
      </c>
      <c r="AT564" s="165" t="s">
        <v>48</v>
      </c>
      <c r="AU564" s="109" t="s">
        <v>48</v>
      </c>
      <c r="AV564" s="109" t="s">
        <v>48</v>
      </c>
      <c r="AW564" s="109" t="s">
        <v>48</v>
      </c>
      <c r="AX564" s="109" t="s">
        <v>48</v>
      </c>
      <c r="AY564" s="109" t="s">
        <v>48</v>
      </c>
      <c r="AZ564" s="166" t="s">
        <v>48</v>
      </c>
      <c r="BA564" s="162" t="s">
        <v>1043</v>
      </c>
      <c r="BB564" s="109" t="s">
        <v>49</v>
      </c>
      <c r="BC564" s="79"/>
    </row>
    <row r="565" spans="1:55" ht="75" hidden="1" customHeight="1">
      <c r="A565" s="109" t="s">
        <v>2341</v>
      </c>
      <c r="B565" s="109" t="s">
        <v>2474</v>
      </c>
      <c r="C565" s="109" t="s">
        <v>172</v>
      </c>
      <c r="D565" s="109" t="s">
        <v>162</v>
      </c>
      <c r="E565" s="161">
        <v>30000</v>
      </c>
      <c r="F565" s="165" t="s">
        <v>183</v>
      </c>
      <c r="G565" s="109" t="s">
        <v>183</v>
      </c>
      <c r="H565" s="109" t="s">
        <v>497</v>
      </c>
      <c r="I565" s="109" t="s">
        <v>1908</v>
      </c>
      <c r="J565" s="109" t="s">
        <v>614</v>
      </c>
      <c r="K565" s="109" t="s">
        <v>614</v>
      </c>
      <c r="L565" s="109" t="s">
        <v>496</v>
      </c>
      <c r="M565" s="166" t="s">
        <v>1048</v>
      </c>
      <c r="N565" s="162" t="s">
        <v>48</v>
      </c>
      <c r="O565" s="109" t="s">
        <v>48</v>
      </c>
      <c r="P565" s="162" t="s">
        <v>48</v>
      </c>
      <c r="Q565" s="109" t="s">
        <v>48</v>
      </c>
      <c r="R565" s="109" t="s">
        <v>48</v>
      </c>
      <c r="S565" s="109" t="s">
        <v>48</v>
      </c>
      <c r="T565" s="109" t="s">
        <v>48</v>
      </c>
      <c r="U565" s="109" t="s">
        <v>48</v>
      </c>
      <c r="V565" s="166" t="s">
        <v>48</v>
      </c>
      <c r="W565" s="165" t="s">
        <v>1011</v>
      </c>
      <c r="X565" s="109" t="s">
        <v>162</v>
      </c>
      <c r="Y565" s="109" t="s">
        <v>2033</v>
      </c>
      <c r="Z565" s="109" t="s">
        <v>1908</v>
      </c>
      <c r="AA565" s="109" t="s">
        <v>1921</v>
      </c>
      <c r="AB565" s="109" t="s">
        <v>48</v>
      </c>
      <c r="AC565" s="109" t="s">
        <v>2038</v>
      </c>
      <c r="AD565" s="166" t="s">
        <v>1040</v>
      </c>
      <c r="AE565" s="165" t="s">
        <v>48</v>
      </c>
      <c r="AF565" s="109" t="s">
        <v>48</v>
      </c>
      <c r="AG565" s="109" t="s">
        <v>48</v>
      </c>
      <c r="AH565" s="109" t="s">
        <v>48</v>
      </c>
      <c r="AI565" s="109" t="s">
        <v>48</v>
      </c>
      <c r="AJ565" s="109" t="s">
        <v>48</v>
      </c>
      <c r="AK565" s="166" t="s">
        <v>48</v>
      </c>
      <c r="AL565" s="165" t="s">
        <v>162</v>
      </c>
      <c r="AM565" s="109" t="s">
        <v>162</v>
      </c>
      <c r="AN565" s="109" t="s">
        <v>48</v>
      </c>
      <c r="AO565" s="109" t="s">
        <v>48</v>
      </c>
      <c r="AP565" s="109" t="s">
        <v>48</v>
      </c>
      <c r="AQ565" s="109" t="s">
        <v>48</v>
      </c>
      <c r="AR565" s="109" t="s">
        <v>48</v>
      </c>
      <c r="AS565" s="166" t="s">
        <v>48</v>
      </c>
      <c r="AT565" s="165" t="s">
        <v>48</v>
      </c>
      <c r="AU565" s="109" t="s">
        <v>48</v>
      </c>
      <c r="AV565" s="109" t="s">
        <v>48</v>
      </c>
      <c r="AW565" s="109" t="s">
        <v>48</v>
      </c>
      <c r="AX565" s="109" t="s">
        <v>48</v>
      </c>
      <c r="AY565" s="109" t="s">
        <v>48</v>
      </c>
      <c r="AZ565" s="166" t="s">
        <v>48</v>
      </c>
      <c r="BA565" s="162" t="s">
        <v>1049</v>
      </c>
      <c r="BB565" s="109" t="s">
        <v>49</v>
      </c>
      <c r="BC565" s="79"/>
    </row>
    <row r="566" spans="1:55" ht="75" hidden="1" customHeight="1">
      <c r="A566" s="109" t="s">
        <v>2340</v>
      </c>
      <c r="B566" s="109" t="s">
        <v>2472</v>
      </c>
      <c r="C566" s="109" t="s">
        <v>172</v>
      </c>
      <c r="D566" s="109" t="s">
        <v>162</v>
      </c>
      <c r="E566" s="161">
        <v>30000</v>
      </c>
      <c r="F566" s="165" t="s">
        <v>173</v>
      </c>
      <c r="G566" s="109" t="s">
        <v>173</v>
      </c>
      <c r="H566" s="109" t="s">
        <v>2034</v>
      </c>
      <c r="I566" s="109" t="s">
        <v>1908</v>
      </c>
      <c r="J566" s="109" t="s">
        <v>628</v>
      </c>
      <c r="K566" s="109" t="s">
        <v>628</v>
      </c>
      <c r="L566" s="109" t="s">
        <v>2035</v>
      </c>
      <c r="M566" s="166" t="s">
        <v>1066</v>
      </c>
      <c r="N566" s="162" t="s">
        <v>48</v>
      </c>
      <c r="O566" s="109" t="s">
        <v>48</v>
      </c>
      <c r="P566" s="162" t="s">
        <v>48</v>
      </c>
      <c r="Q566" s="109" t="s">
        <v>48</v>
      </c>
      <c r="R566" s="109" t="s">
        <v>48</v>
      </c>
      <c r="S566" s="109" t="s">
        <v>48</v>
      </c>
      <c r="T566" s="109" t="s">
        <v>48</v>
      </c>
      <c r="U566" s="109" t="s">
        <v>48</v>
      </c>
      <c r="V566" s="166" t="s">
        <v>48</v>
      </c>
      <c r="W566" s="165" t="s">
        <v>1011</v>
      </c>
      <c r="X566" s="109" t="s">
        <v>162</v>
      </c>
      <c r="Y566" s="109" t="s">
        <v>2033</v>
      </c>
      <c r="Z566" s="109" t="s">
        <v>1908</v>
      </c>
      <c r="AA566" s="109" t="s">
        <v>1921</v>
      </c>
      <c r="AB566" s="109" t="s">
        <v>48</v>
      </c>
      <c r="AC566" s="109" t="s">
        <v>2038</v>
      </c>
      <c r="AD566" s="166" t="s">
        <v>1040</v>
      </c>
      <c r="AE566" s="165" t="s">
        <v>48</v>
      </c>
      <c r="AF566" s="109" t="s">
        <v>48</v>
      </c>
      <c r="AG566" s="109" t="s">
        <v>48</v>
      </c>
      <c r="AH566" s="109" t="s">
        <v>48</v>
      </c>
      <c r="AI566" s="109" t="s">
        <v>48</v>
      </c>
      <c r="AJ566" s="109" t="s">
        <v>48</v>
      </c>
      <c r="AK566" s="166" t="s">
        <v>48</v>
      </c>
      <c r="AL566" s="165" t="s">
        <v>162</v>
      </c>
      <c r="AM566" s="109" t="s">
        <v>162</v>
      </c>
      <c r="AN566" s="109" t="s">
        <v>48</v>
      </c>
      <c r="AO566" s="109" t="s">
        <v>48</v>
      </c>
      <c r="AP566" s="109" t="s">
        <v>48</v>
      </c>
      <c r="AQ566" s="109" t="s">
        <v>48</v>
      </c>
      <c r="AR566" s="109" t="s">
        <v>48</v>
      </c>
      <c r="AS566" s="166" t="s">
        <v>48</v>
      </c>
      <c r="AT566" s="165" t="s">
        <v>48</v>
      </c>
      <c r="AU566" s="109" t="s">
        <v>48</v>
      </c>
      <c r="AV566" s="109" t="s">
        <v>48</v>
      </c>
      <c r="AW566" s="109" t="s">
        <v>48</v>
      </c>
      <c r="AX566" s="109" t="s">
        <v>48</v>
      </c>
      <c r="AY566" s="109" t="s">
        <v>48</v>
      </c>
      <c r="AZ566" s="166" t="s">
        <v>48</v>
      </c>
      <c r="BA566" s="162" t="s">
        <v>1043</v>
      </c>
      <c r="BB566" s="109" t="s">
        <v>49</v>
      </c>
      <c r="BC566" s="79"/>
    </row>
    <row r="567" spans="1:55" ht="75" hidden="1" customHeight="1">
      <c r="A567" s="109" t="s">
        <v>2340</v>
      </c>
      <c r="B567" s="109" t="s">
        <v>2472</v>
      </c>
      <c r="C567" s="109" t="s">
        <v>172</v>
      </c>
      <c r="D567" s="109" t="s">
        <v>162</v>
      </c>
      <c r="E567" s="161">
        <v>30000</v>
      </c>
      <c r="F567" s="165" t="s">
        <v>173</v>
      </c>
      <c r="G567" s="109" t="s">
        <v>173</v>
      </c>
      <c r="H567" s="109" t="s">
        <v>2037</v>
      </c>
      <c r="I567" s="109" t="s">
        <v>2039</v>
      </c>
      <c r="J567" s="109" t="s">
        <v>628</v>
      </c>
      <c r="K567" s="109" t="s">
        <v>628</v>
      </c>
      <c r="L567" s="109" t="s">
        <v>2036</v>
      </c>
      <c r="M567" s="166" t="s">
        <v>1066</v>
      </c>
      <c r="N567" s="162" t="s">
        <v>48</v>
      </c>
      <c r="O567" s="109" t="s">
        <v>48</v>
      </c>
      <c r="P567" s="162" t="s">
        <v>48</v>
      </c>
      <c r="Q567" s="109" t="s">
        <v>48</v>
      </c>
      <c r="R567" s="109" t="s">
        <v>48</v>
      </c>
      <c r="S567" s="109" t="s">
        <v>48</v>
      </c>
      <c r="T567" s="109" t="s">
        <v>48</v>
      </c>
      <c r="U567" s="109" t="s">
        <v>48</v>
      </c>
      <c r="V567" s="166" t="s">
        <v>48</v>
      </c>
      <c r="W567" s="165" t="s">
        <v>1011</v>
      </c>
      <c r="X567" s="109" t="s">
        <v>162</v>
      </c>
      <c r="Y567" s="109" t="s">
        <v>2033</v>
      </c>
      <c r="Z567" s="109" t="s">
        <v>1908</v>
      </c>
      <c r="AA567" s="109" t="s">
        <v>1921</v>
      </c>
      <c r="AB567" s="109" t="s">
        <v>48</v>
      </c>
      <c r="AC567" s="109" t="s">
        <v>2038</v>
      </c>
      <c r="AD567" s="166" t="s">
        <v>1040</v>
      </c>
      <c r="AE567" s="165" t="s">
        <v>48</v>
      </c>
      <c r="AF567" s="109" t="s">
        <v>48</v>
      </c>
      <c r="AG567" s="109" t="s">
        <v>48</v>
      </c>
      <c r="AH567" s="109" t="s">
        <v>48</v>
      </c>
      <c r="AI567" s="109" t="s">
        <v>48</v>
      </c>
      <c r="AJ567" s="109" t="s">
        <v>48</v>
      </c>
      <c r="AK567" s="166" t="s">
        <v>48</v>
      </c>
      <c r="AL567" s="165" t="s">
        <v>162</v>
      </c>
      <c r="AM567" s="109" t="s">
        <v>162</v>
      </c>
      <c r="AN567" s="109" t="s">
        <v>48</v>
      </c>
      <c r="AO567" s="109" t="s">
        <v>48</v>
      </c>
      <c r="AP567" s="109" t="s">
        <v>48</v>
      </c>
      <c r="AQ567" s="109" t="s">
        <v>48</v>
      </c>
      <c r="AR567" s="109" t="s">
        <v>48</v>
      </c>
      <c r="AS567" s="166" t="s">
        <v>48</v>
      </c>
      <c r="AT567" s="165" t="s">
        <v>48</v>
      </c>
      <c r="AU567" s="109" t="s">
        <v>48</v>
      </c>
      <c r="AV567" s="109" t="s">
        <v>48</v>
      </c>
      <c r="AW567" s="109" t="s">
        <v>48</v>
      </c>
      <c r="AX567" s="109" t="s">
        <v>48</v>
      </c>
      <c r="AY567" s="109" t="s">
        <v>48</v>
      </c>
      <c r="AZ567" s="166" t="s">
        <v>48</v>
      </c>
      <c r="BA567" s="162" t="s">
        <v>1043</v>
      </c>
      <c r="BB567" s="109" t="s">
        <v>49</v>
      </c>
      <c r="BC567" s="79"/>
    </row>
    <row r="568" spans="1:55" ht="75" hidden="1" customHeight="1">
      <c r="A568" s="109" t="s">
        <v>2339</v>
      </c>
      <c r="B568" s="109" t="s">
        <v>2468</v>
      </c>
      <c r="C568" s="109" t="s">
        <v>172</v>
      </c>
      <c r="D568" s="109" t="s">
        <v>162</v>
      </c>
      <c r="E568" s="161">
        <v>15000</v>
      </c>
      <c r="F568" s="165" t="s">
        <v>162</v>
      </c>
      <c r="G568" s="109" t="s">
        <v>162</v>
      </c>
      <c r="H568" s="109" t="s">
        <v>48</v>
      </c>
      <c r="I568" s="109" t="s">
        <v>48</v>
      </c>
      <c r="J568" s="109" t="s">
        <v>48</v>
      </c>
      <c r="K568" s="109" t="s">
        <v>48</v>
      </c>
      <c r="L568" s="109" t="s">
        <v>48</v>
      </c>
      <c r="M568" s="166" t="s">
        <v>48</v>
      </c>
      <c r="N568" s="162" t="s">
        <v>48</v>
      </c>
      <c r="O568" s="109" t="s">
        <v>48</v>
      </c>
      <c r="P568" s="162" t="s">
        <v>48</v>
      </c>
      <c r="Q568" s="109" t="s">
        <v>48</v>
      </c>
      <c r="R568" s="109" t="s">
        <v>48</v>
      </c>
      <c r="S568" s="109" t="s">
        <v>48</v>
      </c>
      <c r="T568" s="109" t="s">
        <v>48</v>
      </c>
      <c r="U568" s="109" t="s">
        <v>48</v>
      </c>
      <c r="V568" s="166" t="s">
        <v>48</v>
      </c>
      <c r="W568" s="165" t="s">
        <v>1011</v>
      </c>
      <c r="X568" s="109" t="s">
        <v>162</v>
      </c>
      <c r="Y568" s="109" t="s">
        <v>2043</v>
      </c>
      <c r="Z568" s="109" t="s">
        <v>1908</v>
      </c>
      <c r="AA568" s="109" t="s">
        <v>1034</v>
      </c>
      <c r="AB568" s="109" t="s">
        <v>1034</v>
      </c>
      <c r="AC568" s="109" t="s">
        <v>2044</v>
      </c>
      <c r="AD568" s="166" t="s">
        <v>1038</v>
      </c>
      <c r="AE568" s="165" t="s">
        <v>48</v>
      </c>
      <c r="AF568" s="109" t="s">
        <v>48</v>
      </c>
      <c r="AG568" s="109" t="s">
        <v>48</v>
      </c>
      <c r="AH568" s="109" t="s">
        <v>48</v>
      </c>
      <c r="AI568" s="109" t="s">
        <v>48</v>
      </c>
      <c r="AJ568" s="109" t="s">
        <v>48</v>
      </c>
      <c r="AK568" s="166" t="s">
        <v>48</v>
      </c>
      <c r="AL568" s="165" t="s">
        <v>162</v>
      </c>
      <c r="AM568" s="109" t="s">
        <v>162</v>
      </c>
      <c r="AN568" s="109" t="s">
        <v>48</v>
      </c>
      <c r="AO568" s="109" t="s">
        <v>48</v>
      </c>
      <c r="AP568" s="109" t="s">
        <v>48</v>
      </c>
      <c r="AQ568" s="109" t="s">
        <v>48</v>
      </c>
      <c r="AR568" s="109" t="s">
        <v>48</v>
      </c>
      <c r="AS568" s="166" t="s">
        <v>48</v>
      </c>
      <c r="AT568" s="165" t="s">
        <v>48</v>
      </c>
      <c r="AU568" s="109" t="s">
        <v>48</v>
      </c>
      <c r="AV568" s="109" t="s">
        <v>48</v>
      </c>
      <c r="AW568" s="109" t="s">
        <v>48</v>
      </c>
      <c r="AX568" s="109" t="s">
        <v>48</v>
      </c>
      <c r="AY568" s="109" t="s">
        <v>48</v>
      </c>
      <c r="AZ568" s="166" t="s">
        <v>48</v>
      </c>
      <c r="BA568" s="162" t="s">
        <v>1043</v>
      </c>
      <c r="BB568" s="109" t="s">
        <v>49</v>
      </c>
      <c r="BC568" s="79"/>
    </row>
    <row r="569" spans="1:55" ht="75" hidden="1" customHeight="1">
      <c r="A569" s="109" t="s">
        <v>38</v>
      </c>
      <c r="B569" s="109" t="s">
        <v>2470</v>
      </c>
      <c r="C569" s="109" t="s">
        <v>172</v>
      </c>
      <c r="D569" s="109" t="s">
        <v>173</v>
      </c>
      <c r="E569" s="161">
        <v>15000</v>
      </c>
      <c r="F569" s="165" t="s">
        <v>173</v>
      </c>
      <c r="G569" s="109" t="s">
        <v>173</v>
      </c>
      <c r="H569" s="109" t="s">
        <v>48</v>
      </c>
      <c r="I569" s="109" t="s">
        <v>48</v>
      </c>
      <c r="J569" s="109" t="s">
        <v>48</v>
      </c>
      <c r="K569" s="109" t="s">
        <v>48</v>
      </c>
      <c r="L569" s="109" t="s">
        <v>48</v>
      </c>
      <c r="M569" s="166" t="s">
        <v>48</v>
      </c>
      <c r="N569" s="162" t="s">
        <v>48</v>
      </c>
      <c r="O569" s="109" t="s">
        <v>48</v>
      </c>
      <c r="P569" s="162" t="s">
        <v>48</v>
      </c>
      <c r="Q569" s="109" t="s">
        <v>48</v>
      </c>
      <c r="R569" s="109" t="s">
        <v>48</v>
      </c>
      <c r="S569" s="109" t="s">
        <v>48</v>
      </c>
      <c r="T569" s="109" t="s">
        <v>48</v>
      </c>
      <c r="U569" s="109" t="s">
        <v>48</v>
      </c>
      <c r="V569" s="166" t="s">
        <v>48</v>
      </c>
      <c r="W569" s="165" t="s">
        <v>1011</v>
      </c>
      <c r="X569" s="109" t="s">
        <v>173</v>
      </c>
      <c r="Y569" s="109" t="s">
        <v>2043</v>
      </c>
      <c r="Z569" s="109" t="s">
        <v>1908</v>
      </c>
      <c r="AA569" s="109" t="s">
        <v>1034</v>
      </c>
      <c r="AB569" s="109" t="s">
        <v>616</v>
      </c>
      <c r="AC569" s="109" t="s">
        <v>2044</v>
      </c>
      <c r="AD569" s="166" t="s">
        <v>1040</v>
      </c>
      <c r="AE569" s="165" t="s">
        <v>48</v>
      </c>
      <c r="AF569" s="109" t="s">
        <v>48</v>
      </c>
      <c r="AG569" s="109" t="s">
        <v>48</v>
      </c>
      <c r="AH569" s="109" t="s">
        <v>48</v>
      </c>
      <c r="AI569" s="109" t="s">
        <v>48</v>
      </c>
      <c r="AJ569" s="109" t="s">
        <v>48</v>
      </c>
      <c r="AK569" s="166" t="s">
        <v>48</v>
      </c>
      <c r="AL569" s="165" t="s">
        <v>173</v>
      </c>
      <c r="AM569" s="109" t="s">
        <v>173</v>
      </c>
      <c r="AN569" s="109" t="s">
        <v>48</v>
      </c>
      <c r="AO569" s="109" t="s">
        <v>48</v>
      </c>
      <c r="AP569" s="109" t="s">
        <v>48</v>
      </c>
      <c r="AQ569" s="109" t="s">
        <v>48</v>
      </c>
      <c r="AR569" s="109" t="s">
        <v>48</v>
      </c>
      <c r="AS569" s="166" t="s">
        <v>48</v>
      </c>
      <c r="AT569" s="165" t="s">
        <v>48</v>
      </c>
      <c r="AU569" s="109" t="s">
        <v>48</v>
      </c>
      <c r="AV569" s="109" t="s">
        <v>48</v>
      </c>
      <c r="AW569" s="109" t="s">
        <v>48</v>
      </c>
      <c r="AX569" s="109" t="s">
        <v>48</v>
      </c>
      <c r="AY569" s="109" t="s">
        <v>48</v>
      </c>
      <c r="AZ569" s="166" t="s">
        <v>48</v>
      </c>
      <c r="BA569" s="162" t="s">
        <v>1033</v>
      </c>
      <c r="BB569" s="109" t="s">
        <v>49</v>
      </c>
      <c r="BC569" s="79"/>
    </row>
    <row r="570" spans="1:55" ht="75" hidden="1" customHeight="1">
      <c r="A570" s="109" t="s">
        <v>38</v>
      </c>
      <c r="B570" s="109" t="s">
        <v>2024</v>
      </c>
      <c r="C570" s="109" t="s">
        <v>172</v>
      </c>
      <c r="D570" s="109" t="s">
        <v>173</v>
      </c>
      <c r="E570" s="161">
        <v>15000</v>
      </c>
      <c r="F570" s="165" t="s">
        <v>173</v>
      </c>
      <c r="G570" s="109" t="s">
        <v>173</v>
      </c>
      <c r="H570" s="109" t="s">
        <v>48</v>
      </c>
      <c r="I570" s="109" t="s">
        <v>48</v>
      </c>
      <c r="J570" s="109" t="s">
        <v>48</v>
      </c>
      <c r="K570" s="109" t="s">
        <v>48</v>
      </c>
      <c r="L570" s="109" t="s">
        <v>48</v>
      </c>
      <c r="M570" s="166" t="s">
        <v>48</v>
      </c>
      <c r="N570" s="162" t="s">
        <v>48</v>
      </c>
      <c r="O570" s="109" t="s">
        <v>48</v>
      </c>
      <c r="P570" s="162" t="s">
        <v>48</v>
      </c>
      <c r="Q570" s="109" t="s">
        <v>48</v>
      </c>
      <c r="R570" s="109" t="s">
        <v>48</v>
      </c>
      <c r="S570" s="109" t="s">
        <v>48</v>
      </c>
      <c r="T570" s="109" t="s">
        <v>48</v>
      </c>
      <c r="U570" s="109" t="s">
        <v>48</v>
      </c>
      <c r="V570" s="166" t="s">
        <v>48</v>
      </c>
      <c r="W570" s="165" t="s">
        <v>1011</v>
      </c>
      <c r="X570" s="109" t="s">
        <v>173</v>
      </c>
      <c r="Y570" s="109" t="s">
        <v>2043</v>
      </c>
      <c r="Z570" s="109" t="s">
        <v>1908</v>
      </c>
      <c r="AA570" s="109" t="s">
        <v>1034</v>
      </c>
      <c r="AB570" s="109" t="s">
        <v>616</v>
      </c>
      <c r="AC570" s="109" t="s">
        <v>2044</v>
      </c>
      <c r="AD570" s="166" t="s">
        <v>1040</v>
      </c>
      <c r="AE570" s="165" t="s">
        <v>48</v>
      </c>
      <c r="AF570" s="109" t="s">
        <v>48</v>
      </c>
      <c r="AG570" s="109" t="s">
        <v>48</v>
      </c>
      <c r="AH570" s="109" t="s">
        <v>48</v>
      </c>
      <c r="AI570" s="109" t="s">
        <v>48</v>
      </c>
      <c r="AJ570" s="109" t="s">
        <v>48</v>
      </c>
      <c r="AK570" s="166" t="s">
        <v>48</v>
      </c>
      <c r="AL570" s="165" t="s">
        <v>173</v>
      </c>
      <c r="AM570" s="109" t="s">
        <v>173</v>
      </c>
      <c r="AN570" s="109" t="s">
        <v>48</v>
      </c>
      <c r="AO570" s="109" t="s">
        <v>48</v>
      </c>
      <c r="AP570" s="109" t="s">
        <v>48</v>
      </c>
      <c r="AQ570" s="109" t="s">
        <v>48</v>
      </c>
      <c r="AR570" s="109" t="s">
        <v>48</v>
      </c>
      <c r="AS570" s="166" t="s">
        <v>48</v>
      </c>
      <c r="AT570" s="165" t="s">
        <v>48</v>
      </c>
      <c r="AU570" s="109" t="s">
        <v>48</v>
      </c>
      <c r="AV570" s="109" t="s">
        <v>48</v>
      </c>
      <c r="AW570" s="109" t="s">
        <v>48</v>
      </c>
      <c r="AX570" s="109" t="s">
        <v>48</v>
      </c>
      <c r="AY570" s="109" t="s">
        <v>48</v>
      </c>
      <c r="AZ570" s="166" t="s">
        <v>48</v>
      </c>
      <c r="BA570" s="162" t="s">
        <v>1033</v>
      </c>
      <c r="BB570" s="109" t="s">
        <v>49</v>
      </c>
      <c r="BC570" s="79"/>
    </row>
    <row r="571" spans="1:55" ht="75" hidden="1" customHeight="1">
      <c r="A571" s="109" t="s">
        <v>2341</v>
      </c>
      <c r="B571" s="109" t="s">
        <v>2474</v>
      </c>
      <c r="C571" s="109" t="s">
        <v>172</v>
      </c>
      <c r="D571" s="109" t="s">
        <v>173</v>
      </c>
      <c r="E571" s="161">
        <v>30000</v>
      </c>
      <c r="F571" s="165" t="s">
        <v>183</v>
      </c>
      <c r="G571" s="109" t="s">
        <v>183</v>
      </c>
      <c r="H571" s="109" t="s">
        <v>497</v>
      </c>
      <c r="I571" s="109" t="s">
        <v>1908</v>
      </c>
      <c r="J571" s="109" t="s">
        <v>614</v>
      </c>
      <c r="K571" s="109" t="s">
        <v>614</v>
      </c>
      <c r="L571" s="109" t="s">
        <v>496</v>
      </c>
      <c r="M571" s="166" t="s">
        <v>1048</v>
      </c>
      <c r="N571" s="162" t="s">
        <v>48</v>
      </c>
      <c r="O571" s="109" t="s">
        <v>48</v>
      </c>
      <c r="P571" s="162" t="s">
        <v>48</v>
      </c>
      <c r="Q571" s="109" t="s">
        <v>48</v>
      </c>
      <c r="R571" s="109" t="s">
        <v>48</v>
      </c>
      <c r="S571" s="109" t="s">
        <v>48</v>
      </c>
      <c r="T571" s="109" t="s">
        <v>48</v>
      </c>
      <c r="U571" s="109" t="s">
        <v>48</v>
      </c>
      <c r="V571" s="166" t="s">
        <v>48</v>
      </c>
      <c r="W571" s="165" t="s">
        <v>1011</v>
      </c>
      <c r="X571" s="109" t="s">
        <v>173</v>
      </c>
      <c r="Y571" s="109" t="s">
        <v>2033</v>
      </c>
      <c r="Z571" s="109" t="s">
        <v>1908</v>
      </c>
      <c r="AA571" s="109" t="s">
        <v>1921</v>
      </c>
      <c r="AB571" s="109" t="s">
        <v>48</v>
      </c>
      <c r="AC571" s="109" t="s">
        <v>2038</v>
      </c>
      <c r="AD571" s="166" t="s">
        <v>1040</v>
      </c>
      <c r="AE571" s="165" t="s">
        <v>80</v>
      </c>
      <c r="AF571" s="109" t="s">
        <v>174</v>
      </c>
      <c r="AG571" s="109" t="s">
        <v>2361</v>
      </c>
      <c r="AH571" s="109" t="s">
        <v>2360</v>
      </c>
      <c r="AI571" s="109" t="s">
        <v>618</v>
      </c>
      <c r="AJ571" s="109" t="s">
        <v>264</v>
      </c>
      <c r="AK571" s="166" t="s">
        <v>495</v>
      </c>
      <c r="AL571" s="165" t="s">
        <v>173</v>
      </c>
      <c r="AM571" s="109" t="s">
        <v>173</v>
      </c>
      <c r="AN571" s="109" t="s">
        <v>48</v>
      </c>
      <c r="AO571" s="109" t="s">
        <v>48</v>
      </c>
      <c r="AP571" s="109" t="s">
        <v>48</v>
      </c>
      <c r="AQ571" s="109" t="s">
        <v>48</v>
      </c>
      <c r="AR571" s="109" t="s">
        <v>48</v>
      </c>
      <c r="AS571" s="166" t="s">
        <v>48</v>
      </c>
      <c r="AT571" s="165" t="s">
        <v>48</v>
      </c>
      <c r="AU571" s="109" t="s">
        <v>48</v>
      </c>
      <c r="AV571" s="109" t="s">
        <v>48</v>
      </c>
      <c r="AW571" s="109" t="s">
        <v>48</v>
      </c>
      <c r="AX571" s="109" t="s">
        <v>48</v>
      </c>
      <c r="AY571" s="109" t="s">
        <v>48</v>
      </c>
      <c r="AZ571" s="166" t="s">
        <v>48</v>
      </c>
      <c r="BA571" s="162" t="s">
        <v>1049</v>
      </c>
      <c r="BB571" s="109" t="s">
        <v>49</v>
      </c>
      <c r="BC571" s="79"/>
    </row>
    <row r="572" spans="1:55" ht="75" hidden="1" customHeight="1">
      <c r="A572" s="109" t="s">
        <v>2340</v>
      </c>
      <c r="B572" s="109" t="s">
        <v>2472</v>
      </c>
      <c r="C572" s="109" t="s">
        <v>172</v>
      </c>
      <c r="D572" s="109" t="s">
        <v>173</v>
      </c>
      <c r="E572" s="161">
        <v>30000</v>
      </c>
      <c r="F572" s="165" t="s">
        <v>177</v>
      </c>
      <c r="G572" s="109" t="s">
        <v>177</v>
      </c>
      <c r="H572" s="109" t="s">
        <v>2358</v>
      </c>
      <c r="I572" s="109" t="s">
        <v>1908</v>
      </c>
      <c r="J572" s="109" t="s">
        <v>628</v>
      </c>
      <c r="K572" s="109" t="s">
        <v>628</v>
      </c>
      <c r="L572" s="109" t="s">
        <v>2358</v>
      </c>
      <c r="M572" s="166" t="s">
        <v>2359</v>
      </c>
      <c r="N572" s="162" t="s">
        <v>48</v>
      </c>
      <c r="O572" s="109" t="s">
        <v>48</v>
      </c>
      <c r="P572" s="162" t="s">
        <v>48</v>
      </c>
      <c r="Q572" s="109" t="s">
        <v>48</v>
      </c>
      <c r="R572" s="109" t="s">
        <v>48</v>
      </c>
      <c r="S572" s="109" t="s">
        <v>48</v>
      </c>
      <c r="T572" s="109" t="s">
        <v>48</v>
      </c>
      <c r="U572" s="109" t="s">
        <v>48</v>
      </c>
      <c r="V572" s="166" t="s">
        <v>48</v>
      </c>
      <c r="W572" s="165" t="s">
        <v>1011</v>
      </c>
      <c r="X572" s="109" t="s">
        <v>173</v>
      </c>
      <c r="Y572" s="109" t="s">
        <v>2033</v>
      </c>
      <c r="Z572" s="109" t="s">
        <v>1908</v>
      </c>
      <c r="AA572" s="109" t="s">
        <v>1034</v>
      </c>
      <c r="AB572" s="109" t="s">
        <v>48</v>
      </c>
      <c r="AC572" s="109" t="s">
        <v>2038</v>
      </c>
      <c r="AD572" s="166" t="s">
        <v>1928</v>
      </c>
      <c r="AE572" s="165" t="s">
        <v>80</v>
      </c>
      <c r="AF572" s="109" t="s">
        <v>174</v>
      </c>
      <c r="AG572" s="109" t="s">
        <v>2361</v>
      </c>
      <c r="AH572" s="109" t="s">
        <v>2360</v>
      </c>
      <c r="AI572" s="109" t="s">
        <v>618</v>
      </c>
      <c r="AJ572" s="109" t="s">
        <v>264</v>
      </c>
      <c r="AK572" s="166" t="s">
        <v>495</v>
      </c>
      <c r="AL572" s="165" t="s">
        <v>173</v>
      </c>
      <c r="AM572" s="109" t="s">
        <v>173</v>
      </c>
      <c r="AN572" s="109" t="s">
        <v>48</v>
      </c>
      <c r="AO572" s="109" t="s">
        <v>48</v>
      </c>
      <c r="AP572" s="109" t="s">
        <v>48</v>
      </c>
      <c r="AQ572" s="109" t="s">
        <v>48</v>
      </c>
      <c r="AR572" s="109" t="s">
        <v>48</v>
      </c>
      <c r="AS572" s="166" t="s">
        <v>48</v>
      </c>
      <c r="AT572" s="165" t="s">
        <v>48</v>
      </c>
      <c r="AU572" s="109" t="s">
        <v>48</v>
      </c>
      <c r="AV572" s="109" t="s">
        <v>48</v>
      </c>
      <c r="AW572" s="109" t="s">
        <v>48</v>
      </c>
      <c r="AX572" s="109" t="s">
        <v>48</v>
      </c>
      <c r="AY572" s="109" t="s">
        <v>48</v>
      </c>
      <c r="AZ572" s="166" t="s">
        <v>48</v>
      </c>
      <c r="BA572" s="162" t="s">
        <v>1061</v>
      </c>
      <c r="BB572" s="109" t="s">
        <v>49</v>
      </c>
      <c r="BC572" s="79"/>
    </row>
    <row r="573" spans="1:55" ht="75" hidden="1" customHeight="1">
      <c r="A573" s="109" t="s">
        <v>2339</v>
      </c>
      <c r="B573" s="109" t="s">
        <v>2468</v>
      </c>
      <c r="C573" s="109" t="s">
        <v>172</v>
      </c>
      <c r="D573" s="109" t="s">
        <v>173</v>
      </c>
      <c r="E573" s="161">
        <v>15000</v>
      </c>
      <c r="F573" s="165" t="s">
        <v>173</v>
      </c>
      <c r="G573" s="109" t="s">
        <v>173</v>
      </c>
      <c r="H573" s="109" t="s">
        <v>48</v>
      </c>
      <c r="I573" s="109" t="s">
        <v>48</v>
      </c>
      <c r="J573" s="109" t="s">
        <v>48</v>
      </c>
      <c r="K573" s="109" t="s">
        <v>48</v>
      </c>
      <c r="L573" s="109" t="s">
        <v>48</v>
      </c>
      <c r="M573" s="166" t="s">
        <v>48</v>
      </c>
      <c r="N573" s="162" t="s">
        <v>48</v>
      </c>
      <c r="O573" s="109" t="s">
        <v>48</v>
      </c>
      <c r="P573" s="162" t="s">
        <v>48</v>
      </c>
      <c r="Q573" s="109" t="s">
        <v>48</v>
      </c>
      <c r="R573" s="109" t="s">
        <v>48</v>
      </c>
      <c r="S573" s="109" t="s">
        <v>48</v>
      </c>
      <c r="T573" s="109" t="s">
        <v>48</v>
      </c>
      <c r="U573" s="109" t="s">
        <v>48</v>
      </c>
      <c r="V573" s="166" t="s">
        <v>48</v>
      </c>
      <c r="W573" s="165" t="s">
        <v>1011</v>
      </c>
      <c r="X573" s="109" t="s">
        <v>173</v>
      </c>
      <c r="Y573" s="109" t="s">
        <v>2043</v>
      </c>
      <c r="Z573" s="109" t="s">
        <v>1908</v>
      </c>
      <c r="AA573" s="109" t="s">
        <v>1034</v>
      </c>
      <c r="AB573" s="109" t="s">
        <v>616</v>
      </c>
      <c r="AC573" s="109" t="s">
        <v>1036</v>
      </c>
      <c r="AD573" s="166" t="s">
        <v>1040</v>
      </c>
      <c r="AE573" s="165" t="s">
        <v>48</v>
      </c>
      <c r="AF573" s="109" t="s">
        <v>48</v>
      </c>
      <c r="AG573" s="109" t="s">
        <v>48</v>
      </c>
      <c r="AH573" s="109" t="s">
        <v>48</v>
      </c>
      <c r="AI573" s="109" t="s">
        <v>48</v>
      </c>
      <c r="AJ573" s="109" t="s">
        <v>48</v>
      </c>
      <c r="AK573" s="166" t="s">
        <v>48</v>
      </c>
      <c r="AL573" s="165" t="s">
        <v>173</v>
      </c>
      <c r="AM573" s="109" t="s">
        <v>173</v>
      </c>
      <c r="AN573" s="109" t="s">
        <v>48</v>
      </c>
      <c r="AO573" s="109" t="s">
        <v>48</v>
      </c>
      <c r="AP573" s="109" t="s">
        <v>48</v>
      </c>
      <c r="AQ573" s="109" t="s">
        <v>48</v>
      </c>
      <c r="AR573" s="109" t="s">
        <v>48</v>
      </c>
      <c r="AS573" s="166" t="s">
        <v>48</v>
      </c>
      <c r="AT573" s="165" t="s">
        <v>48</v>
      </c>
      <c r="AU573" s="109" t="s">
        <v>48</v>
      </c>
      <c r="AV573" s="109" t="s">
        <v>48</v>
      </c>
      <c r="AW573" s="109" t="s">
        <v>48</v>
      </c>
      <c r="AX573" s="109" t="s">
        <v>48</v>
      </c>
      <c r="AY573" s="109" t="s">
        <v>48</v>
      </c>
      <c r="AZ573" s="166" t="s">
        <v>48</v>
      </c>
      <c r="BA573" s="162" t="s">
        <v>1033</v>
      </c>
      <c r="BB573" s="109" t="s">
        <v>49</v>
      </c>
      <c r="BC573" s="79"/>
    </row>
    <row r="574" spans="1:55" ht="75" hidden="1" customHeight="1">
      <c r="A574" s="109" t="s">
        <v>38</v>
      </c>
      <c r="B574" s="109" t="s">
        <v>2032</v>
      </c>
      <c r="C574" s="109" t="s">
        <v>170</v>
      </c>
      <c r="D574" s="109" t="s">
        <v>568</v>
      </c>
      <c r="E574" s="161">
        <v>15000</v>
      </c>
      <c r="F574" s="165" t="s">
        <v>568</v>
      </c>
      <c r="G574" s="109" t="s">
        <v>568</v>
      </c>
      <c r="H574" s="109" t="s">
        <v>48</v>
      </c>
      <c r="I574" s="109" t="s">
        <v>48</v>
      </c>
      <c r="J574" s="109" t="s">
        <v>48</v>
      </c>
      <c r="K574" s="109" t="s">
        <v>48</v>
      </c>
      <c r="L574" s="109" t="s">
        <v>48</v>
      </c>
      <c r="M574" s="166" t="s">
        <v>48</v>
      </c>
      <c r="N574" s="162" t="s">
        <v>48</v>
      </c>
      <c r="O574" s="109" t="s">
        <v>48</v>
      </c>
      <c r="P574" s="162" t="s">
        <v>48</v>
      </c>
      <c r="Q574" s="109" t="s">
        <v>48</v>
      </c>
      <c r="R574" s="109" t="s">
        <v>48</v>
      </c>
      <c r="S574" s="109" t="s">
        <v>48</v>
      </c>
      <c r="T574" s="109" t="s">
        <v>48</v>
      </c>
      <c r="U574" s="109" t="s">
        <v>48</v>
      </c>
      <c r="V574" s="166" t="s">
        <v>48</v>
      </c>
      <c r="W574" s="165" t="s">
        <v>1011</v>
      </c>
      <c r="X574" s="109" t="s">
        <v>568</v>
      </c>
      <c r="Y574" s="109" t="s">
        <v>2043</v>
      </c>
      <c r="Z574" s="109" t="s">
        <v>1908</v>
      </c>
      <c r="AA574" s="109" t="s">
        <v>1034</v>
      </c>
      <c r="AB574" s="109" t="s">
        <v>1034</v>
      </c>
      <c r="AC574" s="109" t="s">
        <v>2044</v>
      </c>
      <c r="AD574" s="166" t="s">
        <v>1038</v>
      </c>
      <c r="AE574" s="165" t="s">
        <v>48</v>
      </c>
      <c r="AF574" s="109" t="s">
        <v>48</v>
      </c>
      <c r="AG574" s="109" t="s">
        <v>48</v>
      </c>
      <c r="AH574" s="109" t="s">
        <v>48</v>
      </c>
      <c r="AI574" s="109" t="s">
        <v>48</v>
      </c>
      <c r="AJ574" s="109" t="s">
        <v>48</v>
      </c>
      <c r="AK574" s="166" t="s">
        <v>48</v>
      </c>
      <c r="AL574" s="165" t="s">
        <v>568</v>
      </c>
      <c r="AM574" s="109" t="s">
        <v>568</v>
      </c>
      <c r="AN574" s="109" t="s">
        <v>48</v>
      </c>
      <c r="AO574" s="109" t="s">
        <v>48</v>
      </c>
      <c r="AP574" s="109" t="s">
        <v>48</v>
      </c>
      <c r="AQ574" s="109" t="s">
        <v>48</v>
      </c>
      <c r="AR574" s="109" t="s">
        <v>48</v>
      </c>
      <c r="AS574" s="166" t="s">
        <v>48</v>
      </c>
      <c r="AT574" s="165" t="s">
        <v>48</v>
      </c>
      <c r="AU574" s="109" t="s">
        <v>48</v>
      </c>
      <c r="AV574" s="109" t="s">
        <v>48</v>
      </c>
      <c r="AW574" s="109" t="s">
        <v>48</v>
      </c>
      <c r="AX574" s="109" t="s">
        <v>48</v>
      </c>
      <c r="AY574" s="109" t="s">
        <v>48</v>
      </c>
      <c r="AZ574" s="166" t="s">
        <v>48</v>
      </c>
      <c r="BA574" s="162" t="s">
        <v>1043</v>
      </c>
      <c r="BB574" s="109" t="s">
        <v>49</v>
      </c>
      <c r="BC574" s="79"/>
    </row>
    <row r="575" spans="1:55" ht="75" hidden="1" customHeight="1">
      <c r="A575" s="109" t="s">
        <v>38</v>
      </c>
      <c r="B575" s="109" t="s">
        <v>2032</v>
      </c>
      <c r="C575" s="109" t="s">
        <v>170</v>
      </c>
      <c r="D575" s="109" t="s">
        <v>171</v>
      </c>
      <c r="E575" s="161">
        <v>15000</v>
      </c>
      <c r="F575" s="165" t="s">
        <v>171</v>
      </c>
      <c r="G575" s="109" t="s">
        <v>171</v>
      </c>
      <c r="H575" s="109" t="s">
        <v>48</v>
      </c>
      <c r="I575" s="109" t="s">
        <v>48</v>
      </c>
      <c r="J575" s="109" t="s">
        <v>48</v>
      </c>
      <c r="K575" s="109" t="s">
        <v>48</v>
      </c>
      <c r="L575" s="109" t="s">
        <v>48</v>
      </c>
      <c r="M575" s="166" t="s">
        <v>48</v>
      </c>
      <c r="N575" s="162" t="s">
        <v>48</v>
      </c>
      <c r="O575" s="109" t="s">
        <v>48</v>
      </c>
      <c r="P575" s="162" t="s">
        <v>48</v>
      </c>
      <c r="Q575" s="109" t="s">
        <v>48</v>
      </c>
      <c r="R575" s="109" t="s">
        <v>48</v>
      </c>
      <c r="S575" s="109" t="s">
        <v>48</v>
      </c>
      <c r="T575" s="109" t="s">
        <v>48</v>
      </c>
      <c r="U575" s="109" t="s">
        <v>48</v>
      </c>
      <c r="V575" s="166" t="s">
        <v>48</v>
      </c>
      <c r="W575" s="165" t="s">
        <v>1011</v>
      </c>
      <c r="X575" s="109" t="s">
        <v>171</v>
      </c>
      <c r="Y575" s="109" t="s">
        <v>2043</v>
      </c>
      <c r="Z575" s="109" t="s">
        <v>1908</v>
      </c>
      <c r="AA575" s="109" t="s">
        <v>1034</v>
      </c>
      <c r="AB575" s="109" t="s">
        <v>1034</v>
      </c>
      <c r="AC575" s="109" t="s">
        <v>2044</v>
      </c>
      <c r="AD575" s="166" t="s">
        <v>1038</v>
      </c>
      <c r="AE575" s="165" t="s">
        <v>48</v>
      </c>
      <c r="AF575" s="109" t="s">
        <v>48</v>
      </c>
      <c r="AG575" s="109" t="s">
        <v>48</v>
      </c>
      <c r="AH575" s="109" t="s">
        <v>48</v>
      </c>
      <c r="AI575" s="109" t="s">
        <v>48</v>
      </c>
      <c r="AJ575" s="109" t="s">
        <v>48</v>
      </c>
      <c r="AK575" s="166" t="s">
        <v>48</v>
      </c>
      <c r="AL575" s="165" t="s">
        <v>171</v>
      </c>
      <c r="AM575" s="109" t="s">
        <v>171</v>
      </c>
      <c r="AN575" s="109" t="s">
        <v>48</v>
      </c>
      <c r="AO575" s="109" t="s">
        <v>48</v>
      </c>
      <c r="AP575" s="109" t="s">
        <v>48</v>
      </c>
      <c r="AQ575" s="109" t="s">
        <v>48</v>
      </c>
      <c r="AR575" s="109" t="s">
        <v>48</v>
      </c>
      <c r="AS575" s="166" t="s">
        <v>48</v>
      </c>
      <c r="AT575" s="165" t="s">
        <v>48</v>
      </c>
      <c r="AU575" s="109" t="s">
        <v>48</v>
      </c>
      <c r="AV575" s="109" t="s">
        <v>48</v>
      </c>
      <c r="AW575" s="109" t="s">
        <v>48</v>
      </c>
      <c r="AX575" s="109" t="s">
        <v>48</v>
      </c>
      <c r="AY575" s="109" t="s">
        <v>48</v>
      </c>
      <c r="AZ575" s="166" t="s">
        <v>48</v>
      </c>
      <c r="BA575" s="162" t="s">
        <v>1043</v>
      </c>
      <c r="BB575" s="109" t="s">
        <v>49</v>
      </c>
      <c r="BC575" s="79"/>
    </row>
    <row r="576" spans="1:55" ht="75" hidden="1" customHeight="1">
      <c r="A576" s="109" t="s">
        <v>38</v>
      </c>
      <c r="B576" s="109" t="s">
        <v>2024</v>
      </c>
      <c r="C576" s="109" t="s">
        <v>170</v>
      </c>
      <c r="D576" s="109" t="s">
        <v>171</v>
      </c>
      <c r="E576" s="161">
        <v>15000</v>
      </c>
      <c r="F576" s="165" t="s">
        <v>171</v>
      </c>
      <c r="G576" s="109" t="s">
        <v>171</v>
      </c>
      <c r="H576" s="109" t="s">
        <v>48</v>
      </c>
      <c r="I576" s="109" t="s">
        <v>48</v>
      </c>
      <c r="J576" s="109" t="s">
        <v>48</v>
      </c>
      <c r="K576" s="109" t="s">
        <v>48</v>
      </c>
      <c r="L576" s="109" t="s">
        <v>48</v>
      </c>
      <c r="M576" s="166" t="s">
        <v>48</v>
      </c>
      <c r="N576" s="162" t="s">
        <v>48</v>
      </c>
      <c r="O576" s="109" t="s">
        <v>48</v>
      </c>
      <c r="P576" s="162" t="s">
        <v>48</v>
      </c>
      <c r="Q576" s="109" t="s">
        <v>48</v>
      </c>
      <c r="R576" s="109" t="s">
        <v>48</v>
      </c>
      <c r="S576" s="109" t="s">
        <v>48</v>
      </c>
      <c r="T576" s="109" t="s">
        <v>48</v>
      </c>
      <c r="U576" s="109" t="s">
        <v>48</v>
      </c>
      <c r="V576" s="166" t="s">
        <v>48</v>
      </c>
      <c r="W576" s="165" t="s">
        <v>1011</v>
      </c>
      <c r="X576" s="109" t="s">
        <v>171</v>
      </c>
      <c r="Y576" s="109" t="s">
        <v>2043</v>
      </c>
      <c r="Z576" s="109" t="s">
        <v>1908</v>
      </c>
      <c r="AA576" s="109" t="s">
        <v>1034</v>
      </c>
      <c r="AB576" s="109" t="s">
        <v>1034</v>
      </c>
      <c r="AC576" s="109" t="s">
        <v>2044</v>
      </c>
      <c r="AD576" s="166" t="s">
        <v>1038</v>
      </c>
      <c r="AE576" s="165" t="s">
        <v>48</v>
      </c>
      <c r="AF576" s="109" t="s">
        <v>48</v>
      </c>
      <c r="AG576" s="109" t="s">
        <v>48</v>
      </c>
      <c r="AH576" s="109" t="s">
        <v>48</v>
      </c>
      <c r="AI576" s="109" t="s">
        <v>48</v>
      </c>
      <c r="AJ576" s="109" t="s">
        <v>48</v>
      </c>
      <c r="AK576" s="166" t="s">
        <v>48</v>
      </c>
      <c r="AL576" s="165" t="s">
        <v>171</v>
      </c>
      <c r="AM576" s="109" t="s">
        <v>171</v>
      </c>
      <c r="AN576" s="109" t="s">
        <v>48</v>
      </c>
      <c r="AO576" s="109" t="s">
        <v>48</v>
      </c>
      <c r="AP576" s="109" t="s">
        <v>48</v>
      </c>
      <c r="AQ576" s="109" t="s">
        <v>48</v>
      </c>
      <c r="AR576" s="109" t="s">
        <v>48</v>
      </c>
      <c r="AS576" s="166" t="s">
        <v>48</v>
      </c>
      <c r="AT576" s="165" t="s">
        <v>48</v>
      </c>
      <c r="AU576" s="109" t="s">
        <v>48</v>
      </c>
      <c r="AV576" s="109" t="s">
        <v>48</v>
      </c>
      <c r="AW576" s="109" t="s">
        <v>48</v>
      </c>
      <c r="AX576" s="109" t="s">
        <v>48</v>
      </c>
      <c r="AY576" s="109" t="s">
        <v>48</v>
      </c>
      <c r="AZ576" s="166" t="s">
        <v>48</v>
      </c>
      <c r="BA576" s="162" t="s">
        <v>1043</v>
      </c>
      <c r="BB576" s="109" t="s">
        <v>49</v>
      </c>
      <c r="BC576" s="79"/>
    </row>
    <row r="577" spans="1:55" ht="75" hidden="1" customHeight="1">
      <c r="A577" s="109" t="s">
        <v>2341</v>
      </c>
      <c r="B577" s="109" t="s">
        <v>2023</v>
      </c>
      <c r="C577" s="109" t="s">
        <v>170</v>
      </c>
      <c r="D577" s="109" t="s">
        <v>171</v>
      </c>
      <c r="E577" s="161">
        <v>30000</v>
      </c>
      <c r="F577" s="165" t="s">
        <v>183</v>
      </c>
      <c r="G577" s="109" t="s">
        <v>183</v>
      </c>
      <c r="H577" s="109" t="s">
        <v>497</v>
      </c>
      <c r="I577" s="109" t="s">
        <v>1908</v>
      </c>
      <c r="J577" s="109" t="s">
        <v>614</v>
      </c>
      <c r="K577" s="109" t="s">
        <v>614</v>
      </c>
      <c r="L577" s="109" t="s">
        <v>496</v>
      </c>
      <c r="M577" s="166" t="s">
        <v>1048</v>
      </c>
      <c r="N577" s="162" t="s">
        <v>48</v>
      </c>
      <c r="O577" s="109" t="s">
        <v>48</v>
      </c>
      <c r="P577" s="162" t="s">
        <v>48</v>
      </c>
      <c r="Q577" s="109" t="s">
        <v>48</v>
      </c>
      <c r="R577" s="109" t="s">
        <v>48</v>
      </c>
      <c r="S577" s="109" t="s">
        <v>48</v>
      </c>
      <c r="T577" s="109" t="s">
        <v>48</v>
      </c>
      <c r="U577" s="109" t="s">
        <v>48</v>
      </c>
      <c r="V577" s="166" t="s">
        <v>48</v>
      </c>
      <c r="W577" s="165" t="s">
        <v>1011</v>
      </c>
      <c r="X577" s="109" t="s">
        <v>171</v>
      </c>
      <c r="Y577" s="109" t="s">
        <v>2033</v>
      </c>
      <c r="Z577" s="109" t="s">
        <v>1908</v>
      </c>
      <c r="AA577" s="109" t="s">
        <v>1921</v>
      </c>
      <c r="AB577" s="109" t="s">
        <v>48</v>
      </c>
      <c r="AC577" s="109" t="s">
        <v>2038</v>
      </c>
      <c r="AD577" s="166" t="s">
        <v>1040</v>
      </c>
      <c r="AE577" s="165" t="s">
        <v>48</v>
      </c>
      <c r="AF577" s="109" t="s">
        <v>48</v>
      </c>
      <c r="AG577" s="109" t="s">
        <v>48</v>
      </c>
      <c r="AH577" s="109" t="s">
        <v>48</v>
      </c>
      <c r="AI577" s="109" t="s">
        <v>48</v>
      </c>
      <c r="AJ577" s="109" t="s">
        <v>48</v>
      </c>
      <c r="AK577" s="166" t="s">
        <v>48</v>
      </c>
      <c r="AL577" s="165" t="s">
        <v>171</v>
      </c>
      <c r="AM577" s="109" t="s">
        <v>171</v>
      </c>
      <c r="AN577" s="109" t="s">
        <v>48</v>
      </c>
      <c r="AO577" s="109" t="s">
        <v>48</v>
      </c>
      <c r="AP577" s="109" t="s">
        <v>48</v>
      </c>
      <c r="AQ577" s="109" t="s">
        <v>48</v>
      </c>
      <c r="AR577" s="109" t="s">
        <v>48</v>
      </c>
      <c r="AS577" s="166" t="s">
        <v>48</v>
      </c>
      <c r="AT577" s="165" t="s">
        <v>48</v>
      </c>
      <c r="AU577" s="109" t="s">
        <v>48</v>
      </c>
      <c r="AV577" s="109" t="s">
        <v>48</v>
      </c>
      <c r="AW577" s="109" t="s">
        <v>48</v>
      </c>
      <c r="AX577" s="109" t="s">
        <v>48</v>
      </c>
      <c r="AY577" s="109" t="s">
        <v>48</v>
      </c>
      <c r="AZ577" s="166" t="s">
        <v>48</v>
      </c>
      <c r="BA577" s="162" t="s">
        <v>1049</v>
      </c>
      <c r="BB577" s="109" t="s">
        <v>49</v>
      </c>
      <c r="BC577" s="79"/>
    </row>
    <row r="578" spans="1:55" ht="75" hidden="1" customHeight="1">
      <c r="A578" s="109" t="s">
        <v>2340</v>
      </c>
      <c r="B578" s="109" t="s">
        <v>2022</v>
      </c>
      <c r="C578" s="109" t="s">
        <v>170</v>
      </c>
      <c r="D578" s="109" t="s">
        <v>171</v>
      </c>
      <c r="E578" s="161">
        <v>30000</v>
      </c>
      <c r="F578" s="165" t="s">
        <v>173</v>
      </c>
      <c r="G578" s="109" t="s">
        <v>173</v>
      </c>
      <c r="H578" s="109" t="s">
        <v>2034</v>
      </c>
      <c r="I578" s="109" t="s">
        <v>1908</v>
      </c>
      <c r="J578" s="109" t="s">
        <v>628</v>
      </c>
      <c r="K578" s="109" t="s">
        <v>628</v>
      </c>
      <c r="L578" s="109" t="s">
        <v>2035</v>
      </c>
      <c r="M578" s="166" t="s">
        <v>1066</v>
      </c>
      <c r="N578" s="162" t="s">
        <v>48</v>
      </c>
      <c r="O578" s="109" t="s">
        <v>48</v>
      </c>
      <c r="P578" s="162" t="s">
        <v>48</v>
      </c>
      <c r="Q578" s="109" t="s">
        <v>48</v>
      </c>
      <c r="R578" s="109" t="s">
        <v>48</v>
      </c>
      <c r="S578" s="109" t="s">
        <v>48</v>
      </c>
      <c r="T578" s="109" t="s">
        <v>48</v>
      </c>
      <c r="U578" s="109" t="s">
        <v>48</v>
      </c>
      <c r="V578" s="166" t="s">
        <v>48</v>
      </c>
      <c r="W578" s="165" t="s">
        <v>1011</v>
      </c>
      <c r="X578" s="109" t="s">
        <v>171</v>
      </c>
      <c r="Y578" s="109" t="s">
        <v>2033</v>
      </c>
      <c r="Z578" s="109" t="s">
        <v>1908</v>
      </c>
      <c r="AA578" s="109" t="s">
        <v>1921</v>
      </c>
      <c r="AB578" s="109" t="s">
        <v>48</v>
      </c>
      <c r="AC578" s="109" t="s">
        <v>2038</v>
      </c>
      <c r="AD578" s="166" t="s">
        <v>1040</v>
      </c>
      <c r="AE578" s="165" t="s">
        <v>48</v>
      </c>
      <c r="AF578" s="109" t="s">
        <v>48</v>
      </c>
      <c r="AG578" s="109" t="s">
        <v>48</v>
      </c>
      <c r="AH578" s="109" t="s">
        <v>48</v>
      </c>
      <c r="AI578" s="109" t="s">
        <v>48</v>
      </c>
      <c r="AJ578" s="109" t="s">
        <v>48</v>
      </c>
      <c r="AK578" s="166" t="s">
        <v>48</v>
      </c>
      <c r="AL578" s="165" t="s">
        <v>171</v>
      </c>
      <c r="AM578" s="109" t="s">
        <v>171</v>
      </c>
      <c r="AN578" s="109" t="s">
        <v>48</v>
      </c>
      <c r="AO578" s="109" t="s">
        <v>48</v>
      </c>
      <c r="AP578" s="109" t="s">
        <v>48</v>
      </c>
      <c r="AQ578" s="109" t="s">
        <v>48</v>
      </c>
      <c r="AR578" s="109" t="s">
        <v>48</v>
      </c>
      <c r="AS578" s="166" t="s">
        <v>48</v>
      </c>
      <c r="AT578" s="165" t="s">
        <v>48</v>
      </c>
      <c r="AU578" s="109" t="s">
        <v>48</v>
      </c>
      <c r="AV578" s="109" t="s">
        <v>48</v>
      </c>
      <c r="AW578" s="109" t="s">
        <v>48</v>
      </c>
      <c r="AX578" s="109" t="s">
        <v>48</v>
      </c>
      <c r="AY578" s="109" t="s">
        <v>48</v>
      </c>
      <c r="AZ578" s="166" t="s">
        <v>48</v>
      </c>
      <c r="BA578" s="162" t="s">
        <v>1043</v>
      </c>
      <c r="BB578" s="109" t="s">
        <v>49</v>
      </c>
      <c r="BC578" s="79"/>
    </row>
    <row r="579" spans="1:55" ht="75" hidden="1" customHeight="1">
      <c r="A579" s="109" t="s">
        <v>2340</v>
      </c>
      <c r="B579" s="109" t="s">
        <v>2022</v>
      </c>
      <c r="C579" s="109" t="s">
        <v>170</v>
      </c>
      <c r="D579" s="109" t="s">
        <v>171</v>
      </c>
      <c r="E579" s="161">
        <v>30000</v>
      </c>
      <c r="F579" s="165" t="s">
        <v>173</v>
      </c>
      <c r="G579" s="109" t="s">
        <v>173</v>
      </c>
      <c r="H579" s="109" t="s">
        <v>2037</v>
      </c>
      <c r="I579" s="109" t="s">
        <v>2039</v>
      </c>
      <c r="J579" s="109" t="s">
        <v>628</v>
      </c>
      <c r="K579" s="109" t="s">
        <v>628</v>
      </c>
      <c r="L579" s="109" t="s">
        <v>2036</v>
      </c>
      <c r="M579" s="166" t="s">
        <v>1066</v>
      </c>
      <c r="N579" s="162" t="s">
        <v>48</v>
      </c>
      <c r="O579" s="109" t="s">
        <v>48</v>
      </c>
      <c r="P579" s="162" t="s">
        <v>48</v>
      </c>
      <c r="Q579" s="109" t="s">
        <v>48</v>
      </c>
      <c r="R579" s="109" t="s">
        <v>48</v>
      </c>
      <c r="S579" s="109" t="s">
        <v>48</v>
      </c>
      <c r="T579" s="109" t="s">
        <v>48</v>
      </c>
      <c r="U579" s="109" t="s">
        <v>48</v>
      </c>
      <c r="V579" s="166" t="s">
        <v>48</v>
      </c>
      <c r="W579" s="165" t="s">
        <v>1011</v>
      </c>
      <c r="X579" s="109" t="s">
        <v>171</v>
      </c>
      <c r="Y579" s="109" t="s">
        <v>2033</v>
      </c>
      <c r="Z579" s="109" t="s">
        <v>1908</v>
      </c>
      <c r="AA579" s="109" t="s">
        <v>1921</v>
      </c>
      <c r="AB579" s="109" t="s">
        <v>48</v>
      </c>
      <c r="AC579" s="109" t="s">
        <v>2038</v>
      </c>
      <c r="AD579" s="166" t="s">
        <v>1040</v>
      </c>
      <c r="AE579" s="165" t="s">
        <v>48</v>
      </c>
      <c r="AF579" s="109" t="s">
        <v>48</v>
      </c>
      <c r="AG579" s="109" t="s">
        <v>48</v>
      </c>
      <c r="AH579" s="109" t="s">
        <v>48</v>
      </c>
      <c r="AI579" s="109" t="s">
        <v>48</v>
      </c>
      <c r="AJ579" s="109" t="s">
        <v>48</v>
      </c>
      <c r="AK579" s="166" t="s">
        <v>48</v>
      </c>
      <c r="AL579" s="165" t="s">
        <v>171</v>
      </c>
      <c r="AM579" s="109" t="s">
        <v>171</v>
      </c>
      <c r="AN579" s="109" t="s">
        <v>48</v>
      </c>
      <c r="AO579" s="109" t="s">
        <v>48</v>
      </c>
      <c r="AP579" s="109" t="s">
        <v>48</v>
      </c>
      <c r="AQ579" s="109" t="s">
        <v>48</v>
      </c>
      <c r="AR579" s="109" t="s">
        <v>48</v>
      </c>
      <c r="AS579" s="166" t="s">
        <v>48</v>
      </c>
      <c r="AT579" s="165" t="s">
        <v>48</v>
      </c>
      <c r="AU579" s="109" t="s">
        <v>48</v>
      </c>
      <c r="AV579" s="109" t="s">
        <v>48</v>
      </c>
      <c r="AW579" s="109" t="s">
        <v>48</v>
      </c>
      <c r="AX579" s="109" t="s">
        <v>48</v>
      </c>
      <c r="AY579" s="109" t="s">
        <v>48</v>
      </c>
      <c r="AZ579" s="166" t="s">
        <v>48</v>
      </c>
      <c r="BA579" s="162" t="s">
        <v>1043</v>
      </c>
      <c r="BB579" s="109" t="s">
        <v>49</v>
      </c>
      <c r="BC579" s="79"/>
    </row>
    <row r="580" spans="1:55" ht="75" hidden="1" customHeight="1">
      <c r="A580" s="109" t="s">
        <v>2339</v>
      </c>
      <c r="B580" s="109" t="s">
        <v>2031</v>
      </c>
      <c r="C580" s="109" t="s">
        <v>170</v>
      </c>
      <c r="D580" s="109" t="s">
        <v>171</v>
      </c>
      <c r="E580" s="161">
        <v>15000</v>
      </c>
      <c r="F580" s="165" t="s">
        <v>171</v>
      </c>
      <c r="G580" s="109" t="s">
        <v>171</v>
      </c>
      <c r="H580" s="109" t="s">
        <v>48</v>
      </c>
      <c r="I580" s="109" t="s">
        <v>48</v>
      </c>
      <c r="J580" s="109" t="s">
        <v>48</v>
      </c>
      <c r="K580" s="109" t="s">
        <v>48</v>
      </c>
      <c r="L580" s="109" t="s">
        <v>48</v>
      </c>
      <c r="M580" s="166" t="s">
        <v>48</v>
      </c>
      <c r="N580" s="162" t="s">
        <v>48</v>
      </c>
      <c r="O580" s="109" t="s">
        <v>48</v>
      </c>
      <c r="P580" s="162" t="s">
        <v>48</v>
      </c>
      <c r="Q580" s="109" t="s">
        <v>48</v>
      </c>
      <c r="R580" s="109" t="s">
        <v>48</v>
      </c>
      <c r="S580" s="109" t="s">
        <v>48</v>
      </c>
      <c r="T580" s="109" t="s">
        <v>48</v>
      </c>
      <c r="U580" s="109" t="s">
        <v>48</v>
      </c>
      <c r="V580" s="166" t="s">
        <v>48</v>
      </c>
      <c r="W580" s="165" t="s">
        <v>1011</v>
      </c>
      <c r="X580" s="109" t="s">
        <v>171</v>
      </c>
      <c r="Y580" s="109" t="s">
        <v>2043</v>
      </c>
      <c r="Z580" s="109" t="s">
        <v>1908</v>
      </c>
      <c r="AA580" s="109" t="s">
        <v>1034</v>
      </c>
      <c r="AB580" s="109" t="s">
        <v>1034</v>
      </c>
      <c r="AC580" s="109" t="s">
        <v>2044</v>
      </c>
      <c r="AD580" s="166" t="s">
        <v>1038</v>
      </c>
      <c r="AE580" s="165" t="s">
        <v>48</v>
      </c>
      <c r="AF580" s="109" t="s">
        <v>48</v>
      </c>
      <c r="AG580" s="109" t="s">
        <v>48</v>
      </c>
      <c r="AH580" s="109" t="s">
        <v>48</v>
      </c>
      <c r="AI580" s="109" t="s">
        <v>48</v>
      </c>
      <c r="AJ580" s="109" t="s">
        <v>48</v>
      </c>
      <c r="AK580" s="166" t="s">
        <v>48</v>
      </c>
      <c r="AL580" s="165" t="s">
        <v>171</v>
      </c>
      <c r="AM580" s="109" t="s">
        <v>171</v>
      </c>
      <c r="AN580" s="109" t="s">
        <v>48</v>
      </c>
      <c r="AO580" s="109" t="s">
        <v>48</v>
      </c>
      <c r="AP580" s="109" t="s">
        <v>48</v>
      </c>
      <c r="AQ580" s="109" t="s">
        <v>48</v>
      </c>
      <c r="AR580" s="109" t="s">
        <v>48</v>
      </c>
      <c r="AS580" s="166" t="s">
        <v>48</v>
      </c>
      <c r="AT580" s="165" t="s">
        <v>48</v>
      </c>
      <c r="AU580" s="109" t="s">
        <v>48</v>
      </c>
      <c r="AV580" s="109" t="s">
        <v>48</v>
      </c>
      <c r="AW580" s="109" t="s">
        <v>48</v>
      </c>
      <c r="AX580" s="109" t="s">
        <v>48</v>
      </c>
      <c r="AY580" s="109" t="s">
        <v>48</v>
      </c>
      <c r="AZ580" s="166" t="s">
        <v>48</v>
      </c>
      <c r="BA580" s="162" t="s">
        <v>1043</v>
      </c>
      <c r="BB580" s="109" t="s">
        <v>49</v>
      </c>
      <c r="BC580" s="79"/>
    </row>
    <row r="581" spans="1:55" ht="75" hidden="1" customHeight="1">
      <c r="A581" s="109" t="s">
        <v>38</v>
      </c>
      <c r="B581" s="109" t="s">
        <v>2032</v>
      </c>
      <c r="C581" s="109" t="s">
        <v>167</v>
      </c>
      <c r="D581" s="109" t="s">
        <v>168</v>
      </c>
      <c r="E581" s="161">
        <v>15000</v>
      </c>
      <c r="F581" s="165" t="s">
        <v>168</v>
      </c>
      <c r="G581" s="109" t="s">
        <v>168</v>
      </c>
      <c r="H581" s="109" t="s">
        <v>48</v>
      </c>
      <c r="I581" s="109" t="s">
        <v>48</v>
      </c>
      <c r="J581" s="109" t="s">
        <v>48</v>
      </c>
      <c r="K581" s="109" t="s">
        <v>48</v>
      </c>
      <c r="L581" s="109" t="s">
        <v>48</v>
      </c>
      <c r="M581" s="166" t="s">
        <v>48</v>
      </c>
      <c r="N581" s="162" t="s">
        <v>48</v>
      </c>
      <c r="O581" s="109" t="s">
        <v>48</v>
      </c>
      <c r="P581" s="162" t="s">
        <v>48</v>
      </c>
      <c r="Q581" s="109" t="s">
        <v>48</v>
      </c>
      <c r="R581" s="109" t="s">
        <v>48</v>
      </c>
      <c r="S581" s="109" t="s">
        <v>48</v>
      </c>
      <c r="T581" s="109" t="s">
        <v>48</v>
      </c>
      <c r="U581" s="109" t="s">
        <v>48</v>
      </c>
      <c r="V581" s="166" t="s">
        <v>48</v>
      </c>
      <c r="W581" s="165" t="s">
        <v>1011</v>
      </c>
      <c r="X581" s="109" t="s">
        <v>168</v>
      </c>
      <c r="Y581" s="109" t="s">
        <v>2043</v>
      </c>
      <c r="Z581" s="109" t="s">
        <v>1908</v>
      </c>
      <c r="AA581" s="109" t="s">
        <v>1034</v>
      </c>
      <c r="AB581" s="109" t="s">
        <v>1034</v>
      </c>
      <c r="AC581" s="109" t="s">
        <v>2044</v>
      </c>
      <c r="AD581" s="166" t="s">
        <v>1038</v>
      </c>
      <c r="AE581" s="165" t="s">
        <v>169</v>
      </c>
      <c r="AF581" s="109" t="s">
        <v>771</v>
      </c>
      <c r="AG581" s="109" t="s">
        <v>246</v>
      </c>
      <c r="AH581" s="109" t="s">
        <v>1908</v>
      </c>
      <c r="AI581" s="109" t="s">
        <v>617</v>
      </c>
      <c r="AJ581" s="109" t="s">
        <v>263</v>
      </c>
      <c r="AK581" s="166" t="s">
        <v>494</v>
      </c>
      <c r="AL581" s="165" t="s">
        <v>168</v>
      </c>
      <c r="AM581" s="109" t="s">
        <v>168</v>
      </c>
      <c r="AN581" s="109" t="s">
        <v>48</v>
      </c>
      <c r="AO581" s="109" t="s">
        <v>48</v>
      </c>
      <c r="AP581" s="109" t="s">
        <v>48</v>
      </c>
      <c r="AQ581" s="109" t="s">
        <v>48</v>
      </c>
      <c r="AR581" s="109" t="s">
        <v>48</v>
      </c>
      <c r="AS581" s="166" t="s">
        <v>48</v>
      </c>
      <c r="AT581" s="165" t="s">
        <v>48</v>
      </c>
      <c r="AU581" s="109" t="s">
        <v>48</v>
      </c>
      <c r="AV581" s="109" t="s">
        <v>48</v>
      </c>
      <c r="AW581" s="109" t="s">
        <v>48</v>
      </c>
      <c r="AX581" s="109" t="s">
        <v>48</v>
      </c>
      <c r="AY581" s="109" t="s">
        <v>48</v>
      </c>
      <c r="AZ581" s="166" t="s">
        <v>48</v>
      </c>
      <c r="BA581" s="162" t="s">
        <v>1043</v>
      </c>
      <c r="BB581" s="109" t="s">
        <v>49</v>
      </c>
      <c r="BC581" s="79"/>
    </row>
    <row r="582" spans="1:55" ht="75" hidden="1" customHeight="1">
      <c r="A582" s="109" t="s">
        <v>38</v>
      </c>
      <c r="B582" s="109" t="s">
        <v>2024</v>
      </c>
      <c r="C582" s="109" t="s">
        <v>167</v>
      </c>
      <c r="D582" s="109" t="s">
        <v>168</v>
      </c>
      <c r="E582" s="161">
        <v>15000</v>
      </c>
      <c r="F582" s="165" t="s">
        <v>168</v>
      </c>
      <c r="G582" s="109" t="s">
        <v>168</v>
      </c>
      <c r="H582" s="109" t="s">
        <v>48</v>
      </c>
      <c r="I582" s="109" t="s">
        <v>48</v>
      </c>
      <c r="J582" s="109" t="s">
        <v>48</v>
      </c>
      <c r="K582" s="109" t="s">
        <v>48</v>
      </c>
      <c r="L582" s="109" t="s">
        <v>48</v>
      </c>
      <c r="M582" s="166" t="s">
        <v>48</v>
      </c>
      <c r="N582" s="162" t="s">
        <v>48</v>
      </c>
      <c r="O582" s="109" t="s">
        <v>48</v>
      </c>
      <c r="P582" s="162" t="s">
        <v>48</v>
      </c>
      <c r="Q582" s="109" t="s">
        <v>48</v>
      </c>
      <c r="R582" s="109" t="s">
        <v>48</v>
      </c>
      <c r="S582" s="109" t="s">
        <v>48</v>
      </c>
      <c r="T582" s="109" t="s">
        <v>48</v>
      </c>
      <c r="U582" s="109" t="s">
        <v>48</v>
      </c>
      <c r="V582" s="166" t="s">
        <v>48</v>
      </c>
      <c r="W582" s="165" t="s">
        <v>1011</v>
      </c>
      <c r="X582" s="109" t="s">
        <v>168</v>
      </c>
      <c r="Y582" s="109" t="s">
        <v>2043</v>
      </c>
      <c r="Z582" s="109" t="s">
        <v>1908</v>
      </c>
      <c r="AA582" s="109" t="s">
        <v>1034</v>
      </c>
      <c r="AB582" s="109" t="s">
        <v>1034</v>
      </c>
      <c r="AC582" s="109" t="s">
        <v>2044</v>
      </c>
      <c r="AD582" s="166" t="s">
        <v>1038</v>
      </c>
      <c r="AE582" s="165" t="s">
        <v>169</v>
      </c>
      <c r="AF582" s="109" t="s">
        <v>771</v>
      </c>
      <c r="AG582" s="109" t="s">
        <v>246</v>
      </c>
      <c r="AH582" s="109" t="s">
        <v>1908</v>
      </c>
      <c r="AI582" s="109" t="s">
        <v>617</v>
      </c>
      <c r="AJ582" s="109" t="s">
        <v>263</v>
      </c>
      <c r="AK582" s="166" t="s">
        <v>494</v>
      </c>
      <c r="AL582" s="165" t="s">
        <v>168</v>
      </c>
      <c r="AM582" s="109" t="s">
        <v>168</v>
      </c>
      <c r="AN582" s="109" t="s">
        <v>48</v>
      </c>
      <c r="AO582" s="109" t="s">
        <v>48</v>
      </c>
      <c r="AP582" s="109" t="s">
        <v>48</v>
      </c>
      <c r="AQ582" s="109" t="s">
        <v>48</v>
      </c>
      <c r="AR582" s="109" t="s">
        <v>48</v>
      </c>
      <c r="AS582" s="166" t="s">
        <v>48</v>
      </c>
      <c r="AT582" s="165" t="s">
        <v>48</v>
      </c>
      <c r="AU582" s="109" t="s">
        <v>48</v>
      </c>
      <c r="AV582" s="109" t="s">
        <v>48</v>
      </c>
      <c r="AW582" s="109" t="s">
        <v>48</v>
      </c>
      <c r="AX582" s="109" t="s">
        <v>48</v>
      </c>
      <c r="AY582" s="109" t="s">
        <v>48</v>
      </c>
      <c r="AZ582" s="166" t="s">
        <v>48</v>
      </c>
      <c r="BA582" s="162" t="s">
        <v>1043</v>
      </c>
      <c r="BB582" s="109" t="s">
        <v>49</v>
      </c>
      <c r="BC582" s="79"/>
    </row>
    <row r="583" spans="1:55" ht="75" hidden="1" customHeight="1">
      <c r="A583" s="109" t="s">
        <v>2341</v>
      </c>
      <c r="B583" s="109" t="s">
        <v>2023</v>
      </c>
      <c r="C583" s="109" t="s">
        <v>167</v>
      </c>
      <c r="D583" s="109" t="s">
        <v>168</v>
      </c>
      <c r="E583" s="161">
        <v>30000</v>
      </c>
      <c r="F583" s="165" t="s">
        <v>183</v>
      </c>
      <c r="G583" s="109" t="s">
        <v>183</v>
      </c>
      <c r="H583" s="109" t="s">
        <v>497</v>
      </c>
      <c r="I583" s="109" t="s">
        <v>1908</v>
      </c>
      <c r="J583" s="109" t="s">
        <v>628</v>
      </c>
      <c r="K583" s="109" t="s">
        <v>628</v>
      </c>
      <c r="L583" s="109" t="s">
        <v>496</v>
      </c>
      <c r="M583" s="166" t="s">
        <v>1048</v>
      </c>
      <c r="N583" s="162" t="s">
        <v>48</v>
      </c>
      <c r="O583" s="109" t="s">
        <v>48</v>
      </c>
      <c r="P583" s="162" t="s">
        <v>48</v>
      </c>
      <c r="Q583" s="109" t="s">
        <v>48</v>
      </c>
      <c r="R583" s="109" t="s">
        <v>48</v>
      </c>
      <c r="S583" s="109" t="s">
        <v>48</v>
      </c>
      <c r="T583" s="109" t="s">
        <v>48</v>
      </c>
      <c r="U583" s="109" t="s">
        <v>48</v>
      </c>
      <c r="V583" s="166" t="s">
        <v>48</v>
      </c>
      <c r="W583" s="165" t="s">
        <v>1011</v>
      </c>
      <c r="X583" s="109" t="s">
        <v>168</v>
      </c>
      <c r="Y583" s="109" t="s">
        <v>2033</v>
      </c>
      <c r="Z583" s="109" t="s">
        <v>1908</v>
      </c>
      <c r="AA583" s="109" t="s">
        <v>1921</v>
      </c>
      <c r="AB583" s="109" t="s">
        <v>48</v>
      </c>
      <c r="AC583" s="109" t="s">
        <v>2038</v>
      </c>
      <c r="AD583" s="166" t="s">
        <v>1040</v>
      </c>
      <c r="AE583" s="165" t="s">
        <v>169</v>
      </c>
      <c r="AF583" s="109" t="s">
        <v>771</v>
      </c>
      <c r="AG583" s="109" t="s">
        <v>246</v>
      </c>
      <c r="AH583" s="109" t="s">
        <v>1908</v>
      </c>
      <c r="AI583" s="109" t="s">
        <v>617</v>
      </c>
      <c r="AJ583" s="109" t="s">
        <v>263</v>
      </c>
      <c r="AK583" s="166" t="s">
        <v>494</v>
      </c>
      <c r="AL583" s="109" t="s">
        <v>168</v>
      </c>
      <c r="AM583" s="109" t="s">
        <v>168</v>
      </c>
      <c r="AN583" s="109" t="s">
        <v>48</v>
      </c>
      <c r="AO583" s="109" t="s">
        <v>48</v>
      </c>
      <c r="AP583" s="109" t="s">
        <v>48</v>
      </c>
      <c r="AQ583" s="109" t="s">
        <v>48</v>
      </c>
      <c r="AR583" s="109" t="s">
        <v>48</v>
      </c>
      <c r="AS583" s="166" t="s">
        <v>48</v>
      </c>
      <c r="AT583" s="165" t="s">
        <v>48</v>
      </c>
      <c r="AU583" s="109" t="s">
        <v>48</v>
      </c>
      <c r="AV583" s="109" t="s">
        <v>48</v>
      </c>
      <c r="AW583" s="109" t="s">
        <v>48</v>
      </c>
      <c r="AX583" s="109" t="s">
        <v>48</v>
      </c>
      <c r="AY583" s="109" t="s">
        <v>48</v>
      </c>
      <c r="AZ583" s="166" t="s">
        <v>48</v>
      </c>
      <c r="BA583" s="162" t="s">
        <v>1049</v>
      </c>
      <c r="BB583" s="109" t="s">
        <v>49</v>
      </c>
      <c r="BC583" s="79"/>
    </row>
    <row r="584" spans="1:55" ht="75" hidden="1" customHeight="1">
      <c r="A584" s="109" t="s">
        <v>2340</v>
      </c>
      <c r="B584" s="109" t="s">
        <v>2022</v>
      </c>
      <c r="C584" s="109" t="s">
        <v>167</v>
      </c>
      <c r="D584" s="109" t="s">
        <v>168</v>
      </c>
      <c r="E584" s="161">
        <v>30000</v>
      </c>
      <c r="F584" s="165" t="s">
        <v>173</v>
      </c>
      <c r="G584" s="109" t="s">
        <v>173</v>
      </c>
      <c r="H584" s="109" t="s">
        <v>2034</v>
      </c>
      <c r="I584" s="109" t="s">
        <v>1908</v>
      </c>
      <c r="J584" s="109" t="s">
        <v>628</v>
      </c>
      <c r="K584" s="109" t="s">
        <v>628</v>
      </c>
      <c r="L584" s="109" t="s">
        <v>2035</v>
      </c>
      <c r="M584" s="166" t="s">
        <v>1066</v>
      </c>
      <c r="N584" s="162" t="s">
        <v>48</v>
      </c>
      <c r="O584" s="109" t="s">
        <v>48</v>
      </c>
      <c r="P584" s="162" t="s">
        <v>48</v>
      </c>
      <c r="Q584" s="109" t="s">
        <v>48</v>
      </c>
      <c r="R584" s="109" t="s">
        <v>48</v>
      </c>
      <c r="S584" s="109" t="s">
        <v>48</v>
      </c>
      <c r="T584" s="109" t="s">
        <v>48</v>
      </c>
      <c r="U584" s="109" t="s">
        <v>48</v>
      </c>
      <c r="V584" s="166" t="s">
        <v>48</v>
      </c>
      <c r="W584" s="165" t="s">
        <v>1011</v>
      </c>
      <c r="X584" s="109" t="s">
        <v>168</v>
      </c>
      <c r="Y584" s="109" t="s">
        <v>2033</v>
      </c>
      <c r="Z584" s="109" t="s">
        <v>1908</v>
      </c>
      <c r="AA584" s="109" t="s">
        <v>1921</v>
      </c>
      <c r="AB584" s="109" t="s">
        <v>48</v>
      </c>
      <c r="AC584" s="109" t="s">
        <v>2038</v>
      </c>
      <c r="AD584" s="166" t="s">
        <v>1040</v>
      </c>
      <c r="AE584" s="165" t="s">
        <v>169</v>
      </c>
      <c r="AF584" s="109" t="s">
        <v>771</v>
      </c>
      <c r="AG584" s="109" t="s">
        <v>246</v>
      </c>
      <c r="AH584" s="109" t="s">
        <v>1908</v>
      </c>
      <c r="AI584" s="109" t="s">
        <v>617</v>
      </c>
      <c r="AJ584" s="109" t="s">
        <v>263</v>
      </c>
      <c r="AK584" s="166" t="s">
        <v>494</v>
      </c>
      <c r="AL584" s="109" t="s">
        <v>168</v>
      </c>
      <c r="AM584" s="109" t="s">
        <v>168</v>
      </c>
      <c r="AN584" s="109" t="s">
        <v>48</v>
      </c>
      <c r="AO584" s="109" t="s">
        <v>48</v>
      </c>
      <c r="AP584" s="109" t="s">
        <v>48</v>
      </c>
      <c r="AQ584" s="109" t="s">
        <v>48</v>
      </c>
      <c r="AR584" s="109" t="s">
        <v>48</v>
      </c>
      <c r="AS584" s="166" t="s">
        <v>48</v>
      </c>
      <c r="AT584" s="165" t="s">
        <v>48</v>
      </c>
      <c r="AU584" s="109" t="s">
        <v>48</v>
      </c>
      <c r="AV584" s="109" t="s">
        <v>48</v>
      </c>
      <c r="AW584" s="109" t="s">
        <v>48</v>
      </c>
      <c r="AX584" s="109" t="s">
        <v>48</v>
      </c>
      <c r="AY584" s="109" t="s">
        <v>48</v>
      </c>
      <c r="AZ584" s="166" t="s">
        <v>48</v>
      </c>
      <c r="BA584" s="162" t="s">
        <v>1043</v>
      </c>
      <c r="BB584" s="109" t="s">
        <v>49</v>
      </c>
      <c r="BC584" s="79"/>
    </row>
    <row r="585" spans="1:55" ht="75" hidden="1" customHeight="1">
      <c r="A585" s="109" t="s">
        <v>2340</v>
      </c>
      <c r="B585" s="109" t="s">
        <v>2022</v>
      </c>
      <c r="C585" s="109" t="s">
        <v>167</v>
      </c>
      <c r="D585" s="109" t="s">
        <v>168</v>
      </c>
      <c r="E585" s="161">
        <v>30000</v>
      </c>
      <c r="F585" s="165" t="s">
        <v>173</v>
      </c>
      <c r="G585" s="109" t="s">
        <v>173</v>
      </c>
      <c r="H585" s="109" t="s">
        <v>2037</v>
      </c>
      <c r="I585" s="109" t="s">
        <v>2039</v>
      </c>
      <c r="J585" s="109" t="s">
        <v>628</v>
      </c>
      <c r="K585" s="109" t="s">
        <v>628</v>
      </c>
      <c r="L585" s="109" t="s">
        <v>2036</v>
      </c>
      <c r="M585" s="166" t="s">
        <v>1066</v>
      </c>
      <c r="N585" s="162" t="s">
        <v>48</v>
      </c>
      <c r="O585" s="109" t="s">
        <v>48</v>
      </c>
      <c r="P585" s="162" t="s">
        <v>48</v>
      </c>
      <c r="Q585" s="109" t="s">
        <v>48</v>
      </c>
      <c r="R585" s="109" t="s">
        <v>48</v>
      </c>
      <c r="S585" s="109" t="s">
        <v>48</v>
      </c>
      <c r="T585" s="109" t="s">
        <v>48</v>
      </c>
      <c r="U585" s="109" t="s">
        <v>48</v>
      </c>
      <c r="V585" s="166" t="s">
        <v>48</v>
      </c>
      <c r="W585" s="165" t="s">
        <v>1011</v>
      </c>
      <c r="X585" s="109" t="s">
        <v>168</v>
      </c>
      <c r="Y585" s="109" t="s">
        <v>2033</v>
      </c>
      <c r="Z585" s="109" t="s">
        <v>1908</v>
      </c>
      <c r="AA585" s="109" t="s">
        <v>1921</v>
      </c>
      <c r="AB585" s="109" t="s">
        <v>48</v>
      </c>
      <c r="AC585" s="109" t="s">
        <v>2038</v>
      </c>
      <c r="AD585" s="166" t="s">
        <v>1040</v>
      </c>
      <c r="AE585" s="165" t="s">
        <v>169</v>
      </c>
      <c r="AF585" s="109" t="s">
        <v>771</v>
      </c>
      <c r="AG585" s="109" t="s">
        <v>246</v>
      </c>
      <c r="AH585" s="109" t="s">
        <v>1908</v>
      </c>
      <c r="AI585" s="109" t="s">
        <v>617</v>
      </c>
      <c r="AJ585" s="109" t="s">
        <v>263</v>
      </c>
      <c r="AK585" s="166" t="s">
        <v>494</v>
      </c>
      <c r="AL585" s="109" t="s">
        <v>168</v>
      </c>
      <c r="AM585" s="109" t="s">
        <v>168</v>
      </c>
      <c r="AN585" s="109" t="s">
        <v>48</v>
      </c>
      <c r="AO585" s="109" t="s">
        <v>48</v>
      </c>
      <c r="AP585" s="109" t="s">
        <v>48</v>
      </c>
      <c r="AQ585" s="109" t="s">
        <v>48</v>
      </c>
      <c r="AR585" s="109" t="s">
        <v>48</v>
      </c>
      <c r="AS585" s="166" t="s">
        <v>48</v>
      </c>
      <c r="AT585" s="166" t="s">
        <v>48</v>
      </c>
      <c r="AU585" s="109" t="s">
        <v>48</v>
      </c>
      <c r="AV585" s="109" t="s">
        <v>48</v>
      </c>
      <c r="AW585" s="109" t="s">
        <v>48</v>
      </c>
      <c r="AX585" s="109" t="s">
        <v>48</v>
      </c>
      <c r="AY585" s="109" t="s">
        <v>48</v>
      </c>
      <c r="AZ585" s="166" t="s">
        <v>48</v>
      </c>
      <c r="BA585" s="162" t="s">
        <v>1043</v>
      </c>
      <c r="BB585" s="109" t="s">
        <v>49</v>
      </c>
      <c r="BC585" s="79"/>
    </row>
    <row r="586" spans="1:55" ht="75" hidden="1" customHeight="1">
      <c r="A586" s="109" t="s">
        <v>2339</v>
      </c>
      <c r="B586" s="109" t="s">
        <v>2031</v>
      </c>
      <c r="C586" s="109" t="s">
        <v>167</v>
      </c>
      <c r="D586" s="109" t="s">
        <v>168</v>
      </c>
      <c r="E586" s="161">
        <v>15000</v>
      </c>
      <c r="F586" s="165" t="s">
        <v>168</v>
      </c>
      <c r="G586" s="109" t="s">
        <v>168</v>
      </c>
      <c r="H586" s="109" t="s">
        <v>48</v>
      </c>
      <c r="I586" s="109" t="s">
        <v>48</v>
      </c>
      <c r="J586" s="109" t="s">
        <v>48</v>
      </c>
      <c r="K586" s="109" t="s">
        <v>48</v>
      </c>
      <c r="L586" s="109" t="s">
        <v>48</v>
      </c>
      <c r="M586" s="166" t="s">
        <v>48</v>
      </c>
      <c r="N586" s="162" t="s">
        <v>48</v>
      </c>
      <c r="O586" s="109" t="s">
        <v>48</v>
      </c>
      <c r="P586" s="162" t="s">
        <v>48</v>
      </c>
      <c r="Q586" s="109" t="s">
        <v>48</v>
      </c>
      <c r="R586" s="109" t="s">
        <v>48</v>
      </c>
      <c r="S586" s="109" t="s">
        <v>48</v>
      </c>
      <c r="T586" s="109" t="s">
        <v>48</v>
      </c>
      <c r="U586" s="109" t="s">
        <v>48</v>
      </c>
      <c r="V586" s="166" t="s">
        <v>48</v>
      </c>
      <c r="W586" s="165" t="s">
        <v>1011</v>
      </c>
      <c r="X586" s="109" t="s">
        <v>168</v>
      </c>
      <c r="Y586" s="109" t="s">
        <v>2043</v>
      </c>
      <c r="Z586" s="109" t="s">
        <v>1908</v>
      </c>
      <c r="AA586" s="109" t="s">
        <v>1034</v>
      </c>
      <c r="AB586" s="109" t="s">
        <v>1034</v>
      </c>
      <c r="AC586" s="109" t="s">
        <v>2044</v>
      </c>
      <c r="AD586" s="166" t="s">
        <v>1038</v>
      </c>
      <c r="AE586" s="165" t="s">
        <v>169</v>
      </c>
      <c r="AF586" s="109" t="s">
        <v>771</v>
      </c>
      <c r="AG586" s="109" t="s">
        <v>246</v>
      </c>
      <c r="AH586" s="109" t="s">
        <v>1908</v>
      </c>
      <c r="AI586" s="109" t="s">
        <v>590</v>
      </c>
      <c r="AJ586" s="109" t="s">
        <v>263</v>
      </c>
      <c r="AK586" s="166" t="s">
        <v>479</v>
      </c>
      <c r="AL586" s="109" t="s">
        <v>168</v>
      </c>
      <c r="AM586" s="109" t="s">
        <v>168</v>
      </c>
      <c r="AN586" s="109" t="s">
        <v>48</v>
      </c>
      <c r="AO586" s="109" t="s">
        <v>48</v>
      </c>
      <c r="AP586" s="109" t="s">
        <v>48</v>
      </c>
      <c r="AQ586" s="109" t="s">
        <v>48</v>
      </c>
      <c r="AR586" s="109" t="s">
        <v>48</v>
      </c>
      <c r="AS586" s="166" t="s">
        <v>48</v>
      </c>
      <c r="AT586" s="166" t="s">
        <v>48</v>
      </c>
      <c r="AU586" s="109" t="s">
        <v>48</v>
      </c>
      <c r="AV586" s="109" t="s">
        <v>48</v>
      </c>
      <c r="AW586" s="109" t="s">
        <v>48</v>
      </c>
      <c r="AX586" s="109" t="s">
        <v>48</v>
      </c>
      <c r="AY586" s="109" t="s">
        <v>48</v>
      </c>
      <c r="AZ586" s="166" t="s">
        <v>48</v>
      </c>
      <c r="BA586" s="162" t="s">
        <v>1043</v>
      </c>
      <c r="BB586" s="109" t="s">
        <v>49</v>
      </c>
      <c r="BC586" s="79"/>
    </row>
    <row r="587" spans="1:55" ht="75" customHeight="1">
      <c r="A587" s="109" t="s">
        <v>35</v>
      </c>
      <c r="B587" s="109" t="s">
        <v>2017</v>
      </c>
      <c r="C587" s="109" t="s">
        <v>158</v>
      </c>
      <c r="D587" s="109" t="s">
        <v>723</v>
      </c>
      <c r="E587" s="161">
        <v>15000</v>
      </c>
      <c r="F587" s="165" t="s">
        <v>907</v>
      </c>
      <c r="G587" s="109" t="s">
        <v>907</v>
      </c>
      <c r="H587" s="109" t="s">
        <v>1916</v>
      </c>
      <c r="I587" s="109" t="s">
        <v>2091</v>
      </c>
      <c r="J587" s="109" t="s">
        <v>1904</v>
      </c>
      <c r="K587" s="109" t="s">
        <v>1904</v>
      </c>
      <c r="L587" s="109" t="s">
        <v>1917</v>
      </c>
      <c r="M587" s="166" t="s">
        <v>1905</v>
      </c>
      <c r="N587" s="162" t="s">
        <v>48</v>
      </c>
      <c r="O587" s="109" t="s">
        <v>48</v>
      </c>
      <c r="P587" s="162" t="s">
        <v>48</v>
      </c>
      <c r="Q587" s="109" t="s">
        <v>48</v>
      </c>
      <c r="R587" s="109" t="s">
        <v>48</v>
      </c>
      <c r="S587" s="109" t="s">
        <v>48</v>
      </c>
      <c r="T587" s="109" t="s">
        <v>48</v>
      </c>
      <c r="U587" s="109" t="s">
        <v>48</v>
      </c>
      <c r="V587" s="166" t="s">
        <v>48</v>
      </c>
      <c r="W587" s="165" t="s">
        <v>907</v>
      </c>
      <c r="X587" s="109" t="s">
        <v>723</v>
      </c>
      <c r="Y587" s="109" t="s">
        <v>1954</v>
      </c>
      <c r="Z587" s="109" t="s">
        <v>1908</v>
      </c>
      <c r="AA587" s="109" t="s">
        <v>1921</v>
      </c>
      <c r="AB587" s="109" t="s">
        <v>1921</v>
      </c>
      <c r="AC587" s="109" t="s">
        <v>1946</v>
      </c>
      <c r="AD587" s="166" t="s">
        <v>1119</v>
      </c>
      <c r="AE587" s="174" t="s">
        <v>80</v>
      </c>
      <c r="AF587" s="117" t="s">
        <v>1155</v>
      </c>
      <c r="AG587" s="117" t="s">
        <v>48</v>
      </c>
      <c r="AH587" s="109" t="s">
        <v>48</v>
      </c>
      <c r="AI587" s="117" t="s">
        <v>48</v>
      </c>
      <c r="AJ587" s="117" t="s">
        <v>48</v>
      </c>
      <c r="AK587" s="182" t="s">
        <v>48</v>
      </c>
      <c r="AL587" s="165" t="s">
        <v>907</v>
      </c>
      <c r="AM587" s="109" t="s">
        <v>723</v>
      </c>
      <c r="AN587" s="185" t="s">
        <v>1948</v>
      </c>
      <c r="AO587" s="109" t="s">
        <v>1908</v>
      </c>
      <c r="AP587" s="109" t="s">
        <v>1921</v>
      </c>
      <c r="AQ587" s="109" t="s">
        <v>1921</v>
      </c>
      <c r="AR587" s="109" t="s">
        <v>1946</v>
      </c>
      <c r="AS587" s="166" t="s">
        <v>1119</v>
      </c>
      <c r="AT587" s="165" t="s">
        <v>48</v>
      </c>
      <c r="AU587" s="109" t="s">
        <v>48</v>
      </c>
      <c r="AV587" s="109" t="s">
        <v>48</v>
      </c>
      <c r="AW587" s="109" t="s">
        <v>48</v>
      </c>
      <c r="AX587" s="109" t="s">
        <v>48</v>
      </c>
      <c r="AY587" s="109" t="s">
        <v>48</v>
      </c>
      <c r="AZ587" s="166" t="s">
        <v>48</v>
      </c>
      <c r="BA587" s="162" t="s">
        <v>1243</v>
      </c>
      <c r="BB587" s="109" t="s">
        <v>82</v>
      </c>
      <c r="BC587" s="109" t="s">
        <v>1156</v>
      </c>
    </row>
    <row r="588" spans="1:55" ht="75" customHeight="1">
      <c r="A588" s="109" t="s">
        <v>35</v>
      </c>
      <c r="B588" s="109" t="s">
        <v>2017</v>
      </c>
      <c r="C588" s="109" t="s">
        <v>158</v>
      </c>
      <c r="D588" s="109" t="s">
        <v>723</v>
      </c>
      <c r="E588" s="161">
        <v>15000</v>
      </c>
      <c r="F588" s="165" t="s">
        <v>907</v>
      </c>
      <c r="G588" s="109" t="s">
        <v>907</v>
      </c>
      <c r="H588" s="109" t="s">
        <v>1916</v>
      </c>
      <c r="I588" s="109" t="s">
        <v>2091</v>
      </c>
      <c r="J588" s="109" t="s">
        <v>1904</v>
      </c>
      <c r="K588" s="109" t="s">
        <v>1904</v>
      </c>
      <c r="L588" s="109" t="s">
        <v>1917</v>
      </c>
      <c r="M588" s="166" t="s">
        <v>1905</v>
      </c>
      <c r="N588" s="162" t="s">
        <v>48</v>
      </c>
      <c r="O588" s="109" t="s">
        <v>48</v>
      </c>
      <c r="P588" s="162" t="s">
        <v>48</v>
      </c>
      <c r="Q588" s="109" t="s">
        <v>48</v>
      </c>
      <c r="R588" s="109" t="s">
        <v>48</v>
      </c>
      <c r="S588" s="109" t="s">
        <v>48</v>
      </c>
      <c r="T588" s="109" t="s">
        <v>48</v>
      </c>
      <c r="U588" s="109" t="s">
        <v>48</v>
      </c>
      <c r="V588" s="166" t="s">
        <v>48</v>
      </c>
      <c r="W588" s="165" t="s">
        <v>1318</v>
      </c>
      <c r="X588" s="109" t="s">
        <v>723</v>
      </c>
      <c r="Y588" s="109" t="s">
        <v>1955</v>
      </c>
      <c r="Z588" s="117" t="s">
        <v>2039</v>
      </c>
      <c r="AA588" s="109" t="s">
        <v>1921</v>
      </c>
      <c r="AB588" s="109" t="s">
        <v>1921</v>
      </c>
      <c r="AC588" s="109" t="s">
        <v>1924</v>
      </c>
      <c r="AD588" s="166" t="s">
        <v>1119</v>
      </c>
      <c r="AE588" s="174" t="s">
        <v>80</v>
      </c>
      <c r="AF588" s="117" t="s">
        <v>1155</v>
      </c>
      <c r="AG588" s="117" t="s">
        <v>48</v>
      </c>
      <c r="AH588" s="109" t="s">
        <v>48</v>
      </c>
      <c r="AI588" s="117" t="s">
        <v>48</v>
      </c>
      <c r="AJ588" s="117" t="s">
        <v>48</v>
      </c>
      <c r="AK588" s="182" t="s">
        <v>48</v>
      </c>
      <c r="AL588" s="165" t="s">
        <v>1318</v>
      </c>
      <c r="AM588" s="109" t="s">
        <v>723</v>
      </c>
      <c r="AN588" s="109" t="s">
        <v>1949</v>
      </c>
      <c r="AO588" s="109" t="s">
        <v>2039</v>
      </c>
      <c r="AP588" s="109" t="s">
        <v>1921</v>
      </c>
      <c r="AQ588" s="109" t="s">
        <v>1921</v>
      </c>
      <c r="AR588" s="109" t="s">
        <v>1924</v>
      </c>
      <c r="AS588" s="166" t="s">
        <v>1119</v>
      </c>
      <c r="AT588" s="165" t="s">
        <v>48</v>
      </c>
      <c r="AU588" s="109" t="s">
        <v>48</v>
      </c>
      <c r="AV588" s="109" t="s">
        <v>48</v>
      </c>
      <c r="AW588" s="109" t="s">
        <v>48</v>
      </c>
      <c r="AX588" s="109" t="s">
        <v>48</v>
      </c>
      <c r="AY588" s="109" t="s">
        <v>48</v>
      </c>
      <c r="AZ588" s="166" t="s">
        <v>48</v>
      </c>
      <c r="BA588" s="162" t="s">
        <v>1243</v>
      </c>
      <c r="BB588" s="109" t="s">
        <v>82</v>
      </c>
      <c r="BC588" s="109" t="s">
        <v>1156</v>
      </c>
    </row>
    <row r="589" spans="1:55" ht="75" customHeight="1">
      <c r="A589" s="109" t="s">
        <v>34</v>
      </c>
      <c r="B589" s="109" t="s">
        <v>2025</v>
      </c>
      <c r="C589" s="109" t="s">
        <v>158</v>
      </c>
      <c r="D589" s="109" t="s">
        <v>723</v>
      </c>
      <c r="E589" s="161">
        <v>15000</v>
      </c>
      <c r="F589" s="165" t="s">
        <v>723</v>
      </c>
      <c r="G589" s="109" t="s">
        <v>723</v>
      </c>
      <c r="H589" s="109" t="s">
        <v>48</v>
      </c>
      <c r="I589" s="109" t="s">
        <v>48</v>
      </c>
      <c r="J589" s="109" t="s">
        <v>48</v>
      </c>
      <c r="K589" s="109" t="s">
        <v>48</v>
      </c>
      <c r="L589" s="109" t="s">
        <v>48</v>
      </c>
      <c r="M589" s="166" t="s">
        <v>48</v>
      </c>
      <c r="N589" s="162" t="s">
        <v>48</v>
      </c>
      <c r="O589" s="109" t="s">
        <v>48</v>
      </c>
      <c r="P589" s="162" t="s">
        <v>48</v>
      </c>
      <c r="Q589" s="109" t="s">
        <v>48</v>
      </c>
      <c r="R589" s="109" t="s">
        <v>48</v>
      </c>
      <c r="S589" s="109" t="s">
        <v>48</v>
      </c>
      <c r="T589" s="109" t="s">
        <v>48</v>
      </c>
      <c r="U589" s="109" t="s">
        <v>48</v>
      </c>
      <c r="V589" s="166" t="s">
        <v>48</v>
      </c>
      <c r="W589" s="165" t="s">
        <v>723</v>
      </c>
      <c r="X589" s="109" t="s">
        <v>723</v>
      </c>
      <c r="Y589" s="109" t="s">
        <v>48</v>
      </c>
      <c r="Z589" s="109" t="s">
        <v>48</v>
      </c>
      <c r="AA589" s="109" t="s">
        <v>48</v>
      </c>
      <c r="AB589" s="109" t="s">
        <v>48</v>
      </c>
      <c r="AC589" s="109" t="s">
        <v>48</v>
      </c>
      <c r="AD589" s="166" t="s">
        <v>48</v>
      </c>
      <c r="AE589" s="174" t="s">
        <v>80</v>
      </c>
      <c r="AF589" s="117" t="s">
        <v>1155</v>
      </c>
      <c r="AG589" s="117" t="s">
        <v>48</v>
      </c>
      <c r="AH589" s="109" t="s">
        <v>48</v>
      </c>
      <c r="AI589" s="117" t="s">
        <v>48</v>
      </c>
      <c r="AJ589" s="117" t="s">
        <v>48</v>
      </c>
      <c r="AK589" s="182" t="s">
        <v>48</v>
      </c>
      <c r="AL589" s="165" t="s">
        <v>907</v>
      </c>
      <c r="AM589" s="109" t="s">
        <v>723</v>
      </c>
      <c r="AN589" s="109" t="s">
        <v>1948</v>
      </c>
      <c r="AO589" s="109" t="s">
        <v>1908</v>
      </c>
      <c r="AP589" s="109" t="s">
        <v>1921</v>
      </c>
      <c r="AQ589" s="109" t="s">
        <v>1921</v>
      </c>
      <c r="AR589" s="109" t="s">
        <v>1946</v>
      </c>
      <c r="AS589" s="166" t="s">
        <v>1119</v>
      </c>
      <c r="AT589" s="165" t="s">
        <v>48</v>
      </c>
      <c r="AU589" s="109" t="s">
        <v>48</v>
      </c>
      <c r="AV589" s="109" t="s">
        <v>48</v>
      </c>
      <c r="AW589" s="109" t="s">
        <v>48</v>
      </c>
      <c r="AX589" s="109" t="s">
        <v>48</v>
      </c>
      <c r="AY589" s="109" t="s">
        <v>48</v>
      </c>
      <c r="AZ589" s="166" t="s">
        <v>48</v>
      </c>
      <c r="BA589" s="162" t="s">
        <v>1242</v>
      </c>
      <c r="BB589" s="109" t="s">
        <v>82</v>
      </c>
      <c r="BC589" s="109" t="s">
        <v>1156</v>
      </c>
    </row>
    <row r="590" spans="1:55" ht="75" customHeight="1">
      <c r="A590" s="109" t="s">
        <v>34</v>
      </c>
      <c r="B590" s="109" t="s">
        <v>2025</v>
      </c>
      <c r="C590" s="109" t="s">
        <v>158</v>
      </c>
      <c r="D590" s="109" t="s">
        <v>723</v>
      </c>
      <c r="E590" s="161">
        <v>15000</v>
      </c>
      <c r="F590" s="165" t="s">
        <v>723</v>
      </c>
      <c r="G590" s="109" t="s">
        <v>723</v>
      </c>
      <c r="H590" s="109" t="s">
        <v>48</v>
      </c>
      <c r="I590" s="109" t="s">
        <v>48</v>
      </c>
      <c r="J590" s="109" t="s">
        <v>48</v>
      </c>
      <c r="K590" s="109" t="s">
        <v>48</v>
      </c>
      <c r="L590" s="109" t="s">
        <v>48</v>
      </c>
      <c r="M590" s="166" t="s">
        <v>48</v>
      </c>
      <c r="N590" s="162" t="s">
        <v>48</v>
      </c>
      <c r="O590" s="109" t="s">
        <v>48</v>
      </c>
      <c r="P590" s="162" t="s">
        <v>48</v>
      </c>
      <c r="Q590" s="109" t="s">
        <v>48</v>
      </c>
      <c r="R590" s="109" t="s">
        <v>48</v>
      </c>
      <c r="S590" s="109" t="s">
        <v>48</v>
      </c>
      <c r="T590" s="109" t="s">
        <v>48</v>
      </c>
      <c r="U590" s="109" t="s">
        <v>48</v>
      </c>
      <c r="V590" s="166" t="s">
        <v>48</v>
      </c>
      <c r="W590" s="165" t="s">
        <v>723</v>
      </c>
      <c r="X590" s="109" t="s">
        <v>723</v>
      </c>
      <c r="Y590" s="109" t="s">
        <v>48</v>
      </c>
      <c r="Z590" s="109" t="s">
        <v>48</v>
      </c>
      <c r="AA590" s="109" t="s">
        <v>48</v>
      </c>
      <c r="AB590" s="109" t="s">
        <v>48</v>
      </c>
      <c r="AC590" s="109" t="s">
        <v>48</v>
      </c>
      <c r="AD590" s="166" t="s">
        <v>48</v>
      </c>
      <c r="AE590" s="174" t="s">
        <v>80</v>
      </c>
      <c r="AF590" s="117" t="s">
        <v>1155</v>
      </c>
      <c r="AG590" s="117" t="s">
        <v>48</v>
      </c>
      <c r="AH590" s="109" t="s">
        <v>48</v>
      </c>
      <c r="AI590" s="117" t="s">
        <v>48</v>
      </c>
      <c r="AJ590" s="117" t="s">
        <v>48</v>
      </c>
      <c r="AK590" s="182" t="s">
        <v>48</v>
      </c>
      <c r="AL590" s="165" t="s">
        <v>1318</v>
      </c>
      <c r="AM590" s="109" t="s">
        <v>723</v>
      </c>
      <c r="AN590" s="109" t="s">
        <v>1949</v>
      </c>
      <c r="AO590" s="109" t="s">
        <v>2039</v>
      </c>
      <c r="AP590" s="109" t="s">
        <v>1921</v>
      </c>
      <c r="AQ590" s="109" t="s">
        <v>1921</v>
      </c>
      <c r="AR590" s="109" t="s">
        <v>1924</v>
      </c>
      <c r="AS590" s="166" t="s">
        <v>1119</v>
      </c>
      <c r="AT590" s="165" t="s">
        <v>48</v>
      </c>
      <c r="AU590" s="109" t="s">
        <v>48</v>
      </c>
      <c r="AV590" s="109" t="s">
        <v>48</v>
      </c>
      <c r="AW590" s="109" t="s">
        <v>48</v>
      </c>
      <c r="AX590" s="109" t="s">
        <v>48</v>
      </c>
      <c r="AY590" s="109" t="s">
        <v>48</v>
      </c>
      <c r="AZ590" s="166" t="s">
        <v>48</v>
      </c>
      <c r="BA590" s="162" t="s">
        <v>1242</v>
      </c>
      <c r="BB590" s="109" t="s">
        <v>82</v>
      </c>
      <c r="BC590" s="109" t="s">
        <v>1156</v>
      </c>
    </row>
    <row r="591" spans="1:55" ht="75" customHeight="1">
      <c r="A591" s="109" t="s">
        <v>35</v>
      </c>
      <c r="B591" s="109" t="s">
        <v>2017</v>
      </c>
      <c r="C591" s="109" t="s">
        <v>158</v>
      </c>
      <c r="D591" s="109" t="s">
        <v>1124</v>
      </c>
      <c r="E591" s="161">
        <v>15000</v>
      </c>
      <c r="F591" s="165" t="s">
        <v>907</v>
      </c>
      <c r="G591" s="109" t="s">
        <v>907</v>
      </c>
      <c r="H591" s="109" t="s">
        <v>1916</v>
      </c>
      <c r="I591" s="109" t="s">
        <v>2091</v>
      </c>
      <c r="J591" s="109" t="s">
        <v>1904</v>
      </c>
      <c r="K591" s="109" t="s">
        <v>1904</v>
      </c>
      <c r="L591" s="109" t="s">
        <v>1917</v>
      </c>
      <c r="M591" s="166" t="s">
        <v>1905</v>
      </c>
      <c r="N591" s="162" t="s">
        <v>48</v>
      </c>
      <c r="O591" s="109" t="s">
        <v>48</v>
      </c>
      <c r="P591" s="162" t="s">
        <v>48</v>
      </c>
      <c r="Q591" s="109" t="s">
        <v>48</v>
      </c>
      <c r="R591" s="109" t="s">
        <v>48</v>
      </c>
      <c r="S591" s="109" t="s">
        <v>48</v>
      </c>
      <c r="T591" s="109" t="s">
        <v>48</v>
      </c>
      <c r="U591" s="109" t="s">
        <v>48</v>
      </c>
      <c r="V591" s="166" t="s">
        <v>48</v>
      </c>
      <c r="W591" s="165" t="s">
        <v>907</v>
      </c>
      <c r="X591" s="109" t="s">
        <v>1124</v>
      </c>
      <c r="Y591" s="109" t="s">
        <v>1954</v>
      </c>
      <c r="Z591" s="109" t="s">
        <v>1908</v>
      </c>
      <c r="AA591" s="109" t="s">
        <v>1921</v>
      </c>
      <c r="AB591" s="109" t="s">
        <v>1921</v>
      </c>
      <c r="AC591" s="109" t="s">
        <v>1946</v>
      </c>
      <c r="AD591" s="166" t="s">
        <v>1119</v>
      </c>
      <c r="AE591" s="174" t="s">
        <v>48</v>
      </c>
      <c r="AF591" s="117" t="s">
        <v>48</v>
      </c>
      <c r="AG591" s="117" t="s">
        <v>1157</v>
      </c>
      <c r="AH591" s="109" t="s">
        <v>48</v>
      </c>
      <c r="AI591" s="117" t="s">
        <v>48</v>
      </c>
      <c r="AJ591" s="117" t="s">
        <v>262</v>
      </c>
      <c r="AK591" s="182" t="s">
        <v>518</v>
      </c>
      <c r="AL591" s="165" t="s">
        <v>907</v>
      </c>
      <c r="AM591" s="109" t="s">
        <v>1124</v>
      </c>
      <c r="AN591" s="109" t="s">
        <v>1948</v>
      </c>
      <c r="AO591" s="109" t="s">
        <v>1908</v>
      </c>
      <c r="AP591" s="109" t="s">
        <v>1921</v>
      </c>
      <c r="AQ591" s="109" t="s">
        <v>1921</v>
      </c>
      <c r="AR591" s="109" t="s">
        <v>1946</v>
      </c>
      <c r="AS591" s="166" t="s">
        <v>1119</v>
      </c>
      <c r="AT591" s="165" t="s">
        <v>48</v>
      </c>
      <c r="AU591" s="109" t="s">
        <v>48</v>
      </c>
      <c r="AV591" s="109" t="s">
        <v>48</v>
      </c>
      <c r="AW591" s="109" t="s">
        <v>48</v>
      </c>
      <c r="AX591" s="109" t="s">
        <v>48</v>
      </c>
      <c r="AY591" s="109" t="s">
        <v>48</v>
      </c>
      <c r="AZ591" s="166" t="s">
        <v>48</v>
      </c>
      <c r="BA591" s="162" t="s">
        <v>1243</v>
      </c>
      <c r="BB591" s="109" t="s">
        <v>82</v>
      </c>
      <c r="BC591" s="109"/>
    </row>
    <row r="592" spans="1:55" ht="75" customHeight="1">
      <c r="A592" s="109" t="s">
        <v>35</v>
      </c>
      <c r="B592" s="109" t="s">
        <v>2017</v>
      </c>
      <c r="C592" s="109" t="s">
        <v>158</v>
      </c>
      <c r="D592" s="109" t="s">
        <v>1124</v>
      </c>
      <c r="E592" s="161">
        <v>15000</v>
      </c>
      <c r="F592" s="165" t="s">
        <v>907</v>
      </c>
      <c r="G592" s="109" t="s">
        <v>907</v>
      </c>
      <c r="H592" s="109" t="s">
        <v>1916</v>
      </c>
      <c r="I592" s="109" t="s">
        <v>2091</v>
      </c>
      <c r="J592" s="109" t="s">
        <v>1904</v>
      </c>
      <c r="K592" s="109" t="s">
        <v>1904</v>
      </c>
      <c r="L592" s="109" t="s">
        <v>1917</v>
      </c>
      <c r="M592" s="166" t="s">
        <v>1905</v>
      </c>
      <c r="N592" s="162" t="s">
        <v>48</v>
      </c>
      <c r="O592" s="109" t="s">
        <v>48</v>
      </c>
      <c r="P592" s="162" t="s">
        <v>48</v>
      </c>
      <c r="Q592" s="109" t="s">
        <v>48</v>
      </c>
      <c r="R592" s="109" t="s">
        <v>48</v>
      </c>
      <c r="S592" s="109" t="s">
        <v>48</v>
      </c>
      <c r="T592" s="109" t="s">
        <v>48</v>
      </c>
      <c r="U592" s="109" t="s">
        <v>48</v>
      </c>
      <c r="V592" s="166" t="s">
        <v>48</v>
      </c>
      <c r="W592" s="165" t="s">
        <v>1318</v>
      </c>
      <c r="X592" s="109" t="s">
        <v>1124</v>
      </c>
      <c r="Y592" s="109" t="s">
        <v>1955</v>
      </c>
      <c r="Z592" s="117" t="s">
        <v>2039</v>
      </c>
      <c r="AA592" s="109" t="s">
        <v>1921</v>
      </c>
      <c r="AB592" s="109" t="s">
        <v>1921</v>
      </c>
      <c r="AC592" s="109" t="s">
        <v>1924</v>
      </c>
      <c r="AD592" s="166" t="s">
        <v>1119</v>
      </c>
      <c r="AE592" s="174" t="s">
        <v>48</v>
      </c>
      <c r="AF592" s="117" t="s">
        <v>48</v>
      </c>
      <c r="AG592" s="117" t="s">
        <v>1157</v>
      </c>
      <c r="AH592" s="109" t="s">
        <v>48</v>
      </c>
      <c r="AI592" s="117" t="s">
        <v>48</v>
      </c>
      <c r="AJ592" s="117" t="s">
        <v>262</v>
      </c>
      <c r="AK592" s="182" t="s">
        <v>518</v>
      </c>
      <c r="AL592" s="165" t="s">
        <v>1318</v>
      </c>
      <c r="AM592" s="109" t="s">
        <v>1124</v>
      </c>
      <c r="AN592" s="109" t="s">
        <v>1949</v>
      </c>
      <c r="AO592" s="109" t="s">
        <v>2039</v>
      </c>
      <c r="AP592" s="109" t="s">
        <v>1921</v>
      </c>
      <c r="AQ592" s="109" t="s">
        <v>1921</v>
      </c>
      <c r="AR592" s="109" t="s">
        <v>1924</v>
      </c>
      <c r="AS592" s="166" t="s">
        <v>1119</v>
      </c>
      <c r="AT592" s="165" t="s">
        <v>48</v>
      </c>
      <c r="AU592" s="109" t="s">
        <v>48</v>
      </c>
      <c r="AV592" s="109" t="s">
        <v>48</v>
      </c>
      <c r="AW592" s="109" t="s">
        <v>48</v>
      </c>
      <c r="AX592" s="109" t="s">
        <v>48</v>
      </c>
      <c r="AY592" s="109" t="s">
        <v>48</v>
      </c>
      <c r="AZ592" s="166" t="s">
        <v>48</v>
      </c>
      <c r="BA592" s="162" t="s">
        <v>1243</v>
      </c>
      <c r="BB592" s="109" t="s">
        <v>82</v>
      </c>
      <c r="BC592" s="109"/>
    </row>
    <row r="593" spans="1:55" ht="75" customHeight="1">
      <c r="A593" s="109" t="s">
        <v>34</v>
      </c>
      <c r="B593" s="109" t="s">
        <v>2025</v>
      </c>
      <c r="C593" s="109" t="s">
        <v>158</v>
      </c>
      <c r="D593" s="109" t="s">
        <v>1124</v>
      </c>
      <c r="E593" s="161">
        <v>15000</v>
      </c>
      <c r="F593" s="165" t="s">
        <v>1124</v>
      </c>
      <c r="G593" s="109" t="s">
        <v>1124</v>
      </c>
      <c r="H593" s="109" t="s">
        <v>48</v>
      </c>
      <c r="I593" s="109" t="s">
        <v>48</v>
      </c>
      <c r="J593" s="109" t="s">
        <v>48</v>
      </c>
      <c r="K593" s="109" t="s">
        <v>48</v>
      </c>
      <c r="L593" s="109" t="s">
        <v>48</v>
      </c>
      <c r="M593" s="166" t="s">
        <v>48</v>
      </c>
      <c r="N593" s="162" t="s">
        <v>48</v>
      </c>
      <c r="O593" s="109" t="s">
        <v>48</v>
      </c>
      <c r="P593" s="162" t="s">
        <v>48</v>
      </c>
      <c r="Q593" s="109" t="s">
        <v>48</v>
      </c>
      <c r="R593" s="109" t="s">
        <v>48</v>
      </c>
      <c r="S593" s="109" t="s">
        <v>48</v>
      </c>
      <c r="T593" s="109" t="s">
        <v>48</v>
      </c>
      <c r="U593" s="109" t="s">
        <v>48</v>
      </c>
      <c r="V593" s="166" t="s">
        <v>48</v>
      </c>
      <c r="W593" s="165" t="s">
        <v>1124</v>
      </c>
      <c r="X593" s="109" t="s">
        <v>1124</v>
      </c>
      <c r="Y593" s="109" t="s">
        <v>48</v>
      </c>
      <c r="Z593" s="109" t="s">
        <v>48</v>
      </c>
      <c r="AA593" s="109" t="s">
        <v>48</v>
      </c>
      <c r="AB593" s="109" t="s">
        <v>48</v>
      </c>
      <c r="AC593" s="109" t="s">
        <v>48</v>
      </c>
      <c r="AD593" s="166" t="s">
        <v>48</v>
      </c>
      <c r="AE593" s="174" t="s">
        <v>48</v>
      </c>
      <c r="AF593" s="117" t="s">
        <v>48</v>
      </c>
      <c r="AG593" s="117" t="s">
        <v>1157</v>
      </c>
      <c r="AH593" s="109" t="s">
        <v>48</v>
      </c>
      <c r="AI593" s="117" t="s">
        <v>48</v>
      </c>
      <c r="AJ593" s="117" t="s">
        <v>262</v>
      </c>
      <c r="AK593" s="182" t="s">
        <v>518</v>
      </c>
      <c r="AL593" s="165" t="s">
        <v>907</v>
      </c>
      <c r="AM593" s="109" t="s">
        <v>1124</v>
      </c>
      <c r="AN593" s="109" t="s">
        <v>1948</v>
      </c>
      <c r="AO593" s="109" t="s">
        <v>1908</v>
      </c>
      <c r="AP593" s="109" t="s">
        <v>1921</v>
      </c>
      <c r="AQ593" s="109" t="s">
        <v>1921</v>
      </c>
      <c r="AR593" s="109" t="s">
        <v>1946</v>
      </c>
      <c r="AS593" s="166" t="s">
        <v>1119</v>
      </c>
      <c r="AT593" s="165" t="s">
        <v>48</v>
      </c>
      <c r="AU593" s="109" t="s">
        <v>48</v>
      </c>
      <c r="AV593" s="109" t="s">
        <v>48</v>
      </c>
      <c r="AW593" s="109" t="s">
        <v>48</v>
      </c>
      <c r="AX593" s="109" t="s">
        <v>48</v>
      </c>
      <c r="AY593" s="109" t="s">
        <v>48</v>
      </c>
      <c r="AZ593" s="166" t="s">
        <v>48</v>
      </c>
      <c r="BA593" s="162" t="s">
        <v>1242</v>
      </c>
      <c r="BB593" s="109" t="s">
        <v>82</v>
      </c>
      <c r="BC593" s="109"/>
    </row>
    <row r="594" spans="1:55" ht="75" customHeight="1">
      <c r="A594" s="109" t="s">
        <v>34</v>
      </c>
      <c r="B594" s="109" t="s">
        <v>2025</v>
      </c>
      <c r="C594" s="109" t="s">
        <v>158</v>
      </c>
      <c r="D594" s="109" t="s">
        <v>1124</v>
      </c>
      <c r="E594" s="161">
        <v>15000</v>
      </c>
      <c r="F594" s="165" t="s">
        <v>1124</v>
      </c>
      <c r="G594" s="109" t="s">
        <v>1124</v>
      </c>
      <c r="H594" s="109" t="s">
        <v>48</v>
      </c>
      <c r="I594" s="109" t="s">
        <v>48</v>
      </c>
      <c r="J594" s="109" t="s">
        <v>48</v>
      </c>
      <c r="K594" s="109" t="s">
        <v>48</v>
      </c>
      <c r="L594" s="109" t="s">
        <v>48</v>
      </c>
      <c r="M594" s="166" t="s">
        <v>48</v>
      </c>
      <c r="N594" s="162" t="s">
        <v>48</v>
      </c>
      <c r="O594" s="109" t="s">
        <v>48</v>
      </c>
      <c r="P594" s="162" t="s">
        <v>48</v>
      </c>
      <c r="Q594" s="109" t="s">
        <v>48</v>
      </c>
      <c r="R594" s="109" t="s">
        <v>48</v>
      </c>
      <c r="S594" s="109" t="s">
        <v>48</v>
      </c>
      <c r="T594" s="109" t="s">
        <v>48</v>
      </c>
      <c r="U594" s="109" t="s">
        <v>48</v>
      </c>
      <c r="V594" s="166" t="s">
        <v>48</v>
      </c>
      <c r="W594" s="165" t="s">
        <v>1124</v>
      </c>
      <c r="X594" s="109" t="s">
        <v>1124</v>
      </c>
      <c r="Y594" s="109" t="s">
        <v>48</v>
      </c>
      <c r="Z594" s="109" t="s">
        <v>48</v>
      </c>
      <c r="AA594" s="109" t="s">
        <v>48</v>
      </c>
      <c r="AB594" s="109" t="s">
        <v>48</v>
      </c>
      <c r="AC594" s="109" t="s">
        <v>48</v>
      </c>
      <c r="AD594" s="166" t="s">
        <v>48</v>
      </c>
      <c r="AE594" s="174" t="s">
        <v>48</v>
      </c>
      <c r="AF594" s="117" t="s">
        <v>48</v>
      </c>
      <c r="AG594" s="117" t="s">
        <v>1157</v>
      </c>
      <c r="AH594" s="109" t="s">
        <v>48</v>
      </c>
      <c r="AI594" s="117" t="s">
        <v>48</v>
      </c>
      <c r="AJ594" s="117" t="s">
        <v>262</v>
      </c>
      <c r="AK594" s="182" t="s">
        <v>518</v>
      </c>
      <c r="AL594" s="165" t="s">
        <v>1318</v>
      </c>
      <c r="AM594" s="109" t="s">
        <v>1124</v>
      </c>
      <c r="AN594" s="109" t="s">
        <v>1949</v>
      </c>
      <c r="AO594" s="109" t="s">
        <v>2039</v>
      </c>
      <c r="AP594" s="109" t="s">
        <v>1921</v>
      </c>
      <c r="AQ594" s="109" t="s">
        <v>1921</v>
      </c>
      <c r="AR594" s="109" t="s">
        <v>1924</v>
      </c>
      <c r="AS594" s="166" t="s">
        <v>1119</v>
      </c>
      <c r="AT594" s="165" t="s">
        <v>48</v>
      </c>
      <c r="AU594" s="109" t="s">
        <v>48</v>
      </c>
      <c r="AV594" s="109" t="s">
        <v>48</v>
      </c>
      <c r="AW594" s="109" t="s">
        <v>48</v>
      </c>
      <c r="AX594" s="109" t="s">
        <v>48</v>
      </c>
      <c r="AY594" s="109" t="s">
        <v>48</v>
      </c>
      <c r="AZ594" s="166" t="s">
        <v>48</v>
      </c>
      <c r="BA594" s="162" t="s">
        <v>1242</v>
      </c>
      <c r="BB594" s="109" t="s">
        <v>82</v>
      </c>
      <c r="BC594" s="109"/>
    </row>
    <row r="595" spans="1:55" ht="75" customHeight="1">
      <c r="A595" s="109" t="s">
        <v>35</v>
      </c>
      <c r="B595" s="109" t="s">
        <v>2017</v>
      </c>
      <c r="C595" s="109" t="s">
        <v>158</v>
      </c>
      <c r="D595" s="109" t="s">
        <v>535</v>
      </c>
      <c r="E595" s="161">
        <v>15000</v>
      </c>
      <c r="F595" s="165" t="s">
        <v>907</v>
      </c>
      <c r="G595" s="109" t="s">
        <v>907</v>
      </c>
      <c r="H595" s="109" t="s">
        <v>1916</v>
      </c>
      <c r="I595" s="109" t="s">
        <v>2091</v>
      </c>
      <c r="J595" s="109" t="s">
        <v>1904</v>
      </c>
      <c r="K595" s="109" t="s">
        <v>1904</v>
      </c>
      <c r="L595" s="109" t="s">
        <v>1917</v>
      </c>
      <c r="M595" s="166" t="s">
        <v>1905</v>
      </c>
      <c r="N595" s="162" t="s">
        <v>48</v>
      </c>
      <c r="O595" s="109" t="s">
        <v>48</v>
      </c>
      <c r="P595" s="162" t="s">
        <v>48</v>
      </c>
      <c r="Q595" s="109" t="s">
        <v>48</v>
      </c>
      <c r="R595" s="109" t="s">
        <v>48</v>
      </c>
      <c r="S595" s="109" t="s">
        <v>48</v>
      </c>
      <c r="T595" s="109" t="s">
        <v>48</v>
      </c>
      <c r="U595" s="109" t="s">
        <v>48</v>
      </c>
      <c r="V595" s="166" t="s">
        <v>48</v>
      </c>
      <c r="W595" s="165" t="s">
        <v>907</v>
      </c>
      <c r="X595" s="109" t="s">
        <v>535</v>
      </c>
      <c r="Y595" s="109" t="s">
        <v>1954</v>
      </c>
      <c r="Z595" s="109" t="s">
        <v>1908</v>
      </c>
      <c r="AA595" s="109" t="s">
        <v>1921</v>
      </c>
      <c r="AB595" s="109" t="s">
        <v>1921</v>
      </c>
      <c r="AC595" s="109" t="s">
        <v>1946</v>
      </c>
      <c r="AD595" s="166" t="s">
        <v>1119</v>
      </c>
      <c r="AE595" s="174" t="s">
        <v>48</v>
      </c>
      <c r="AF595" s="117" t="s">
        <v>48</v>
      </c>
      <c r="AG595" s="117" t="s">
        <v>48</v>
      </c>
      <c r="AH595" s="109" t="s">
        <v>48</v>
      </c>
      <c r="AI595" s="117" t="s">
        <v>48</v>
      </c>
      <c r="AJ595" s="117" t="s">
        <v>48</v>
      </c>
      <c r="AK595" s="182" t="s">
        <v>48</v>
      </c>
      <c r="AL595" s="165" t="s">
        <v>907</v>
      </c>
      <c r="AM595" s="109" t="s">
        <v>535</v>
      </c>
      <c r="AN595" s="109" t="s">
        <v>1948</v>
      </c>
      <c r="AO595" s="109" t="s">
        <v>1908</v>
      </c>
      <c r="AP595" s="109" t="s">
        <v>1921</v>
      </c>
      <c r="AQ595" s="109" t="s">
        <v>1921</v>
      </c>
      <c r="AR595" s="109" t="s">
        <v>1946</v>
      </c>
      <c r="AS595" s="166" t="s">
        <v>1119</v>
      </c>
      <c r="AT595" s="165" t="s">
        <v>48</v>
      </c>
      <c r="AU595" s="109" t="s">
        <v>48</v>
      </c>
      <c r="AV595" s="109" t="s">
        <v>48</v>
      </c>
      <c r="AW595" s="109" t="s">
        <v>48</v>
      </c>
      <c r="AX595" s="109" t="s">
        <v>48</v>
      </c>
      <c r="AY595" s="109" t="s">
        <v>48</v>
      </c>
      <c r="AZ595" s="166" t="s">
        <v>48</v>
      </c>
      <c r="BA595" s="162" t="s">
        <v>1243</v>
      </c>
      <c r="BB595" s="109" t="s">
        <v>82</v>
      </c>
      <c r="BC595" s="109"/>
    </row>
    <row r="596" spans="1:55" ht="75" customHeight="1">
      <c r="A596" s="109" t="s">
        <v>35</v>
      </c>
      <c r="B596" s="109" t="s">
        <v>2017</v>
      </c>
      <c r="C596" s="109" t="s">
        <v>158</v>
      </c>
      <c r="D596" s="109" t="s">
        <v>535</v>
      </c>
      <c r="E596" s="161">
        <v>15000</v>
      </c>
      <c r="F596" s="165" t="s">
        <v>907</v>
      </c>
      <c r="G596" s="109" t="s">
        <v>907</v>
      </c>
      <c r="H596" s="109" t="s">
        <v>1916</v>
      </c>
      <c r="I596" s="109" t="s">
        <v>2091</v>
      </c>
      <c r="J596" s="109" t="s">
        <v>1904</v>
      </c>
      <c r="K596" s="109" t="s">
        <v>1904</v>
      </c>
      <c r="L596" s="109" t="s">
        <v>1917</v>
      </c>
      <c r="M596" s="166" t="s">
        <v>1905</v>
      </c>
      <c r="N596" s="162" t="s">
        <v>48</v>
      </c>
      <c r="O596" s="109" t="s">
        <v>48</v>
      </c>
      <c r="P596" s="162" t="s">
        <v>48</v>
      </c>
      <c r="Q596" s="109" t="s">
        <v>48</v>
      </c>
      <c r="R596" s="109" t="s">
        <v>48</v>
      </c>
      <c r="S596" s="109" t="s">
        <v>48</v>
      </c>
      <c r="T596" s="109" t="s">
        <v>48</v>
      </c>
      <c r="U596" s="109" t="s">
        <v>48</v>
      </c>
      <c r="V596" s="166" t="s">
        <v>48</v>
      </c>
      <c r="W596" s="165" t="s">
        <v>1318</v>
      </c>
      <c r="X596" s="109" t="s">
        <v>535</v>
      </c>
      <c r="Y596" s="109" t="s">
        <v>1955</v>
      </c>
      <c r="Z596" s="117" t="s">
        <v>2039</v>
      </c>
      <c r="AA596" s="109" t="s">
        <v>1921</v>
      </c>
      <c r="AB596" s="109" t="s">
        <v>1921</v>
      </c>
      <c r="AC596" s="109" t="s">
        <v>1924</v>
      </c>
      <c r="AD596" s="166" t="s">
        <v>1119</v>
      </c>
      <c r="AE596" s="174" t="s">
        <v>48</v>
      </c>
      <c r="AF596" s="117" t="s">
        <v>48</v>
      </c>
      <c r="AG596" s="117" t="s">
        <v>48</v>
      </c>
      <c r="AH596" s="109" t="s">
        <v>48</v>
      </c>
      <c r="AI596" s="117" t="s">
        <v>48</v>
      </c>
      <c r="AJ596" s="117" t="s">
        <v>48</v>
      </c>
      <c r="AK596" s="182" t="s">
        <v>48</v>
      </c>
      <c r="AL596" s="165" t="s">
        <v>1318</v>
      </c>
      <c r="AM596" s="109" t="s">
        <v>535</v>
      </c>
      <c r="AN596" s="109" t="s">
        <v>1949</v>
      </c>
      <c r="AO596" s="109" t="s">
        <v>2039</v>
      </c>
      <c r="AP596" s="109" t="s">
        <v>1921</v>
      </c>
      <c r="AQ596" s="109" t="s">
        <v>1921</v>
      </c>
      <c r="AR596" s="109" t="s">
        <v>1924</v>
      </c>
      <c r="AS596" s="166" t="s">
        <v>1119</v>
      </c>
      <c r="AT596" s="165" t="s">
        <v>48</v>
      </c>
      <c r="AU596" s="109" t="s">
        <v>48</v>
      </c>
      <c r="AV596" s="109" t="s">
        <v>48</v>
      </c>
      <c r="AW596" s="109" t="s">
        <v>48</v>
      </c>
      <c r="AX596" s="109" t="s">
        <v>48</v>
      </c>
      <c r="AY596" s="109" t="s">
        <v>48</v>
      </c>
      <c r="AZ596" s="166" t="s">
        <v>48</v>
      </c>
      <c r="BA596" s="162" t="s">
        <v>1243</v>
      </c>
      <c r="BB596" s="109" t="s">
        <v>82</v>
      </c>
      <c r="BC596" s="109"/>
    </row>
    <row r="597" spans="1:55" ht="75" customHeight="1">
      <c r="A597" s="109" t="s">
        <v>34</v>
      </c>
      <c r="B597" s="109" t="s">
        <v>2025</v>
      </c>
      <c r="C597" s="109" t="s">
        <v>158</v>
      </c>
      <c r="D597" s="109" t="s">
        <v>535</v>
      </c>
      <c r="E597" s="161">
        <v>15000</v>
      </c>
      <c r="F597" s="165" t="s">
        <v>535</v>
      </c>
      <c r="G597" s="109" t="s">
        <v>535</v>
      </c>
      <c r="H597" s="109" t="s">
        <v>48</v>
      </c>
      <c r="I597" s="109" t="s">
        <v>48</v>
      </c>
      <c r="J597" s="109" t="s">
        <v>48</v>
      </c>
      <c r="K597" s="109" t="s">
        <v>48</v>
      </c>
      <c r="L597" s="109" t="s">
        <v>48</v>
      </c>
      <c r="M597" s="166" t="s">
        <v>48</v>
      </c>
      <c r="N597" s="162" t="s">
        <v>48</v>
      </c>
      <c r="O597" s="109" t="s">
        <v>48</v>
      </c>
      <c r="P597" s="162" t="s">
        <v>48</v>
      </c>
      <c r="Q597" s="109" t="s">
        <v>48</v>
      </c>
      <c r="R597" s="109" t="s">
        <v>48</v>
      </c>
      <c r="S597" s="109" t="s">
        <v>48</v>
      </c>
      <c r="T597" s="109" t="s">
        <v>48</v>
      </c>
      <c r="U597" s="109" t="s">
        <v>48</v>
      </c>
      <c r="V597" s="166" t="s">
        <v>48</v>
      </c>
      <c r="W597" s="165" t="s">
        <v>535</v>
      </c>
      <c r="X597" s="109" t="s">
        <v>535</v>
      </c>
      <c r="Y597" s="109" t="s">
        <v>48</v>
      </c>
      <c r="Z597" s="109" t="s">
        <v>48</v>
      </c>
      <c r="AA597" s="109" t="s">
        <v>48</v>
      </c>
      <c r="AB597" s="109" t="s">
        <v>48</v>
      </c>
      <c r="AC597" s="109" t="s">
        <v>48</v>
      </c>
      <c r="AD597" s="166" t="s">
        <v>48</v>
      </c>
      <c r="AE597" s="174" t="s">
        <v>48</v>
      </c>
      <c r="AF597" s="117" t="s">
        <v>48</v>
      </c>
      <c r="AG597" s="117" t="s">
        <v>48</v>
      </c>
      <c r="AH597" s="109" t="s">
        <v>48</v>
      </c>
      <c r="AI597" s="117" t="s">
        <v>48</v>
      </c>
      <c r="AJ597" s="117" t="s">
        <v>48</v>
      </c>
      <c r="AK597" s="182" t="s">
        <v>48</v>
      </c>
      <c r="AL597" s="165" t="s">
        <v>907</v>
      </c>
      <c r="AM597" s="109" t="s">
        <v>535</v>
      </c>
      <c r="AN597" s="109" t="s">
        <v>1948</v>
      </c>
      <c r="AO597" s="109" t="s">
        <v>1908</v>
      </c>
      <c r="AP597" s="109" t="s">
        <v>1921</v>
      </c>
      <c r="AQ597" s="109" t="s">
        <v>1921</v>
      </c>
      <c r="AR597" s="109" t="s">
        <v>1946</v>
      </c>
      <c r="AS597" s="166" t="s">
        <v>1119</v>
      </c>
      <c r="AT597" s="165" t="s">
        <v>48</v>
      </c>
      <c r="AU597" s="109" t="s">
        <v>48</v>
      </c>
      <c r="AV597" s="109" t="s">
        <v>48</v>
      </c>
      <c r="AW597" s="109" t="s">
        <v>48</v>
      </c>
      <c r="AX597" s="109" t="s">
        <v>48</v>
      </c>
      <c r="AY597" s="109" t="s">
        <v>48</v>
      </c>
      <c r="AZ597" s="166" t="s">
        <v>48</v>
      </c>
      <c r="BA597" s="162" t="s">
        <v>1242</v>
      </c>
      <c r="BB597" s="109" t="s">
        <v>82</v>
      </c>
      <c r="BC597" s="109"/>
    </row>
    <row r="598" spans="1:55" ht="75" customHeight="1">
      <c r="A598" s="109" t="s">
        <v>34</v>
      </c>
      <c r="B598" s="109" t="s">
        <v>2025</v>
      </c>
      <c r="C598" s="109" t="s">
        <v>158</v>
      </c>
      <c r="D598" s="109" t="s">
        <v>535</v>
      </c>
      <c r="E598" s="161">
        <v>15000</v>
      </c>
      <c r="F598" s="165" t="s">
        <v>535</v>
      </c>
      <c r="G598" s="109" t="s">
        <v>535</v>
      </c>
      <c r="H598" s="109" t="s">
        <v>48</v>
      </c>
      <c r="I598" s="109" t="s">
        <v>48</v>
      </c>
      <c r="J598" s="109" t="s">
        <v>48</v>
      </c>
      <c r="K598" s="109" t="s">
        <v>48</v>
      </c>
      <c r="L598" s="109" t="s">
        <v>48</v>
      </c>
      <c r="M598" s="166" t="s">
        <v>48</v>
      </c>
      <c r="N598" s="162" t="s">
        <v>48</v>
      </c>
      <c r="O598" s="109" t="s">
        <v>48</v>
      </c>
      <c r="P598" s="162" t="s">
        <v>48</v>
      </c>
      <c r="Q598" s="109" t="s">
        <v>48</v>
      </c>
      <c r="R598" s="109" t="s">
        <v>48</v>
      </c>
      <c r="S598" s="109" t="s">
        <v>48</v>
      </c>
      <c r="T598" s="109" t="s">
        <v>48</v>
      </c>
      <c r="U598" s="109" t="s">
        <v>48</v>
      </c>
      <c r="V598" s="166" t="s">
        <v>48</v>
      </c>
      <c r="W598" s="165" t="s">
        <v>535</v>
      </c>
      <c r="X598" s="109" t="s">
        <v>535</v>
      </c>
      <c r="Y598" s="109" t="s">
        <v>48</v>
      </c>
      <c r="Z598" s="109" t="s">
        <v>48</v>
      </c>
      <c r="AA598" s="109" t="s">
        <v>48</v>
      </c>
      <c r="AB598" s="109" t="s">
        <v>48</v>
      </c>
      <c r="AC598" s="109" t="s">
        <v>48</v>
      </c>
      <c r="AD598" s="166" t="s">
        <v>48</v>
      </c>
      <c r="AE598" s="174" t="s">
        <v>48</v>
      </c>
      <c r="AF598" s="117" t="s">
        <v>48</v>
      </c>
      <c r="AG598" s="117" t="s">
        <v>48</v>
      </c>
      <c r="AH598" s="109" t="s">
        <v>48</v>
      </c>
      <c r="AI598" s="117" t="s">
        <v>48</v>
      </c>
      <c r="AJ598" s="117" t="s">
        <v>48</v>
      </c>
      <c r="AK598" s="182" t="s">
        <v>48</v>
      </c>
      <c r="AL598" s="165" t="s">
        <v>1318</v>
      </c>
      <c r="AM598" s="109" t="s">
        <v>535</v>
      </c>
      <c r="AN598" s="109" t="s">
        <v>1949</v>
      </c>
      <c r="AO598" s="109" t="s">
        <v>2039</v>
      </c>
      <c r="AP598" s="109" t="s">
        <v>1921</v>
      </c>
      <c r="AQ598" s="109" t="s">
        <v>1921</v>
      </c>
      <c r="AR598" s="109" t="s">
        <v>1924</v>
      </c>
      <c r="AS598" s="166" t="s">
        <v>1119</v>
      </c>
      <c r="AT598" s="165" t="s">
        <v>48</v>
      </c>
      <c r="AU598" s="109" t="s">
        <v>48</v>
      </c>
      <c r="AV598" s="109" t="s">
        <v>48</v>
      </c>
      <c r="AW598" s="109" t="s">
        <v>48</v>
      </c>
      <c r="AX598" s="109" t="s">
        <v>48</v>
      </c>
      <c r="AY598" s="109" t="s">
        <v>48</v>
      </c>
      <c r="AZ598" s="166" t="s">
        <v>48</v>
      </c>
      <c r="BA598" s="162" t="s">
        <v>1242</v>
      </c>
      <c r="BB598" s="109" t="s">
        <v>82</v>
      </c>
      <c r="BC598" s="109"/>
    </row>
    <row r="599" spans="1:55" ht="75" hidden="1" customHeight="1">
      <c r="A599" s="109" t="s">
        <v>675</v>
      </c>
      <c r="B599" s="109" t="s">
        <v>2416</v>
      </c>
      <c r="C599" s="109" t="s">
        <v>2492</v>
      </c>
      <c r="D599" s="109" t="s">
        <v>2488</v>
      </c>
      <c r="E599" s="161">
        <v>15000</v>
      </c>
      <c r="F599" s="165" t="s">
        <v>2487</v>
      </c>
      <c r="G599" s="109" t="s">
        <v>2487</v>
      </c>
      <c r="H599" s="109" t="s">
        <v>48</v>
      </c>
      <c r="I599" s="109" t="s">
        <v>48</v>
      </c>
      <c r="J599" s="109" t="s">
        <v>48</v>
      </c>
      <c r="K599" s="109" t="s">
        <v>48</v>
      </c>
      <c r="L599" s="109" t="s">
        <v>48</v>
      </c>
      <c r="M599" s="166" t="s">
        <v>48</v>
      </c>
      <c r="N599" s="162" t="s">
        <v>48</v>
      </c>
      <c r="O599" s="109" t="s">
        <v>48</v>
      </c>
      <c r="P599" s="162" t="s">
        <v>48</v>
      </c>
      <c r="Q599" s="109" t="s">
        <v>48</v>
      </c>
      <c r="R599" s="109" t="s">
        <v>48</v>
      </c>
      <c r="S599" s="109" t="s">
        <v>48</v>
      </c>
      <c r="T599" s="109" t="s">
        <v>48</v>
      </c>
      <c r="U599" s="109" t="s">
        <v>48</v>
      </c>
      <c r="V599" s="166" t="s">
        <v>48</v>
      </c>
      <c r="W599" s="165" t="s">
        <v>2487</v>
      </c>
      <c r="X599" s="109" t="s">
        <v>2487</v>
      </c>
      <c r="Y599" s="109" t="s">
        <v>48</v>
      </c>
      <c r="Z599" s="109" t="s">
        <v>48</v>
      </c>
      <c r="AA599" s="109" t="s">
        <v>48</v>
      </c>
      <c r="AB599" s="109" t="s">
        <v>48</v>
      </c>
      <c r="AC599" s="109" t="s">
        <v>48</v>
      </c>
      <c r="AD599" s="166" t="s">
        <v>48</v>
      </c>
      <c r="AE599" s="165" t="s">
        <v>48</v>
      </c>
      <c r="AF599" s="109" t="s">
        <v>48</v>
      </c>
      <c r="AG599" s="109" t="s">
        <v>48</v>
      </c>
      <c r="AH599" s="109" t="s">
        <v>48</v>
      </c>
      <c r="AI599" s="109" t="s">
        <v>48</v>
      </c>
      <c r="AJ599" s="109" t="s">
        <v>48</v>
      </c>
      <c r="AK599" s="166" t="s">
        <v>48</v>
      </c>
      <c r="AL599" s="165" t="s">
        <v>2487</v>
      </c>
      <c r="AM599" s="109" t="s">
        <v>2487</v>
      </c>
      <c r="AN599" s="109" t="s">
        <v>48</v>
      </c>
      <c r="AO599" s="109" t="s">
        <v>48</v>
      </c>
      <c r="AP599" s="109" t="s">
        <v>48</v>
      </c>
      <c r="AQ599" s="109" t="s">
        <v>48</v>
      </c>
      <c r="AR599" s="109" t="s">
        <v>48</v>
      </c>
      <c r="AS599" s="166" t="s">
        <v>48</v>
      </c>
      <c r="AT599" s="165" t="s">
        <v>676</v>
      </c>
      <c r="AU599" s="109" t="s">
        <v>676</v>
      </c>
      <c r="AV599" s="109" t="s">
        <v>676</v>
      </c>
      <c r="AW599" s="109" t="s">
        <v>676</v>
      </c>
      <c r="AX599" s="109" t="s">
        <v>676</v>
      </c>
      <c r="AY599" s="109" t="s">
        <v>676</v>
      </c>
      <c r="AZ599" s="166" t="s">
        <v>676</v>
      </c>
      <c r="BA599" s="162" t="s">
        <v>2854</v>
      </c>
      <c r="BB599" s="109" t="s">
        <v>2491</v>
      </c>
      <c r="BC599" s="109" t="s">
        <v>2869</v>
      </c>
    </row>
    <row r="600" spans="1:55" ht="75" hidden="1" customHeight="1">
      <c r="A600" s="109" t="s">
        <v>2336</v>
      </c>
      <c r="B600" s="109" t="s">
        <v>2010</v>
      </c>
      <c r="C600" s="109" t="s">
        <v>2492</v>
      </c>
      <c r="D600" s="109" t="s">
        <v>2488</v>
      </c>
      <c r="E600" s="161">
        <v>15000</v>
      </c>
      <c r="F600" s="165" t="s">
        <v>2489</v>
      </c>
      <c r="G600" s="109" t="s">
        <v>2489</v>
      </c>
      <c r="H600" s="109" t="s">
        <v>48</v>
      </c>
      <c r="I600" s="109" t="s">
        <v>48</v>
      </c>
      <c r="J600" s="109" t="s">
        <v>48</v>
      </c>
      <c r="K600" s="109" t="s">
        <v>48</v>
      </c>
      <c r="L600" s="109" t="s">
        <v>48</v>
      </c>
      <c r="M600" s="166" t="s">
        <v>48</v>
      </c>
      <c r="N600" s="162" t="s">
        <v>48</v>
      </c>
      <c r="O600" s="109" t="s">
        <v>48</v>
      </c>
      <c r="P600" s="162" t="s">
        <v>48</v>
      </c>
      <c r="Q600" s="109" t="s">
        <v>48</v>
      </c>
      <c r="R600" s="109" t="s">
        <v>48</v>
      </c>
      <c r="S600" s="109" t="s">
        <v>48</v>
      </c>
      <c r="T600" s="109" t="s">
        <v>48</v>
      </c>
      <c r="U600" s="109" t="s">
        <v>48</v>
      </c>
      <c r="V600" s="166" t="s">
        <v>48</v>
      </c>
      <c r="W600" s="165" t="s">
        <v>2489</v>
      </c>
      <c r="X600" s="109" t="s">
        <v>2489</v>
      </c>
      <c r="Y600" s="109" t="s">
        <v>48</v>
      </c>
      <c r="Z600" s="109" t="s">
        <v>48</v>
      </c>
      <c r="AA600" s="109" t="s">
        <v>48</v>
      </c>
      <c r="AB600" s="109" t="s">
        <v>48</v>
      </c>
      <c r="AC600" s="109" t="s">
        <v>48</v>
      </c>
      <c r="AD600" s="166" t="s">
        <v>48</v>
      </c>
      <c r="AE600" s="165" t="s">
        <v>48</v>
      </c>
      <c r="AF600" s="109" t="s">
        <v>48</v>
      </c>
      <c r="AG600" s="109" t="s">
        <v>48</v>
      </c>
      <c r="AH600" s="109" t="s">
        <v>48</v>
      </c>
      <c r="AI600" s="109" t="s">
        <v>48</v>
      </c>
      <c r="AJ600" s="109" t="s">
        <v>48</v>
      </c>
      <c r="AK600" s="166" t="s">
        <v>48</v>
      </c>
      <c r="AL600" s="165" t="s">
        <v>2489</v>
      </c>
      <c r="AM600" s="109" t="s">
        <v>2489</v>
      </c>
      <c r="AN600" s="109" t="s">
        <v>48</v>
      </c>
      <c r="AO600" s="109" t="s">
        <v>48</v>
      </c>
      <c r="AP600" s="109" t="s">
        <v>48</v>
      </c>
      <c r="AQ600" s="109" t="s">
        <v>48</v>
      </c>
      <c r="AR600" s="109" t="s">
        <v>48</v>
      </c>
      <c r="AS600" s="166" t="s">
        <v>48</v>
      </c>
      <c r="AT600" s="165" t="s">
        <v>676</v>
      </c>
      <c r="AU600" s="109" t="s">
        <v>676</v>
      </c>
      <c r="AV600" s="109" t="s">
        <v>676</v>
      </c>
      <c r="AW600" s="109" t="s">
        <v>676</v>
      </c>
      <c r="AX600" s="109" t="s">
        <v>676</v>
      </c>
      <c r="AY600" s="109" t="s">
        <v>676</v>
      </c>
      <c r="AZ600" s="166" t="s">
        <v>676</v>
      </c>
      <c r="BA600" s="162" t="s">
        <v>2554</v>
      </c>
      <c r="BB600" s="109" t="s">
        <v>2491</v>
      </c>
      <c r="BC600" s="109" t="s">
        <v>2490</v>
      </c>
    </row>
    <row r="601" spans="1:55" ht="75" customHeight="1">
      <c r="A601" s="109" t="s">
        <v>2496</v>
      </c>
      <c r="B601" s="109" t="s">
        <v>2578</v>
      </c>
      <c r="C601" s="109" t="s">
        <v>2492</v>
      </c>
      <c r="D601" s="109" t="s">
        <v>2489</v>
      </c>
      <c r="E601" s="161">
        <v>15000</v>
      </c>
      <c r="F601" s="165" t="s">
        <v>2489</v>
      </c>
      <c r="G601" s="109" t="s">
        <v>2489</v>
      </c>
      <c r="H601" s="109" t="s">
        <v>48</v>
      </c>
      <c r="I601" s="109" t="s">
        <v>48</v>
      </c>
      <c r="J601" s="109" t="s">
        <v>48</v>
      </c>
      <c r="K601" s="109" t="s">
        <v>48</v>
      </c>
      <c r="L601" s="109" t="s">
        <v>48</v>
      </c>
      <c r="M601" s="166" t="s">
        <v>48</v>
      </c>
      <c r="N601" s="162" t="s">
        <v>48</v>
      </c>
      <c r="O601" s="109" t="s">
        <v>48</v>
      </c>
      <c r="P601" s="162" t="s">
        <v>48</v>
      </c>
      <c r="Q601" s="109" t="s">
        <v>48</v>
      </c>
      <c r="R601" s="109" t="s">
        <v>48</v>
      </c>
      <c r="S601" s="109" t="s">
        <v>48</v>
      </c>
      <c r="T601" s="109" t="s">
        <v>48</v>
      </c>
      <c r="U601" s="109" t="s">
        <v>48</v>
      </c>
      <c r="V601" s="166" t="s">
        <v>48</v>
      </c>
      <c r="W601" s="165" t="s">
        <v>2489</v>
      </c>
      <c r="X601" s="109" t="s">
        <v>2489</v>
      </c>
      <c r="Y601" s="109" t="s">
        <v>48</v>
      </c>
      <c r="Z601" s="109" t="s">
        <v>48</v>
      </c>
      <c r="AA601" s="109" t="s">
        <v>48</v>
      </c>
      <c r="AB601" s="109" t="s">
        <v>48</v>
      </c>
      <c r="AC601" s="109" t="s">
        <v>48</v>
      </c>
      <c r="AD601" s="166" t="s">
        <v>48</v>
      </c>
      <c r="AE601" s="165" t="s">
        <v>48</v>
      </c>
      <c r="AF601" s="109" t="s">
        <v>48</v>
      </c>
      <c r="AG601" s="109" t="s">
        <v>48</v>
      </c>
      <c r="AH601" s="109" t="s">
        <v>48</v>
      </c>
      <c r="AI601" s="109" t="s">
        <v>48</v>
      </c>
      <c r="AJ601" s="109" t="s">
        <v>48</v>
      </c>
      <c r="AK601" s="166" t="s">
        <v>48</v>
      </c>
      <c r="AL601" s="165" t="s">
        <v>2489</v>
      </c>
      <c r="AM601" s="109" t="s">
        <v>2489</v>
      </c>
      <c r="AN601" s="109" t="s">
        <v>48</v>
      </c>
      <c r="AO601" s="109" t="s">
        <v>48</v>
      </c>
      <c r="AP601" s="109" t="s">
        <v>48</v>
      </c>
      <c r="AQ601" s="109" t="s">
        <v>48</v>
      </c>
      <c r="AR601" s="109" t="s">
        <v>48</v>
      </c>
      <c r="AS601" s="166" t="s">
        <v>48</v>
      </c>
      <c r="AT601" s="165" t="s">
        <v>676</v>
      </c>
      <c r="AU601" s="109" t="s">
        <v>676</v>
      </c>
      <c r="AV601" s="109" t="s">
        <v>676</v>
      </c>
      <c r="AW601" s="109" t="s">
        <v>676</v>
      </c>
      <c r="AX601" s="109" t="s">
        <v>676</v>
      </c>
      <c r="AY601" s="109" t="s">
        <v>676</v>
      </c>
      <c r="AZ601" s="166" t="s">
        <v>676</v>
      </c>
      <c r="BA601" s="162" t="s">
        <v>2554</v>
      </c>
      <c r="BB601" s="109" t="s">
        <v>2491</v>
      </c>
      <c r="BC601" s="109" t="s">
        <v>2490</v>
      </c>
    </row>
    <row r="602" spans="1:55" ht="75" hidden="1" customHeight="1">
      <c r="A602" s="109" t="s">
        <v>2498</v>
      </c>
      <c r="B602" s="109" t="s">
        <v>2578</v>
      </c>
      <c r="C602" s="109" t="s">
        <v>2492</v>
      </c>
      <c r="D602" s="109" t="s">
        <v>2488</v>
      </c>
      <c r="E602" s="161">
        <v>15000</v>
      </c>
      <c r="F602" s="165" t="s">
        <v>2489</v>
      </c>
      <c r="G602" s="109" t="s">
        <v>2489</v>
      </c>
      <c r="H602" s="109" t="s">
        <v>48</v>
      </c>
      <c r="I602" s="109" t="s">
        <v>48</v>
      </c>
      <c r="J602" s="109" t="s">
        <v>48</v>
      </c>
      <c r="K602" s="109" t="s">
        <v>48</v>
      </c>
      <c r="L602" s="109" t="s">
        <v>48</v>
      </c>
      <c r="M602" s="166" t="s">
        <v>48</v>
      </c>
      <c r="N602" s="162" t="s">
        <v>48</v>
      </c>
      <c r="O602" s="109" t="s">
        <v>48</v>
      </c>
      <c r="P602" s="162" t="s">
        <v>48</v>
      </c>
      <c r="Q602" s="109" t="s">
        <v>48</v>
      </c>
      <c r="R602" s="109" t="s">
        <v>48</v>
      </c>
      <c r="S602" s="109" t="s">
        <v>48</v>
      </c>
      <c r="T602" s="109" t="s">
        <v>48</v>
      </c>
      <c r="U602" s="109" t="s">
        <v>48</v>
      </c>
      <c r="V602" s="166" t="s">
        <v>48</v>
      </c>
      <c r="W602" s="165" t="s">
        <v>2489</v>
      </c>
      <c r="X602" s="109" t="s">
        <v>2489</v>
      </c>
      <c r="Y602" s="109" t="s">
        <v>48</v>
      </c>
      <c r="Z602" s="109" t="s">
        <v>48</v>
      </c>
      <c r="AA602" s="109" t="s">
        <v>48</v>
      </c>
      <c r="AB602" s="109" t="s">
        <v>48</v>
      </c>
      <c r="AC602" s="109" t="s">
        <v>48</v>
      </c>
      <c r="AD602" s="166" t="s">
        <v>48</v>
      </c>
      <c r="AE602" s="165" t="s">
        <v>48</v>
      </c>
      <c r="AF602" s="109" t="s">
        <v>48</v>
      </c>
      <c r="AG602" s="109" t="s">
        <v>48</v>
      </c>
      <c r="AH602" s="109" t="s">
        <v>48</v>
      </c>
      <c r="AI602" s="109" t="s">
        <v>48</v>
      </c>
      <c r="AJ602" s="109" t="s">
        <v>48</v>
      </c>
      <c r="AK602" s="166" t="s">
        <v>48</v>
      </c>
      <c r="AL602" s="165" t="s">
        <v>2489</v>
      </c>
      <c r="AM602" s="109" t="s">
        <v>2489</v>
      </c>
      <c r="AN602" s="109" t="s">
        <v>48</v>
      </c>
      <c r="AO602" s="109" t="s">
        <v>48</v>
      </c>
      <c r="AP602" s="109" t="s">
        <v>48</v>
      </c>
      <c r="AQ602" s="109" t="s">
        <v>48</v>
      </c>
      <c r="AR602" s="109" t="s">
        <v>48</v>
      </c>
      <c r="AS602" s="166" t="s">
        <v>48</v>
      </c>
      <c r="AT602" s="165" t="s">
        <v>676</v>
      </c>
      <c r="AU602" s="109" t="s">
        <v>676</v>
      </c>
      <c r="AV602" s="109" t="s">
        <v>676</v>
      </c>
      <c r="AW602" s="109" t="s">
        <v>676</v>
      </c>
      <c r="AX602" s="109" t="s">
        <v>676</v>
      </c>
      <c r="AY602" s="109" t="s">
        <v>676</v>
      </c>
      <c r="AZ602" s="166" t="s">
        <v>676</v>
      </c>
      <c r="BA602" s="162" t="s">
        <v>2554</v>
      </c>
      <c r="BB602" s="109" t="s">
        <v>2491</v>
      </c>
      <c r="BC602" s="109" t="s">
        <v>2490</v>
      </c>
    </row>
    <row r="603" spans="1:55" ht="75" hidden="1" customHeight="1">
      <c r="A603" s="109" t="s">
        <v>2546</v>
      </c>
      <c r="B603" s="109" t="s">
        <v>2545</v>
      </c>
      <c r="C603" s="109" t="s">
        <v>2492</v>
      </c>
      <c r="D603" s="109" t="s">
        <v>2488</v>
      </c>
      <c r="E603" s="161">
        <v>15000</v>
      </c>
      <c r="F603" s="165" t="s">
        <v>2488</v>
      </c>
      <c r="G603" s="109" t="s">
        <v>2488</v>
      </c>
      <c r="H603" s="109" t="s">
        <v>48</v>
      </c>
      <c r="I603" s="109" t="s">
        <v>48</v>
      </c>
      <c r="J603" s="109" t="s">
        <v>48</v>
      </c>
      <c r="K603" s="109" t="s">
        <v>48</v>
      </c>
      <c r="L603" s="109" t="s">
        <v>48</v>
      </c>
      <c r="M603" s="166" t="s">
        <v>48</v>
      </c>
      <c r="N603" s="162" t="s">
        <v>48</v>
      </c>
      <c r="O603" s="109" t="s">
        <v>48</v>
      </c>
      <c r="P603" s="162" t="s">
        <v>48</v>
      </c>
      <c r="Q603" s="109" t="s">
        <v>48</v>
      </c>
      <c r="R603" s="109" t="s">
        <v>48</v>
      </c>
      <c r="S603" s="109" t="s">
        <v>48</v>
      </c>
      <c r="T603" s="109" t="s">
        <v>48</v>
      </c>
      <c r="U603" s="109" t="s">
        <v>48</v>
      </c>
      <c r="V603" s="166" t="s">
        <v>48</v>
      </c>
      <c r="W603" s="165" t="s">
        <v>2488</v>
      </c>
      <c r="X603" s="109" t="s">
        <v>2488</v>
      </c>
      <c r="Y603" s="109" t="s">
        <v>48</v>
      </c>
      <c r="Z603" s="109" t="s">
        <v>48</v>
      </c>
      <c r="AA603" s="109" t="s">
        <v>48</v>
      </c>
      <c r="AB603" s="109" t="s">
        <v>48</v>
      </c>
      <c r="AC603" s="109" t="s">
        <v>48</v>
      </c>
      <c r="AD603" s="166" t="s">
        <v>48</v>
      </c>
      <c r="AE603" s="165" t="s">
        <v>48</v>
      </c>
      <c r="AF603" s="109" t="s">
        <v>48</v>
      </c>
      <c r="AG603" s="109" t="s">
        <v>48</v>
      </c>
      <c r="AH603" s="109" t="s">
        <v>48</v>
      </c>
      <c r="AI603" s="109" t="s">
        <v>48</v>
      </c>
      <c r="AJ603" s="109" t="s">
        <v>48</v>
      </c>
      <c r="AK603" s="166" t="s">
        <v>48</v>
      </c>
      <c r="AL603" s="165" t="s">
        <v>2488</v>
      </c>
      <c r="AM603" s="109" t="s">
        <v>2488</v>
      </c>
      <c r="AN603" s="109" t="s">
        <v>48</v>
      </c>
      <c r="AO603" s="109" t="s">
        <v>48</v>
      </c>
      <c r="AP603" s="109" t="s">
        <v>48</v>
      </c>
      <c r="AQ603" s="109" t="s">
        <v>48</v>
      </c>
      <c r="AR603" s="109" t="s">
        <v>48</v>
      </c>
      <c r="AS603" s="166" t="s">
        <v>48</v>
      </c>
      <c r="AT603" s="165" t="s">
        <v>676</v>
      </c>
      <c r="AU603" s="109" t="s">
        <v>676</v>
      </c>
      <c r="AV603" s="109" t="s">
        <v>676</v>
      </c>
      <c r="AW603" s="109" t="s">
        <v>676</v>
      </c>
      <c r="AX603" s="109" t="s">
        <v>676</v>
      </c>
      <c r="AY603" s="109" t="s">
        <v>676</v>
      </c>
      <c r="AZ603" s="166" t="s">
        <v>676</v>
      </c>
      <c r="BA603" s="162" t="s">
        <v>2554</v>
      </c>
      <c r="BB603" s="109" t="s">
        <v>2491</v>
      </c>
      <c r="BC603" s="109" t="s">
        <v>2490</v>
      </c>
    </row>
    <row r="604" spans="1:55" ht="75" hidden="1" customHeight="1">
      <c r="A604" s="109" t="s">
        <v>2547</v>
      </c>
      <c r="B604" s="109" t="s">
        <v>2548</v>
      </c>
      <c r="C604" s="109" t="s">
        <v>2492</v>
      </c>
      <c r="D604" s="109" t="s">
        <v>2488</v>
      </c>
      <c r="E604" s="161">
        <v>15000</v>
      </c>
      <c r="F604" s="165" t="s">
        <v>2488</v>
      </c>
      <c r="G604" s="109" t="s">
        <v>2488</v>
      </c>
      <c r="H604" s="109" t="s">
        <v>48</v>
      </c>
      <c r="I604" s="109" t="s">
        <v>48</v>
      </c>
      <c r="J604" s="109" t="s">
        <v>48</v>
      </c>
      <c r="K604" s="109" t="s">
        <v>48</v>
      </c>
      <c r="L604" s="109" t="s">
        <v>48</v>
      </c>
      <c r="M604" s="166" t="s">
        <v>48</v>
      </c>
      <c r="N604" s="162" t="s">
        <v>48</v>
      </c>
      <c r="O604" s="109" t="s">
        <v>48</v>
      </c>
      <c r="P604" s="162" t="s">
        <v>48</v>
      </c>
      <c r="Q604" s="109" t="s">
        <v>48</v>
      </c>
      <c r="R604" s="109" t="s">
        <v>48</v>
      </c>
      <c r="S604" s="109" t="s">
        <v>48</v>
      </c>
      <c r="T604" s="109" t="s">
        <v>48</v>
      </c>
      <c r="U604" s="109" t="s">
        <v>48</v>
      </c>
      <c r="V604" s="166" t="s">
        <v>48</v>
      </c>
      <c r="W604" s="165" t="s">
        <v>2488</v>
      </c>
      <c r="X604" s="109" t="s">
        <v>2488</v>
      </c>
      <c r="Y604" s="109" t="s">
        <v>48</v>
      </c>
      <c r="Z604" s="109" t="s">
        <v>48</v>
      </c>
      <c r="AA604" s="109" t="s">
        <v>48</v>
      </c>
      <c r="AB604" s="109" t="s">
        <v>48</v>
      </c>
      <c r="AC604" s="109" t="s">
        <v>48</v>
      </c>
      <c r="AD604" s="166" t="s">
        <v>48</v>
      </c>
      <c r="AE604" s="165" t="s">
        <v>48</v>
      </c>
      <c r="AF604" s="109" t="s">
        <v>48</v>
      </c>
      <c r="AG604" s="109" t="s">
        <v>48</v>
      </c>
      <c r="AH604" s="109" t="s">
        <v>48</v>
      </c>
      <c r="AI604" s="109" t="s">
        <v>48</v>
      </c>
      <c r="AJ604" s="109" t="s">
        <v>48</v>
      </c>
      <c r="AK604" s="166" t="s">
        <v>48</v>
      </c>
      <c r="AL604" s="165" t="s">
        <v>2488</v>
      </c>
      <c r="AM604" s="109" t="s">
        <v>2488</v>
      </c>
      <c r="AN604" s="109" t="s">
        <v>48</v>
      </c>
      <c r="AO604" s="109" t="s">
        <v>48</v>
      </c>
      <c r="AP604" s="109" t="s">
        <v>48</v>
      </c>
      <c r="AQ604" s="109" t="s">
        <v>48</v>
      </c>
      <c r="AR604" s="109" t="s">
        <v>48</v>
      </c>
      <c r="AS604" s="166" t="s">
        <v>48</v>
      </c>
      <c r="AT604" s="165" t="s">
        <v>676</v>
      </c>
      <c r="AU604" s="109" t="s">
        <v>676</v>
      </c>
      <c r="AV604" s="109" t="s">
        <v>676</v>
      </c>
      <c r="AW604" s="109" t="s">
        <v>676</v>
      </c>
      <c r="AX604" s="109" t="s">
        <v>676</v>
      </c>
      <c r="AY604" s="109" t="s">
        <v>676</v>
      </c>
      <c r="AZ604" s="166" t="s">
        <v>676</v>
      </c>
      <c r="BA604" s="162" t="s">
        <v>2554</v>
      </c>
      <c r="BB604" s="109" t="s">
        <v>2491</v>
      </c>
      <c r="BC604" s="109" t="s">
        <v>2490</v>
      </c>
    </row>
    <row r="605" spans="1:55" ht="75" hidden="1" customHeight="1">
      <c r="A605" s="109" t="s">
        <v>2555</v>
      </c>
      <c r="B605" s="109" t="s">
        <v>2579</v>
      </c>
      <c r="C605" s="109" t="s">
        <v>2492</v>
      </c>
      <c r="D605" s="109" t="s">
        <v>2488</v>
      </c>
      <c r="E605" s="161">
        <v>15000</v>
      </c>
      <c r="F605" s="165" t="s">
        <v>2488</v>
      </c>
      <c r="G605" s="109" t="s">
        <v>2488</v>
      </c>
      <c r="H605" s="109" t="s">
        <v>48</v>
      </c>
      <c r="I605" s="109" t="s">
        <v>48</v>
      </c>
      <c r="J605" s="109" t="s">
        <v>48</v>
      </c>
      <c r="K605" s="109" t="s">
        <v>48</v>
      </c>
      <c r="L605" s="109" t="s">
        <v>48</v>
      </c>
      <c r="M605" s="166" t="s">
        <v>48</v>
      </c>
      <c r="N605" s="162" t="s">
        <v>48</v>
      </c>
      <c r="O605" s="109" t="s">
        <v>48</v>
      </c>
      <c r="P605" s="162" t="s">
        <v>48</v>
      </c>
      <c r="Q605" s="109" t="s">
        <v>48</v>
      </c>
      <c r="R605" s="109" t="s">
        <v>48</v>
      </c>
      <c r="S605" s="109" t="s">
        <v>48</v>
      </c>
      <c r="T605" s="109" t="s">
        <v>48</v>
      </c>
      <c r="U605" s="109" t="s">
        <v>48</v>
      </c>
      <c r="V605" s="166" t="s">
        <v>48</v>
      </c>
      <c r="W605" s="165" t="s">
        <v>2488</v>
      </c>
      <c r="X605" s="109" t="s">
        <v>2488</v>
      </c>
      <c r="Y605" s="109" t="s">
        <v>48</v>
      </c>
      <c r="Z605" s="109" t="s">
        <v>48</v>
      </c>
      <c r="AA605" s="109" t="s">
        <v>48</v>
      </c>
      <c r="AB605" s="109" t="s">
        <v>48</v>
      </c>
      <c r="AC605" s="109" t="s">
        <v>48</v>
      </c>
      <c r="AD605" s="166" t="s">
        <v>48</v>
      </c>
      <c r="AE605" s="165" t="s">
        <v>48</v>
      </c>
      <c r="AF605" s="109" t="s">
        <v>48</v>
      </c>
      <c r="AG605" s="109" t="s">
        <v>48</v>
      </c>
      <c r="AH605" s="109" t="s">
        <v>48</v>
      </c>
      <c r="AI605" s="109" t="s">
        <v>48</v>
      </c>
      <c r="AJ605" s="109" t="s">
        <v>48</v>
      </c>
      <c r="AK605" s="166" t="s">
        <v>48</v>
      </c>
      <c r="AL605" s="165" t="s">
        <v>2488</v>
      </c>
      <c r="AM605" s="109" t="s">
        <v>2488</v>
      </c>
      <c r="AN605" s="109" t="s">
        <v>48</v>
      </c>
      <c r="AO605" s="109" t="s">
        <v>48</v>
      </c>
      <c r="AP605" s="109" t="s">
        <v>48</v>
      </c>
      <c r="AQ605" s="109" t="s">
        <v>48</v>
      </c>
      <c r="AR605" s="109" t="s">
        <v>48</v>
      </c>
      <c r="AS605" s="166" t="s">
        <v>48</v>
      </c>
      <c r="AT605" s="165" t="s">
        <v>676</v>
      </c>
      <c r="AU605" s="109" t="s">
        <v>676</v>
      </c>
      <c r="AV605" s="109" t="s">
        <v>676</v>
      </c>
      <c r="AW605" s="109" t="s">
        <v>676</v>
      </c>
      <c r="AX605" s="109" t="s">
        <v>676</v>
      </c>
      <c r="AY605" s="109" t="s">
        <v>676</v>
      </c>
      <c r="AZ605" s="166" t="s">
        <v>676</v>
      </c>
      <c r="BA605" s="162" t="s">
        <v>2554</v>
      </c>
      <c r="BB605" s="109" t="s">
        <v>2491</v>
      </c>
      <c r="BC605" s="109" t="s">
        <v>2490</v>
      </c>
    </row>
    <row r="606" spans="1:55" ht="75" hidden="1" customHeight="1">
      <c r="A606" s="109" t="s">
        <v>2555</v>
      </c>
      <c r="B606" s="109" t="s">
        <v>2556</v>
      </c>
      <c r="C606" s="109" t="s">
        <v>2492</v>
      </c>
      <c r="D606" s="109" t="s">
        <v>2488</v>
      </c>
      <c r="E606" s="161">
        <v>15000</v>
      </c>
      <c r="F606" s="165" t="s">
        <v>2488</v>
      </c>
      <c r="G606" s="109" t="s">
        <v>2488</v>
      </c>
      <c r="H606" s="109" t="s">
        <v>48</v>
      </c>
      <c r="I606" s="109" t="s">
        <v>48</v>
      </c>
      <c r="J606" s="109" t="s">
        <v>48</v>
      </c>
      <c r="K606" s="109" t="s">
        <v>48</v>
      </c>
      <c r="L606" s="109" t="s">
        <v>48</v>
      </c>
      <c r="M606" s="166" t="s">
        <v>48</v>
      </c>
      <c r="N606" s="162" t="s">
        <v>48</v>
      </c>
      <c r="O606" s="109" t="s">
        <v>48</v>
      </c>
      <c r="P606" s="162" t="s">
        <v>48</v>
      </c>
      <c r="Q606" s="109" t="s">
        <v>48</v>
      </c>
      <c r="R606" s="109" t="s">
        <v>48</v>
      </c>
      <c r="S606" s="109" t="s">
        <v>48</v>
      </c>
      <c r="T606" s="109" t="s">
        <v>48</v>
      </c>
      <c r="U606" s="109" t="s">
        <v>48</v>
      </c>
      <c r="V606" s="166" t="s">
        <v>48</v>
      </c>
      <c r="W606" s="165" t="s">
        <v>2488</v>
      </c>
      <c r="X606" s="109" t="s">
        <v>2488</v>
      </c>
      <c r="Y606" s="109" t="s">
        <v>48</v>
      </c>
      <c r="Z606" s="109" t="s">
        <v>48</v>
      </c>
      <c r="AA606" s="109" t="s">
        <v>48</v>
      </c>
      <c r="AB606" s="109" t="s">
        <v>48</v>
      </c>
      <c r="AC606" s="109" t="s">
        <v>48</v>
      </c>
      <c r="AD606" s="166" t="s">
        <v>48</v>
      </c>
      <c r="AE606" s="165" t="s">
        <v>48</v>
      </c>
      <c r="AF606" s="109" t="s">
        <v>48</v>
      </c>
      <c r="AG606" s="109" t="s">
        <v>48</v>
      </c>
      <c r="AH606" s="109" t="s">
        <v>48</v>
      </c>
      <c r="AI606" s="109" t="s">
        <v>48</v>
      </c>
      <c r="AJ606" s="109" t="s">
        <v>48</v>
      </c>
      <c r="AK606" s="166" t="s">
        <v>48</v>
      </c>
      <c r="AL606" s="165" t="s">
        <v>2488</v>
      </c>
      <c r="AM606" s="109" t="s">
        <v>2488</v>
      </c>
      <c r="AN606" s="109" t="s">
        <v>48</v>
      </c>
      <c r="AO606" s="109" t="s">
        <v>48</v>
      </c>
      <c r="AP606" s="109" t="s">
        <v>48</v>
      </c>
      <c r="AQ606" s="109" t="s">
        <v>48</v>
      </c>
      <c r="AR606" s="109" t="s">
        <v>48</v>
      </c>
      <c r="AS606" s="166" t="s">
        <v>48</v>
      </c>
      <c r="AT606" s="165" t="s">
        <v>676</v>
      </c>
      <c r="AU606" s="109" t="s">
        <v>676</v>
      </c>
      <c r="AV606" s="109" t="s">
        <v>676</v>
      </c>
      <c r="AW606" s="109" t="s">
        <v>676</v>
      </c>
      <c r="AX606" s="109" t="s">
        <v>676</v>
      </c>
      <c r="AY606" s="109" t="s">
        <v>676</v>
      </c>
      <c r="AZ606" s="166" t="s">
        <v>676</v>
      </c>
      <c r="BA606" s="162" t="s">
        <v>2554</v>
      </c>
      <c r="BB606" s="109" t="s">
        <v>2491</v>
      </c>
      <c r="BC606" s="109" t="s">
        <v>2490</v>
      </c>
    </row>
    <row r="607" spans="1:55" ht="75" hidden="1" customHeight="1">
      <c r="A607" s="109" t="s">
        <v>2547</v>
      </c>
      <c r="B607" s="109" t="s">
        <v>2557</v>
      </c>
      <c r="C607" s="109" t="s">
        <v>2492</v>
      </c>
      <c r="D607" s="109" t="s">
        <v>2488</v>
      </c>
      <c r="E607" s="161">
        <v>15000</v>
      </c>
      <c r="F607" s="165" t="s">
        <v>2488</v>
      </c>
      <c r="G607" s="109" t="s">
        <v>2488</v>
      </c>
      <c r="H607" s="109" t="s">
        <v>48</v>
      </c>
      <c r="I607" s="109" t="s">
        <v>48</v>
      </c>
      <c r="J607" s="109" t="s">
        <v>48</v>
      </c>
      <c r="K607" s="109" t="s">
        <v>48</v>
      </c>
      <c r="L607" s="109" t="s">
        <v>48</v>
      </c>
      <c r="M607" s="166" t="s">
        <v>48</v>
      </c>
      <c r="N607" s="162" t="s">
        <v>48</v>
      </c>
      <c r="O607" s="109" t="s">
        <v>48</v>
      </c>
      <c r="P607" s="162" t="s">
        <v>48</v>
      </c>
      <c r="Q607" s="109" t="s">
        <v>48</v>
      </c>
      <c r="R607" s="109" t="s">
        <v>48</v>
      </c>
      <c r="S607" s="109" t="s">
        <v>48</v>
      </c>
      <c r="T607" s="109" t="s">
        <v>48</v>
      </c>
      <c r="U607" s="109" t="s">
        <v>48</v>
      </c>
      <c r="V607" s="166" t="s">
        <v>48</v>
      </c>
      <c r="W607" s="165" t="s">
        <v>2488</v>
      </c>
      <c r="X607" s="109" t="s">
        <v>2488</v>
      </c>
      <c r="Y607" s="109" t="s">
        <v>48</v>
      </c>
      <c r="Z607" s="109" t="s">
        <v>48</v>
      </c>
      <c r="AA607" s="109" t="s">
        <v>48</v>
      </c>
      <c r="AB607" s="109" t="s">
        <v>48</v>
      </c>
      <c r="AC607" s="109" t="s">
        <v>48</v>
      </c>
      <c r="AD607" s="166" t="s">
        <v>48</v>
      </c>
      <c r="AE607" s="165" t="s">
        <v>48</v>
      </c>
      <c r="AF607" s="109" t="s">
        <v>48</v>
      </c>
      <c r="AG607" s="109" t="s">
        <v>48</v>
      </c>
      <c r="AH607" s="109" t="s">
        <v>48</v>
      </c>
      <c r="AI607" s="109" t="s">
        <v>48</v>
      </c>
      <c r="AJ607" s="109" t="s">
        <v>48</v>
      </c>
      <c r="AK607" s="166" t="s">
        <v>48</v>
      </c>
      <c r="AL607" s="165" t="s">
        <v>2488</v>
      </c>
      <c r="AM607" s="109" t="s">
        <v>2488</v>
      </c>
      <c r="AN607" s="109" t="s">
        <v>48</v>
      </c>
      <c r="AO607" s="109" t="s">
        <v>48</v>
      </c>
      <c r="AP607" s="109" t="s">
        <v>48</v>
      </c>
      <c r="AQ607" s="109" t="s">
        <v>48</v>
      </c>
      <c r="AR607" s="109" t="s">
        <v>48</v>
      </c>
      <c r="AS607" s="166" t="s">
        <v>48</v>
      </c>
      <c r="AT607" s="165" t="s">
        <v>676</v>
      </c>
      <c r="AU607" s="109" t="s">
        <v>676</v>
      </c>
      <c r="AV607" s="109" t="s">
        <v>676</v>
      </c>
      <c r="AW607" s="109" t="s">
        <v>676</v>
      </c>
      <c r="AX607" s="109" t="s">
        <v>676</v>
      </c>
      <c r="AY607" s="109" t="s">
        <v>676</v>
      </c>
      <c r="AZ607" s="166" t="s">
        <v>676</v>
      </c>
      <c r="BA607" s="162" t="s">
        <v>2554</v>
      </c>
      <c r="BB607" s="109" t="s">
        <v>2491</v>
      </c>
      <c r="BC607" s="109" t="s">
        <v>2490</v>
      </c>
    </row>
    <row r="608" spans="1:55" ht="75" hidden="1" customHeight="1">
      <c r="A608" s="109" t="s">
        <v>675</v>
      </c>
      <c r="B608" s="109" t="s">
        <v>2416</v>
      </c>
      <c r="C608" s="109" t="s">
        <v>2492</v>
      </c>
      <c r="D608" s="109" t="s">
        <v>2493</v>
      </c>
      <c r="E608" s="161">
        <v>15000</v>
      </c>
      <c r="F608" s="165" t="s">
        <v>2493</v>
      </c>
      <c r="G608" s="109" t="s">
        <v>2493</v>
      </c>
      <c r="H608" s="109" t="s">
        <v>48</v>
      </c>
      <c r="I608" s="109" t="s">
        <v>48</v>
      </c>
      <c r="J608" s="109" t="s">
        <v>48</v>
      </c>
      <c r="K608" s="109" t="s">
        <v>48</v>
      </c>
      <c r="L608" s="109" t="s">
        <v>48</v>
      </c>
      <c r="M608" s="166" t="s">
        <v>48</v>
      </c>
      <c r="N608" s="162" t="s">
        <v>48</v>
      </c>
      <c r="O608" s="109" t="s">
        <v>48</v>
      </c>
      <c r="P608" s="162" t="s">
        <v>48</v>
      </c>
      <c r="Q608" s="109" t="s">
        <v>48</v>
      </c>
      <c r="R608" s="109" t="s">
        <v>48</v>
      </c>
      <c r="S608" s="109" t="s">
        <v>48</v>
      </c>
      <c r="T608" s="109" t="s">
        <v>48</v>
      </c>
      <c r="U608" s="109" t="s">
        <v>48</v>
      </c>
      <c r="V608" s="166" t="s">
        <v>48</v>
      </c>
      <c r="W608" s="165" t="s">
        <v>2493</v>
      </c>
      <c r="X608" s="109" t="s">
        <v>2493</v>
      </c>
      <c r="Y608" s="109" t="s">
        <v>48</v>
      </c>
      <c r="Z608" s="109" t="s">
        <v>48</v>
      </c>
      <c r="AA608" s="109" t="s">
        <v>48</v>
      </c>
      <c r="AB608" s="109" t="s">
        <v>48</v>
      </c>
      <c r="AC608" s="109" t="s">
        <v>48</v>
      </c>
      <c r="AD608" s="166" t="s">
        <v>48</v>
      </c>
      <c r="AE608" s="165" t="s">
        <v>48</v>
      </c>
      <c r="AF608" s="109" t="s">
        <v>48</v>
      </c>
      <c r="AG608" s="109" t="s">
        <v>48</v>
      </c>
      <c r="AH608" s="109" t="s">
        <v>48</v>
      </c>
      <c r="AI608" s="109" t="s">
        <v>48</v>
      </c>
      <c r="AJ608" s="109" t="s">
        <v>48</v>
      </c>
      <c r="AK608" s="166" t="s">
        <v>48</v>
      </c>
      <c r="AL608" s="165" t="s">
        <v>2493</v>
      </c>
      <c r="AM608" s="109" t="s">
        <v>2493</v>
      </c>
      <c r="AN608" s="109" t="s">
        <v>48</v>
      </c>
      <c r="AO608" s="109" t="s">
        <v>48</v>
      </c>
      <c r="AP608" s="109" t="s">
        <v>48</v>
      </c>
      <c r="AQ608" s="109" t="s">
        <v>48</v>
      </c>
      <c r="AR608" s="109" t="s">
        <v>48</v>
      </c>
      <c r="AS608" s="166" t="s">
        <v>48</v>
      </c>
      <c r="AT608" s="165" t="s">
        <v>676</v>
      </c>
      <c r="AU608" s="109" t="s">
        <v>676</v>
      </c>
      <c r="AV608" s="109" t="s">
        <v>676</v>
      </c>
      <c r="AW608" s="109" t="s">
        <v>676</v>
      </c>
      <c r="AX608" s="109" t="s">
        <v>676</v>
      </c>
      <c r="AY608" s="109" t="s">
        <v>676</v>
      </c>
      <c r="AZ608" s="166" t="s">
        <v>676</v>
      </c>
      <c r="BA608" s="162" t="s">
        <v>2854</v>
      </c>
      <c r="BB608" s="109" t="s">
        <v>2491</v>
      </c>
      <c r="BC608" s="109" t="s">
        <v>2490</v>
      </c>
    </row>
    <row r="609" spans="1:55" ht="75" hidden="1" customHeight="1">
      <c r="A609" s="109" t="s">
        <v>2501</v>
      </c>
      <c r="B609" s="109" t="s">
        <v>2504</v>
      </c>
      <c r="C609" s="109" t="s">
        <v>2492</v>
      </c>
      <c r="D609" s="109" t="s">
        <v>2505</v>
      </c>
      <c r="E609" s="161">
        <v>15000</v>
      </c>
      <c r="F609" s="165" t="s">
        <v>2505</v>
      </c>
      <c r="G609" s="109" t="s">
        <v>2505</v>
      </c>
      <c r="H609" s="109" t="s">
        <v>48</v>
      </c>
      <c r="I609" s="109" t="s">
        <v>48</v>
      </c>
      <c r="J609" s="109" t="s">
        <v>48</v>
      </c>
      <c r="K609" s="109" t="s">
        <v>48</v>
      </c>
      <c r="L609" s="109" t="s">
        <v>48</v>
      </c>
      <c r="M609" s="166" t="s">
        <v>48</v>
      </c>
      <c r="N609" s="162" t="s">
        <v>48</v>
      </c>
      <c r="O609" s="109" t="s">
        <v>48</v>
      </c>
      <c r="P609" s="162" t="s">
        <v>48</v>
      </c>
      <c r="Q609" s="109" t="s">
        <v>48</v>
      </c>
      <c r="R609" s="109" t="s">
        <v>48</v>
      </c>
      <c r="S609" s="109" t="s">
        <v>48</v>
      </c>
      <c r="T609" s="109" t="s">
        <v>48</v>
      </c>
      <c r="U609" s="109" t="s">
        <v>48</v>
      </c>
      <c r="V609" s="166" t="s">
        <v>48</v>
      </c>
      <c r="W609" s="165" t="s">
        <v>2505</v>
      </c>
      <c r="X609" s="109" t="s">
        <v>2505</v>
      </c>
      <c r="Y609" s="109" t="s">
        <v>48</v>
      </c>
      <c r="Z609" s="109" t="s">
        <v>48</v>
      </c>
      <c r="AA609" s="109" t="s">
        <v>48</v>
      </c>
      <c r="AB609" s="109" t="s">
        <v>48</v>
      </c>
      <c r="AC609" s="109" t="s">
        <v>48</v>
      </c>
      <c r="AD609" s="166" t="s">
        <v>48</v>
      </c>
      <c r="AE609" s="165" t="s">
        <v>48</v>
      </c>
      <c r="AF609" s="109" t="s">
        <v>48</v>
      </c>
      <c r="AG609" s="109" t="s">
        <v>48</v>
      </c>
      <c r="AH609" s="109" t="s">
        <v>48</v>
      </c>
      <c r="AI609" s="109" t="s">
        <v>48</v>
      </c>
      <c r="AJ609" s="109" t="s">
        <v>48</v>
      </c>
      <c r="AK609" s="166" t="s">
        <v>48</v>
      </c>
      <c r="AL609" s="165" t="s">
        <v>2505</v>
      </c>
      <c r="AM609" s="109" t="s">
        <v>2505</v>
      </c>
      <c r="AN609" s="109" t="s">
        <v>48</v>
      </c>
      <c r="AO609" s="109" t="s">
        <v>48</v>
      </c>
      <c r="AP609" s="109" t="s">
        <v>48</v>
      </c>
      <c r="AQ609" s="109" t="s">
        <v>48</v>
      </c>
      <c r="AR609" s="109" t="s">
        <v>48</v>
      </c>
      <c r="AS609" s="166" t="s">
        <v>48</v>
      </c>
      <c r="AT609" s="165" t="s">
        <v>676</v>
      </c>
      <c r="AU609" s="109" t="s">
        <v>676</v>
      </c>
      <c r="AV609" s="109" t="s">
        <v>676</v>
      </c>
      <c r="AW609" s="109" t="s">
        <v>676</v>
      </c>
      <c r="AX609" s="109" t="s">
        <v>676</v>
      </c>
      <c r="AY609" s="109" t="s">
        <v>676</v>
      </c>
      <c r="AZ609" s="166" t="s">
        <v>676</v>
      </c>
      <c r="BA609" s="162" t="s">
        <v>2554</v>
      </c>
      <c r="BB609" s="109" t="s">
        <v>2491</v>
      </c>
      <c r="BC609" s="109" t="s">
        <v>2490</v>
      </c>
    </row>
    <row r="610" spans="1:55" ht="75" customHeight="1">
      <c r="A610" s="109" t="s">
        <v>2496</v>
      </c>
      <c r="B610" s="109" t="s">
        <v>2578</v>
      </c>
      <c r="C610" s="109" t="s">
        <v>2492</v>
      </c>
      <c r="D610" s="109" t="s">
        <v>2505</v>
      </c>
      <c r="E610" s="161">
        <v>15000</v>
      </c>
      <c r="F610" s="165" t="s">
        <v>2505</v>
      </c>
      <c r="G610" s="109" t="s">
        <v>2505</v>
      </c>
      <c r="H610" s="109" t="s">
        <v>48</v>
      </c>
      <c r="I610" s="109" t="s">
        <v>48</v>
      </c>
      <c r="J610" s="109" t="s">
        <v>48</v>
      </c>
      <c r="K610" s="109" t="s">
        <v>48</v>
      </c>
      <c r="L610" s="109" t="s">
        <v>48</v>
      </c>
      <c r="M610" s="166" t="s">
        <v>48</v>
      </c>
      <c r="N610" s="162" t="s">
        <v>48</v>
      </c>
      <c r="O610" s="109" t="s">
        <v>48</v>
      </c>
      <c r="P610" s="162" t="s">
        <v>48</v>
      </c>
      <c r="Q610" s="109" t="s">
        <v>48</v>
      </c>
      <c r="R610" s="109" t="s">
        <v>48</v>
      </c>
      <c r="S610" s="109" t="s">
        <v>48</v>
      </c>
      <c r="T610" s="109" t="s">
        <v>48</v>
      </c>
      <c r="U610" s="109" t="s">
        <v>48</v>
      </c>
      <c r="V610" s="166" t="s">
        <v>48</v>
      </c>
      <c r="W610" s="165" t="s">
        <v>2505</v>
      </c>
      <c r="X610" s="109" t="s">
        <v>2505</v>
      </c>
      <c r="Y610" s="109" t="s">
        <v>48</v>
      </c>
      <c r="Z610" s="109" t="s">
        <v>48</v>
      </c>
      <c r="AA610" s="109" t="s">
        <v>48</v>
      </c>
      <c r="AB610" s="109" t="s">
        <v>48</v>
      </c>
      <c r="AC610" s="109" t="s">
        <v>48</v>
      </c>
      <c r="AD610" s="166" t="s">
        <v>48</v>
      </c>
      <c r="AE610" s="165" t="s">
        <v>48</v>
      </c>
      <c r="AF610" s="109" t="s">
        <v>48</v>
      </c>
      <c r="AG610" s="109" t="s">
        <v>48</v>
      </c>
      <c r="AH610" s="109" t="s">
        <v>48</v>
      </c>
      <c r="AI610" s="109" t="s">
        <v>48</v>
      </c>
      <c r="AJ610" s="109" t="s">
        <v>48</v>
      </c>
      <c r="AK610" s="166" t="s">
        <v>48</v>
      </c>
      <c r="AL610" s="165" t="s">
        <v>2505</v>
      </c>
      <c r="AM610" s="109" t="s">
        <v>2505</v>
      </c>
      <c r="AN610" s="109" t="s">
        <v>48</v>
      </c>
      <c r="AO610" s="109" t="s">
        <v>48</v>
      </c>
      <c r="AP610" s="109" t="s">
        <v>48</v>
      </c>
      <c r="AQ610" s="109" t="s">
        <v>48</v>
      </c>
      <c r="AR610" s="109" t="s">
        <v>48</v>
      </c>
      <c r="AS610" s="166" t="s">
        <v>48</v>
      </c>
      <c r="AT610" s="165" t="s">
        <v>676</v>
      </c>
      <c r="AU610" s="109" t="s">
        <v>676</v>
      </c>
      <c r="AV610" s="109" t="s">
        <v>676</v>
      </c>
      <c r="AW610" s="109" t="s">
        <v>676</v>
      </c>
      <c r="AX610" s="109" t="s">
        <v>676</v>
      </c>
      <c r="AY610" s="109" t="s">
        <v>676</v>
      </c>
      <c r="AZ610" s="166" t="s">
        <v>676</v>
      </c>
      <c r="BA610" s="162" t="s">
        <v>2554</v>
      </c>
      <c r="BB610" s="109" t="s">
        <v>2491</v>
      </c>
      <c r="BC610" s="109" t="s">
        <v>2490</v>
      </c>
    </row>
    <row r="611" spans="1:55" ht="75" hidden="1" customHeight="1">
      <c r="A611" s="109" t="s">
        <v>2498</v>
      </c>
      <c r="B611" s="109" t="s">
        <v>2578</v>
      </c>
      <c r="C611" s="109" t="s">
        <v>2492</v>
      </c>
      <c r="D611" s="109" t="s">
        <v>2505</v>
      </c>
      <c r="E611" s="161">
        <v>15000</v>
      </c>
      <c r="F611" s="165" t="s">
        <v>2505</v>
      </c>
      <c r="G611" s="109" t="s">
        <v>2505</v>
      </c>
      <c r="H611" s="109" t="s">
        <v>48</v>
      </c>
      <c r="I611" s="109" t="s">
        <v>48</v>
      </c>
      <c r="J611" s="109" t="s">
        <v>48</v>
      </c>
      <c r="K611" s="109" t="s">
        <v>48</v>
      </c>
      <c r="L611" s="109" t="s">
        <v>48</v>
      </c>
      <c r="M611" s="166" t="s">
        <v>48</v>
      </c>
      <c r="N611" s="162" t="s">
        <v>48</v>
      </c>
      <c r="O611" s="109" t="s">
        <v>48</v>
      </c>
      <c r="P611" s="162" t="s">
        <v>48</v>
      </c>
      <c r="Q611" s="109" t="s">
        <v>48</v>
      </c>
      <c r="R611" s="109" t="s">
        <v>48</v>
      </c>
      <c r="S611" s="109" t="s">
        <v>48</v>
      </c>
      <c r="T611" s="109" t="s">
        <v>48</v>
      </c>
      <c r="U611" s="109" t="s">
        <v>48</v>
      </c>
      <c r="V611" s="166" t="s">
        <v>48</v>
      </c>
      <c r="W611" s="165" t="s">
        <v>2505</v>
      </c>
      <c r="X611" s="109" t="s">
        <v>2505</v>
      </c>
      <c r="Y611" s="109" t="s">
        <v>48</v>
      </c>
      <c r="Z611" s="109" t="s">
        <v>48</v>
      </c>
      <c r="AA611" s="109" t="s">
        <v>48</v>
      </c>
      <c r="AB611" s="109" t="s">
        <v>48</v>
      </c>
      <c r="AC611" s="109" t="s">
        <v>48</v>
      </c>
      <c r="AD611" s="166" t="s">
        <v>48</v>
      </c>
      <c r="AE611" s="165" t="s">
        <v>48</v>
      </c>
      <c r="AF611" s="109" t="s">
        <v>48</v>
      </c>
      <c r="AG611" s="109" t="s">
        <v>48</v>
      </c>
      <c r="AH611" s="109" t="s">
        <v>48</v>
      </c>
      <c r="AI611" s="109" t="s">
        <v>48</v>
      </c>
      <c r="AJ611" s="109" t="s">
        <v>48</v>
      </c>
      <c r="AK611" s="166" t="s">
        <v>48</v>
      </c>
      <c r="AL611" s="165" t="s">
        <v>2505</v>
      </c>
      <c r="AM611" s="109" t="s">
        <v>2505</v>
      </c>
      <c r="AN611" s="109" t="s">
        <v>48</v>
      </c>
      <c r="AO611" s="109" t="s">
        <v>48</v>
      </c>
      <c r="AP611" s="109" t="s">
        <v>48</v>
      </c>
      <c r="AQ611" s="109" t="s">
        <v>48</v>
      </c>
      <c r="AR611" s="109" t="s">
        <v>48</v>
      </c>
      <c r="AS611" s="166" t="s">
        <v>48</v>
      </c>
      <c r="AT611" s="165" t="s">
        <v>676</v>
      </c>
      <c r="AU611" s="109" t="s">
        <v>676</v>
      </c>
      <c r="AV611" s="109" t="s">
        <v>676</v>
      </c>
      <c r="AW611" s="109" t="s">
        <v>676</v>
      </c>
      <c r="AX611" s="109" t="s">
        <v>676</v>
      </c>
      <c r="AY611" s="109" t="s">
        <v>676</v>
      </c>
      <c r="AZ611" s="166" t="s">
        <v>676</v>
      </c>
      <c r="BA611" s="162" t="s">
        <v>2554</v>
      </c>
      <c r="BB611" s="109" t="s">
        <v>2491</v>
      </c>
      <c r="BC611" s="109" t="s">
        <v>2490</v>
      </c>
    </row>
    <row r="612" spans="1:55" ht="75" hidden="1" customHeight="1">
      <c r="A612" s="109" t="s">
        <v>2506</v>
      </c>
      <c r="B612" s="109" t="s">
        <v>2507</v>
      </c>
      <c r="C612" s="109" t="s">
        <v>2492</v>
      </c>
      <c r="D612" s="109" t="s">
        <v>2505</v>
      </c>
      <c r="E612" s="161">
        <v>15000</v>
      </c>
      <c r="F612" s="165" t="s">
        <v>2505</v>
      </c>
      <c r="G612" s="109" t="s">
        <v>2505</v>
      </c>
      <c r="H612" s="109" t="s">
        <v>48</v>
      </c>
      <c r="I612" s="109" t="s">
        <v>48</v>
      </c>
      <c r="J612" s="109" t="s">
        <v>48</v>
      </c>
      <c r="K612" s="109" t="s">
        <v>48</v>
      </c>
      <c r="L612" s="109" t="s">
        <v>48</v>
      </c>
      <c r="M612" s="166" t="s">
        <v>48</v>
      </c>
      <c r="N612" s="162" t="s">
        <v>48</v>
      </c>
      <c r="O612" s="109" t="s">
        <v>48</v>
      </c>
      <c r="P612" s="162" t="s">
        <v>48</v>
      </c>
      <c r="Q612" s="109" t="s">
        <v>48</v>
      </c>
      <c r="R612" s="109" t="s">
        <v>48</v>
      </c>
      <c r="S612" s="109" t="s">
        <v>48</v>
      </c>
      <c r="T612" s="109" t="s">
        <v>48</v>
      </c>
      <c r="U612" s="109" t="s">
        <v>48</v>
      </c>
      <c r="V612" s="166" t="s">
        <v>48</v>
      </c>
      <c r="W612" s="165" t="s">
        <v>2505</v>
      </c>
      <c r="X612" s="109" t="s">
        <v>2505</v>
      </c>
      <c r="Y612" s="109" t="s">
        <v>48</v>
      </c>
      <c r="Z612" s="109" t="s">
        <v>48</v>
      </c>
      <c r="AA612" s="109" t="s">
        <v>48</v>
      </c>
      <c r="AB612" s="109" t="s">
        <v>48</v>
      </c>
      <c r="AC612" s="109" t="s">
        <v>48</v>
      </c>
      <c r="AD612" s="166" t="s">
        <v>48</v>
      </c>
      <c r="AE612" s="165" t="s">
        <v>48</v>
      </c>
      <c r="AF612" s="109" t="s">
        <v>48</v>
      </c>
      <c r="AG612" s="109" t="s">
        <v>48</v>
      </c>
      <c r="AH612" s="109" t="s">
        <v>48</v>
      </c>
      <c r="AI612" s="109" t="s">
        <v>48</v>
      </c>
      <c r="AJ612" s="109" t="s">
        <v>48</v>
      </c>
      <c r="AK612" s="166" t="s">
        <v>48</v>
      </c>
      <c r="AL612" s="165" t="s">
        <v>2505</v>
      </c>
      <c r="AM612" s="109" t="s">
        <v>2505</v>
      </c>
      <c r="AN612" s="109" t="s">
        <v>48</v>
      </c>
      <c r="AO612" s="109" t="s">
        <v>48</v>
      </c>
      <c r="AP612" s="109" t="s">
        <v>48</v>
      </c>
      <c r="AQ612" s="109" t="s">
        <v>48</v>
      </c>
      <c r="AR612" s="109" t="s">
        <v>48</v>
      </c>
      <c r="AS612" s="166" t="s">
        <v>48</v>
      </c>
      <c r="AT612" s="165" t="s">
        <v>676</v>
      </c>
      <c r="AU612" s="109" t="s">
        <v>676</v>
      </c>
      <c r="AV612" s="109" t="s">
        <v>676</v>
      </c>
      <c r="AW612" s="109" t="s">
        <v>676</v>
      </c>
      <c r="AX612" s="109" t="s">
        <v>676</v>
      </c>
      <c r="AY612" s="109" t="s">
        <v>676</v>
      </c>
      <c r="AZ612" s="166" t="s">
        <v>676</v>
      </c>
      <c r="BA612" s="162" t="s">
        <v>2554</v>
      </c>
      <c r="BB612" s="109" t="s">
        <v>2491</v>
      </c>
      <c r="BC612" s="109" t="s">
        <v>2490</v>
      </c>
    </row>
    <row r="613" spans="1:55" ht="75" hidden="1" customHeight="1">
      <c r="A613" s="109" t="s">
        <v>2508</v>
      </c>
      <c r="B613" s="109" t="s">
        <v>2507</v>
      </c>
      <c r="C613" s="109" t="s">
        <v>2492</v>
      </c>
      <c r="D613" s="109" t="s">
        <v>2503</v>
      </c>
      <c r="E613" s="161">
        <v>15000</v>
      </c>
      <c r="F613" s="165" t="s">
        <v>2505</v>
      </c>
      <c r="G613" s="109" t="s">
        <v>2505</v>
      </c>
      <c r="H613" s="109" t="s">
        <v>48</v>
      </c>
      <c r="I613" s="109" t="s">
        <v>48</v>
      </c>
      <c r="J613" s="109" t="s">
        <v>48</v>
      </c>
      <c r="K613" s="109" t="s">
        <v>48</v>
      </c>
      <c r="L613" s="109" t="s">
        <v>48</v>
      </c>
      <c r="M613" s="166" t="s">
        <v>48</v>
      </c>
      <c r="N613" s="162" t="s">
        <v>48</v>
      </c>
      <c r="O613" s="109" t="s">
        <v>48</v>
      </c>
      <c r="P613" s="162" t="s">
        <v>48</v>
      </c>
      <c r="Q613" s="109" t="s">
        <v>48</v>
      </c>
      <c r="R613" s="109" t="s">
        <v>48</v>
      </c>
      <c r="S613" s="109" t="s">
        <v>48</v>
      </c>
      <c r="T613" s="109" t="s">
        <v>48</v>
      </c>
      <c r="U613" s="109" t="s">
        <v>48</v>
      </c>
      <c r="V613" s="166" t="s">
        <v>48</v>
      </c>
      <c r="W613" s="165" t="s">
        <v>2505</v>
      </c>
      <c r="X613" s="109" t="s">
        <v>2505</v>
      </c>
      <c r="Y613" s="109" t="s">
        <v>48</v>
      </c>
      <c r="Z613" s="109" t="s">
        <v>48</v>
      </c>
      <c r="AA613" s="109" t="s">
        <v>48</v>
      </c>
      <c r="AB613" s="109" t="s">
        <v>48</v>
      </c>
      <c r="AC613" s="109" t="s">
        <v>48</v>
      </c>
      <c r="AD613" s="166" t="s">
        <v>48</v>
      </c>
      <c r="AE613" s="165" t="s">
        <v>48</v>
      </c>
      <c r="AF613" s="109" t="s">
        <v>48</v>
      </c>
      <c r="AG613" s="109" t="s">
        <v>48</v>
      </c>
      <c r="AH613" s="109" t="s">
        <v>48</v>
      </c>
      <c r="AI613" s="109" t="s">
        <v>48</v>
      </c>
      <c r="AJ613" s="109" t="s">
        <v>48</v>
      </c>
      <c r="AK613" s="166" t="s">
        <v>48</v>
      </c>
      <c r="AL613" s="165" t="s">
        <v>2505</v>
      </c>
      <c r="AM613" s="109" t="s">
        <v>2505</v>
      </c>
      <c r="AN613" s="109" t="s">
        <v>48</v>
      </c>
      <c r="AO613" s="109" t="s">
        <v>48</v>
      </c>
      <c r="AP613" s="109" t="s">
        <v>48</v>
      </c>
      <c r="AQ613" s="109" t="s">
        <v>48</v>
      </c>
      <c r="AR613" s="109" t="s">
        <v>48</v>
      </c>
      <c r="AS613" s="166" t="s">
        <v>48</v>
      </c>
      <c r="AT613" s="165" t="s">
        <v>676</v>
      </c>
      <c r="AU613" s="109" t="s">
        <v>676</v>
      </c>
      <c r="AV613" s="109" t="s">
        <v>676</v>
      </c>
      <c r="AW613" s="109" t="s">
        <v>676</v>
      </c>
      <c r="AX613" s="109" t="s">
        <v>676</v>
      </c>
      <c r="AY613" s="109" t="s">
        <v>676</v>
      </c>
      <c r="AZ613" s="166" t="s">
        <v>676</v>
      </c>
      <c r="BA613" s="162" t="s">
        <v>2554</v>
      </c>
      <c r="BB613" s="109" t="s">
        <v>2491</v>
      </c>
      <c r="BC613" s="109" t="s">
        <v>2490</v>
      </c>
    </row>
    <row r="614" spans="1:55" ht="75" hidden="1" customHeight="1">
      <c r="A614" s="109" t="s">
        <v>2342</v>
      </c>
      <c r="B614" s="109" t="s">
        <v>2026</v>
      </c>
      <c r="C614" s="109" t="s">
        <v>2058</v>
      </c>
      <c r="D614" s="109" t="s">
        <v>2057</v>
      </c>
      <c r="E614" s="161">
        <v>30000</v>
      </c>
      <c r="F614" s="165" t="s">
        <v>2057</v>
      </c>
      <c r="G614" s="109" t="s">
        <v>2057</v>
      </c>
      <c r="H614" s="109" t="s">
        <v>48</v>
      </c>
      <c r="I614" s="109" t="s">
        <v>48</v>
      </c>
      <c r="J614" s="109" t="s">
        <v>48</v>
      </c>
      <c r="K614" s="109" t="s">
        <v>48</v>
      </c>
      <c r="L614" s="109" t="s">
        <v>48</v>
      </c>
      <c r="M614" s="166" t="s">
        <v>2059</v>
      </c>
      <c r="N614" s="162" t="s">
        <v>48</v>
      </c>
      <c r="O614" s="109" t="s">
        <v>48</v>
      </c>
      <c r="P614" s="162" t="s">
        <v>48</v>
      </c>
      <c r="Q614" s="109" t="s">
        <v>48</v>
      </c>
      <c r="R614" s="109" t="s">
        <v>48</v>
      </c>
      <c r="S614" s="109" t="s">
        <v>48</v>
      </c>
      <c r="T614" s="109" t="s">
        <v>48</v>
      </c>
      <c r="U614" s="109" t="s">
        <v>48</v>
      </c>
      <c r="V614" s="166" t="s">
        <v>48</v>
      </c>
      <c r="W614" s="165" t="s">
        <v>2057</v>
      </c>
      <c r="X614" s="109" t="s">
        <v>2057</v>
      </c>
      <c r="Y614" s="109" t="s">
        <v>48</v>
      </c>
      <c r="Z614" s="109" t="s">
        <v>48</v>
      </c>
      <c r="AA614" s="109" t="s">
        <v>48</v>
      </c>
      <c r="AB614" s="109" t="s">
        <v>48</v>
      </c>
      <c r="AC614" s="109" t="s">
        <v>48</v>
      </c>
      <c r="AD614" s="166" t="s">
        <v>48</v>
      </c>
      <c r="AE614" s="165" t="s">
        <v>48</v>
      </c>
      <c r="AF614" s="109" t="s">
        <v>48</v>
      </c>
      <c r="AG614" s="109" t="s">
        <v>48</v>
      </c>
      <c r="AH614" s="109" t="s">
        <v>48</v>
      </c>
      <c r="AI614" s="109" t="s">
        <v>48</v>
      </c>
      <c r="AJ614" s="109" t="s">
        <v>48</v>
      </c>
      <c r="AK614" s="166" t="s">
        <v>48</v>
      </c>
      <c r="AL614" s="165" t="s">
        <v>2057</v>
      </c>
      <c r="AM614" s="109" t="s">
        <v>2057</v>
      </c>
      <c r="AN614" s="109" t="s">
        <v>48</v>
      </c>
      <c r="AO614" s="109" t="s">
        <v>48</v>
      </c>
      <c r="AP614" s="109" t="s">
        <v>48</v>
      </c>
      <c r="AQ614" s="109" t="s">
        <v>48</v>
      </c>
      <c r="AR614" s="109" t="s">
        <v>48</v>
      </c>
      <c r="AS614" s="166" t="s">
        <v>2059</v>
      </c>
      <c r="AT614" s="165" t="s">
        <v>48</v>
      </c>
      <c r="AU614" s="109" t="s">
        <v>48</v>
      </c>
      <c r="AV614" s="109" t="s">
        <v>48</v>
      </c>
      <c r="AW614" s="109" t="s">
        <v>48</v>
      </c>
      <c r="AX614" s="109" t="s">
        <v>48</v>
      </c>
      <c r="AY614" s="109" t="s">
        <v>48</v>
      </c>
      <c r="AZ614" s="166" t="s">
        <v>48</v>
      </c>
      <c r="BA614" s="162" t="s">
        <v>48</v>
      </c>
      <c r="BB614" s="109" t="s">
        <v>49</v>
      </c>
      <c r="BC614" s="109" t="s">
        <v>2060</v>
      </c>
    </row>
    <row r="615" spans="1:55" ht="75" hidden="1" customHeight="1">
      <c r="A615" s="109" t="s">
        <v>40</v>
      </c>
      <c r="B615" s="117" t="s">
        <v>2020</v>
      </c>
      <c r="C615" s="109" t="s">
        <v>1627</v>
      </c>
      <c r="D615" s="109" t="s">
        <v>1618</v>
      </c>
      <c r="E615" s="161">
        <v>30000</v>
      </c>
      <c r="F615" s="165" t="s">
        <v>1698</v>
      </c>
      <c r="G615" s="109" t="s">
        <v>1698</v>
      </c>
      <c r="H615" s="109" t="s">
        <v>1961</v>
      </c>
      <c r="I615" s="109" t="s">
        <v>1908</v>
      </c>
      <c r="J615" s="109" t="s">
        <v>1708</v>
      </c>
      <c r="K615" s="109" t="s">
        <v>1708</v>
      </c>
      <c r="L615" s="109" t="s">
        <v>1997</v>
      </c>
      <c r="M615" s="166" t="s">
        <v>1687</v>
      </c>
      <c r="N615" s="162" t="s">
        <v>48</v>
      </c>
      <c r="O615" s="109" t="s">
        <v>48</v>
      </c>
      <c r="P615" s="162" t="s">
        <v>48</v>
      </c>
      <c r="Q615" s="109" t="s">
        <v>48</v>
      </c>
      <c r="R615" s="109" t="s">
        <v>48</v>
      </c>
      <c r="S615" s="109" t="s">
        <v>48</v>
      </c>
      <c r="T615" s="109" t="s">
        <v>48</v>
      </c>
      <c r="U615" s="109" t="s">
        <v>48</v>
      </c>
      <c r="V615" s="196" t="s">
        <v>48</v>
      </c>
      <c r="W615" s="208" t="s">
        <v>2653</v>
      </c>
      <c r="X615" s="208" t="s">
        <v>2653</v>
      </c>
      <c r="Y615" s="109" t="s">
        <v>2654</v>
      </c>
      <c r="Z615" s="109" t="s">
        <v>2412</v>
      </c>
      <c r="AA615" s="109" t="s">
        <v>48</v>
      </c>
      <c r="AB615" s="109" t="s">
        <v>48</v>
      </c>
      <c r="AC615" s="109" t="s">
        <v>2655</v>
      </c>
      <c r="AD615" s="166" t="s">
        <v>2643</v>
      </c>
      <c r="AE615" s="165" t="s">
        <v>48</v>
      </c>
      <c r="AF615" s="109" t="s">
        <v>48</v>
      </c>
      <c r="AG615" s="109" t="s">
        <v>48</v>
      </c>
      <c r="AH615" s="109" t="s">
        <v>48</v>
      </c>
      <c r="AI615" s="109" t="s">
        <v>48</v>
      </c>
      <c r="AJ615" s="109" t="s">
        <v>48</v>
      </c>
      <c r="AK615" s="166" t="s">
        <v>48</v>
      </c>
      <c r="AL615" s="165" t="s">
        <v>1618</v>
      </c>
      <c r="AM615" s="109" t="s">
        <v>1618</v>
      </c>
      <c r="AN615" s="109" t="s">
        <v>48</v>
      </c>
      <c r="AO615" s="109" t="s">
        <v>48</v>
      </c>
      <c r="AP615" s="109" t="s">
        <v>48</v>
      </c>
      <c r="AQ615" s="109" t="s">
        <v>48</v>
      </c>
      <c r="AR615" s="109" t="s">
        <v>48</v>
      </c>
      <c r="AS615" s="166" t="s">
        <v>48</v>
      </c>
      <c r="AT615" s="165" t="s">
        <v>48</v>
      </c>
      <c r="AU615" s="109" t="s">
        <v>48</v>
      </c>
      <c r="AV615" s="109" t="s">
        <v>48</v>
      </c>
      <c r="AW615" s="109" t="s">
        <v>48</v>
      </c>
      <c r="AX615" s="109" t="s">
        <v>48</v>
      </c>
      <c r="AY615" s="109" t="s">
        <v>48</v>
      </c>
      <c r="AZ615" s="166" t="s">
        <v>48</v>
      </c>
      <c r="BA615" s="162" t="s">
        <v>1788</v>
      </c>
      <c r="BB615" s="109" t="s">
        <v>49</v>
      </c>
      <c r="BC615" s="109" t="s">
        <v>1700</v>
      </c>
    </row>
    <row r="616" spans="1:55" ht="75" hidden="1" customHeight="1">
      <c r="A616" s="109" t="s">
        <v>40</v>
      </c>
      <c r="B616" s="117" t="s">
        <v>2020</v>
      </c>
      <c r="C616" s="109" t="s">
        <v>1627</v>
      </c>
      <c r="D616" s="109" t="s">
        <v>2699</v>
      </c>
      <c r="E616" s="161">
        <v>30000</v>
      </c>
      <c r="F616" s="109" t="s">
        <v>2699</v>
      </c>
      <c r="G616" s="109" t="s">
        <v>2699</v>
      </c>
      <c r="H616" s="109" t="s">
        <v>2679</v>
      </c>
      <c r="I616" s="109" t="s">
        <v>2679</v>
      </c>
      <c r="J616" s="109" t="s">
        <v>2679</v>
      </c>
      <c r="K616" s="109" t="s">
        <v>2679</v>
      </c>
      <c r="L616" s="109" t="s">
        <v>2679</v>
      </c>
      <c r="M616" s="109" t="s">
        <v>2679</v>
      </c>
      <c r="N616" s="162" t="s">
        <v>48</v>
      </c>
      <c r="O616" s="109" t="s">
        <v>48</v>
      </c>
      <c r="P616" s="162" t="s">
        <v>48</v>
      </c>
      <c r="Q616" s="109" t="s">
        <v>48</v>
      </c>
      <c r="R616" s="109" t="s">
        <v>48</v>
      </c>
      <c r="S616" s="109" t="s">
        <v>48</v>
      </c>
      <c r="T616" s="109" t="s">
        <v>48</v>
      </c>
      <c r="U616" s="109" t="s">
        <v>48</v>
      </c>
      <c r="V616" s="196" t="s">
        <v>48</v>
      </c>
      <c r="W616" s="208" t="s">
        <v>2700</v>
      </c>
      <c r="X616" s="208" t="s">
        <v>2700</v>
      </c>
      <c r="Y616" s="109" t="s">
        <v>2701</v>
      </c>
      <c r="Z616" s="109" t="s">
        <v>2419</v>
      </c>
      <c r="AA616" s="109" t="s">
        <v>48</v>
      </c>
      <c r="AB616" s="109" t="s">
        <v>48</v>
      </c>
      <c r="AC616" s="109" t="s">
        <v>2702</v>
      </c>
      <c r="AD616" s="166" t="s">
        <v>2703</v>
      </c>
      <c r="AE616" s="165" t="s">
        <v>48</v>
      </c>
      <c r="AF616" s="109" t="s">
        <v>48</v>
      </c>
      <c r="AG616" s="109" t="s">
        <v>48</v>
      </c>
      <c r="AH616" s="109" t="s">
        <v>48</v>
      </c>
      <c r="AI616" s="109" t="s">
        <v>48</v>
      </c>
      <c r="AJ616" s="109" t="s">
        <v>48</v>
      </c>
      <c r="AK616" s="166" t="s">
        <v>48</v>
      </c>
      <c r="AL616" s="109" t="s">
        <v>2699</v>
      </c>
      <c r="AM616" s="109" t="s">
        <v>2699</v>
      </c>
      <c r="AN616" s="109" t="s">
        <v>48</v>
      </c>
      <c r="AO616" s="109" t="s">
        <v>48</v>
      </c>
      <c r="AP616" s="109" t="s">
        <v>48</v>
      </c>
      <c r="AQ616" s="109" t="s">
        <v>48</v>
      </c>
      <c r="AR616" s="109" t="s">
        <v>48</v>
      </c>
      <c r="AS616" s="166" t="s">
        <v>48</v>
      </c>
      <c r="AT616" s="165" t="s">
        <v>48</v>
      </c>
      <c r="AU616" s="109" t="s">
        <v>48</v>
      </c>
      <c r="AV616" s="109" t="s">
        <v>48</v>
      </c>
      <c r="AW616" s="109" t="s">
        <v>48</v>
      </c>
      <c r="AX616" s="109" t="s">
        <v>48</v>
      </c>
      <c r="AY616" s="109" t="s">
        <v>48</v>
      </c>
      <c r="AZ616" s="166" t="s">
        <v>48</v>
      </c>
      <c r="BA616" s="162" t="s">
        <v>2681</v>
      </c>
      <c r="BB616" s="109" t="s">
        <v>49</v>
      </c>
      <c r="BC616" s="109" t="s">
        <v>1700</v>
      </c>
    </row>
    <row r="617" spans="1:55" ht="75" hidden="1" customHeight="1">
      <c r="A617" s="109" t="s">
        <v>40</v>
      </c>
      <c r="B617" s="117" t="s">
        <v>2020</v>
      </c>
      <c r="C617" s="109" t="s">
        <v>1627</v>
      </c>
      <c r="D617" s="109" t="s">
        <v>2704</v>
      </c>
      <c r="E617" s="161">
        <v>30000</v>
      </c>
      <c r="F617" s="109" t="s">
        <v>2704</v>
      </c>
      <c r="G617" s="109" t="s">
        <v>2704</v>
      </c>
      <c r="H617" s="109" t="s">
        <v>2679</v>
      </c>
      <c r="I617" s="109" t="s">
        <v>2679</v>
      </c>
      <c r="J617" s="109" t="s">
        <v>2679</v>
      </c>
      <c r="K617" s="109" t="s">
        <v>2679</v>
      </c>
      <c r="L617" s="109" t="s">
        <v>2679</v>
      </c>
      <c r="M617" s="109" t="s">
        <v>2679</v>
      </c>
      <c r="N617" s="162" t="s">
        <v>48</v>
      </c>
      <c r="O617" s="109" t="s">
        <v>48</v>
      </c>
      <c r="P617" s="162" t="s">
        <v>48</v>
      </c>
      <c r="Q617" s="109" t="s">
        <v>48</v>
      </c>
      <c r="R617" s="109" t="s">
        <v>48</v>
      </c>
      <c r="S617" s="109" t="s">
        <v>48</v>
      </c>
      <c r="T617" s="109" t="s">
        <v>48</v>
      </c>
      <c r="U617" s="109" t="s">
        <v>48</v>
      </c>
      <c r="V617" s="196" t="s">
        <v>48</v>
      </c>
      <c r="W617" s="208" t="s">
        <v>2705</v>
      </c>
      <c r="X617" s="208" t="s">
        <v>2705</v>
      </c>
      <c r="Y617" s="109" t="s">
        <v>2701</v>
      </c>
      <c r="Z617" s="109" t="s">
        <v>2419</v>
      </c>
      <c r="AA617" s="109" t="s">
        <v>48</v>
      </c>
      <c r="AB617" s="109" t="s">
        <v>48</v>
      </c>
      <c r="AC617" s="109" t="s">
        <v>2702</v>
      </c>
      <c r="AD617" s="166" t="s">
        <v>2703</v>
      </c>
      <c r="AE617" s="165" t="s">
        <v>48</v>
      </c>
      <c r="AF617" s="109" t="s">
        <v>48</v>
      </c>
      <c r="AG617" s="109" t="s">
        <v>48</v>
      </c>
      <c r="AH617" s="109" t="s">
        <v>48</v>
      </c>
      <c r="AI617" s="109" t="s">
        <v>48</v>
      </c>
      <c r="AJ617" s="109" t="s">
        <v>48</v>
      </c>
      <c r="AK617" s="166" t="s">
        <v>48</v>
      </c>
      <c r="AL617" s="109" t="s">
        <v>2704</v>
      </c>
      <c r="AM617" s="109" t="s">
        <v>2704</v>
      </c>
      <c r="AN617" s="109" t="s">
        <v>48</v>
      </c>
      <c r="AO617" s="109" t="s">
        <v>48</v>
      </c>
      <c r="AP617" s="109" t="s">
        <v>48</v>
      </c>
      <c r="AQ617" s="109" t="s">
        <v>48</v>
      </c>
      <c r="AR617" s="109" t="s">
        <v>48</v>
      </c>
      <c r="AS617" s="166" t="s">
        <v>48</v>
      </c>
      <c r="AT617" s="165" t="s">
        <v>48</v>
      </c>
      <c r="AU617" s="109" t="s">
        <v>48</v>
      </c>
      <c r="AV617" s="109" t="s">
        <v>48</v>
      </c>
      <c r="AW617" s="109" t="s">
        <v>48</v>
      </c>
      <c r="AX617" s="109" t="s">
        <v>48</v>
      </c>
      <c r="AY617" s="109" t="s">
        <v>48</v>
      </c>
      <c r="AZ617" s="166" t="s">
        <v>48</v>
      </c>
      <c r="BA617" s="162" t="s">
        <v>2681</v>
      </c>
      <c r="BB617" s="109" t="s">
        <v>49</v>
      </c>
      <c r="BC617" s="109" t="s">
        <v>1700</v>
      </c>
    </row>
    <row r="618" spans="1:55" ht="75" hidden="1" customHeight="1">
      <c r="A618" s="109" t="s">
        <v>2341</v>
      </c>
      <c r="B618" s="109" t="s">
        <v>2023</v>
      </c>
      <c r="C618" s="109" t="s">
        <v>1627</v>
      </c>
      <c r="D618" s="109" t="s">
        <v>1618</v>
      </c>
      <c r="E618" s="161">
        <v>30000</v>
      </c>
      <c r="F618" s="165" t="s">
        <v>1698</v>
      </c>
      <c r="G618" s="109" t="s">
        <v>1698</v>
      </c>
      <c r="H618" s="109" t="s">
        <v>1961</v>
      </c>
      <c r="I618" s="109" t="s">
        <v>1908</v>
      </c>
      <c r="J618" s="109" t="s">
        <v>1708</v>
      </c>
      <c r="K618" s="109" t="s">
        <v>1708</v>
      </c>
      <c r="L618" s="109" t="s">
        <v>1997</v>
      </c>
      <c r="M618" s="166" t="s">
        <v>1687</v>
      </c>
      <c r="N618" s="162" t="s">
        <v>48</v>
      </c>
      <c r="O618" s="109" t="s">
        <v>48</v>
      </c>
      <c r="P618" s="162" t="s">
        <v>48</v>
      </c>
      <c r="Q618" s="109" t="s">
        <v>48</v>
      </c>
      <c r="R618" s="109" t="s">
        <v>48</v>
      </c>
      <c r="S618" s="109" t="s">
        <v>48</v>
      </c>
      <c r="T618" s="109" t="s">
        <v>48</v>
      </c>
      <c r="U618" s="109" t="s">
        <v>48</v>
      </c>
      <c r="V618" s="196" t="s">
        <v>48</v>
      </c>
      <c r="W618" s="208" t="s">
        <v>2653</v>
      </c>
      <c r="X618" s="208" t="s">
        <v>2653</v>
      </c>
      <c r="Y618" s="109" t="s">
        <v>2654</v>
      </c>
      <c r="Z618" s="109" t="s">
        <v>2412</v>
      </c>
      <c r="AA618" s="109" t="s">
        <v>48</v>
      </c>
      <c r="AB618" s="109" t="s">
        <v>48</v>
      </c>
      <c r="AC618" s="109" t="s">
        <v>2655</v>
      </c>
      <c r="AD618" s="166" t="s">
        <v>2643</v>
      </c>
      <c r="AE618" s="165" t="s">
        <v>48</v>
      </c>
      <c r="AF618" s="109" t="s">
        <v>48</v>
      </c>
      <c r="AG618" s="109" t="s">
        <v>48</v>
      </c>
      <c r="AH618" s="109" t="s">
        <v>48</v>
      </c>
      <c r="AI618" s="109" t="s">
        <v>48</v>
      </c>
      <c r="AJ618" s="109" t="s">
        <v>48</v>
      </c>
      <c r="AK618" s="166" t="s">
        <v>48</v>
      </c>
      <c r="AL618" s="165" t="s">
        <v>1618</v>
      </c>
      <c r="AM618" s="109" t="s">
        <v>1618</v>
      </c>
      <c r="AN618" s="109" t="s">
        <v>48</v>
      </c>
      <c r="AO618" s="109" t="s">
        <v>48</v>
      </c>
      <c r="AP618" s="109" t="s">
        <v>48</v>
      </c>
      <c r="AQ618" s="109" t="s">
        <v>48</v>
      </c>
      <c r="AR618" s="109" t="s">
        <v>48</v>
      </c>
      <c r="AS618" s="166" t="s">
        <v>48</v>
      </c>
      <c r="AT618" s="165" t="s">
        <v>48</v>
      </c>
      <c r="AU618" s="109" t="s">
        <v>48</v>
      </c>
      <c r="AV618" s="109" t="s">
        <v>48</v>
      </c>
      <c r="AW618" s="109" t="s">
        <v>48</v>
      </c>
      <c r="AX618" s="109" t="s">
        <v>48</v>
      </c>
      <c r="AY618" s="109" t="s">
        <v>48</v>
      </c>
      <c r="AZ618" s="166" t="s">
        <v>48</v>
      </c>
      <c r="BA618" s="162" t="s">
        <v>1788</v>
      </c>
      <c r="BB618" s="109" t="s">
        <v>49</v>
      </c>
      <c r="BC618" s="109" t="s">
        <v>1700</v>
      </c>
    </row>
    <row r="619" spans="1:55" ht="75" hidden="1" customHeight="1">
      <c r="A619" s="109" t="s">
        <v>2340</v>
      </c>
      <c r="B619" s="109" t="s">
        <v>2022</v>
      </c>
      <c r="C619" s="109" t="s">
        <v>1627</v>
      </c>
      <c r="D619" s="109" t="s">
        <v>1618</v>
      </c>
      <c r="E619" s="161">
        <v>30000</v>
      </c>
      <c r="F619" s="165" t="s">
        <v>1698</v>
      </c>
      <c r="G619" s="109" t="s">
        <v>1698</v>
      </c>
      <c r="H619" s="109" t="s">
        <v>1961</v>
      </c>
      <c r="I619" s="109" t="s">
        <v>1908</v>
      </c>
      <c r="J619" s="109" t="s">
        <v>1708</v>
      </c>
      <c r="K619" s="109" t="s">
        <v>1708</v>
      </c>
      <c r="L619" s="109" t="s">
        <v>1997</v>
      </c>
      <c r="M619" s="166" t="s">
        <v>1687</v>
      </c>
      <c r="N619" s="162" t="s">
        <v>48</v>
      </c>
      <c r="O619" s="109" t="s">
        <v>48</v>
      </c>
      <c r="P619" s="162" t="s">
        <v>48</v>
      </c>
      <c r="Q619" s="109" t="s">
        <v>48</v>
      </c>
      <c r="R619" s="109" t="s">
        <v>48</v>
      </c>
      <c r="S619" s="109" t="s">
        <v>48</v>
      </c>
      <c r="T619" s="109" t="s">
        <v>48</v>
      </c>
      <c r="U619" s="109" t="s">
        <v>48</v>
      </c>
      <c r="V619" s="196" t="s">
        <v>48</v>
      </c>
      <c r="W619" s="208" t="s">
        <v>2653</v>
      </c>
      <c r="X619" s="208" t="s">
        <v>2653</v>
      </c>
      <c r="Y619" s="109" t="s">
        <v>2654</v>
      </c>
      <c r="Z619" s="109" t="s">
        <v>2412</v>
      </c>
      <c r="AA619" s="109" t="s">
        <v>48</v>
      </c>
      <c r="AB619" s="109" t="s">
        <v>48</v>
      </c>
      <c r="AC619" s="109" t="s">
        <v>2655</v>
      </c>
      <c r="AD619" s="166" t="s">
        <v>2643</v>
      </c>
      <c r="AE619" s="165" t="s">
        <v>48</v>
      </c>
      <c r="AF619" s="109" t="s">
        <v>48</v>
      </c>
      <c r="AG619" s="109" t="s">
        <v>48</v>
      </c>
      <c r="AH619" s="109" t="s">
        <v>48</v>
      </c>
      <c r="AI619" s="109" t="s">
        <v>48</v>
      </c>
      <c r="AJ619" s="109" t="s">
        <v>48</v>
      </c>
      <c r="AK619" s="166" t="s">
        <v>48</v>
      </c>
      <c r="AL619" s="165" t="s">
        <v>1618</v>
      </c>
      <c r="AM619" s="109" t="s">
        <v>1618</v>
      </c>
      <c r="AN619" s="109" t="s">
        <v>48</v>
      </c>
      <c r="AO619" s="109" t="s">
        <v>48</v>
      </c>
      <c r="AP619" s="109" t="s">
        <v>48</v>
      </c>
      <c r="AQ619" s="109" t="s">
        <v>48</v>
      </c>
      <c r="AR619" s="109" t="s">
        <v>48</v>
      </c>
      <c r="AS619" s="166" t="s">
        <v>48</v>
      </c>
      <c r="AT619" s="165" t="s">
        <v>48</v>
      </c>
      <c r="AU619" s="109" t="s">
        <v>48</v>
      </c>
      <c r="AV619" s="109" t="s">
        <v>48</v>
      </c>
      <c r="AW619" s="109" t="s">
        <v>48</v>
      </c>
      <c r="AX619" s="109" t="s">
        <v>48</v>
      </c>
      <c r="AY619" s="109" t="s">
        <v>48</v>
      </c>
      <c r="AZ619" s="166" t="s">
        <v>48</v>
      </c>
      <c r="BA619" s="162" t="s">
        <v>1788</v>
      </c>
      <c r="BB619" s="109" t="s">
        <v>49</v>
      </c>
      <c r="BC619" s="109" t="s">
        <v>1700</v>
      </c>
    </row>
    <row r="620" spans="1:55" ht="75" hidden="1" customHeight="1">
      <c r="A620" s="109" t="s">
        <v>2341</v>
      </c>
      <c r="B620" s="109" t="s">
        <v>2023</v>
      </c>
      <c r="C620" s="109" t="s">
        <v>1627</v>
      </c>
      <c r="D620" s="109" t="s">
        <v>2693</v>
      </c>
      <c r="E620" s="161">
        <v>30000</v>
      </c>
      <c r="F620" s="165" t="s">
        <v>2693</v>
      </c>
      <c r="G620" s="165" t="s">
        <v>2693</v>
      </c>
      <c r="H620" s="109" t="s">
        <v>2679</v>
      </c>
      <c r="I620" s="109" t="s">
        <v>2679</v>
      </c>
      <c r="J620" s="109" t="s">
        <v>2679</v>
      </c>
      <c r="K620" s="109" t="s">
        <v>2679</v>
      </c>
      <c r="L620" s="109" t="s">
        <v>2679</v>
      </c>
      <c r="M620" s="109" t="s">
        <v>2679</v>
      </c>
      <c r="N620" s="162" t="s">
        <v>48</v>
      </c>
      <c r="O620" s="109" t="s">
        <v>48</v>
      </c>
      <c r="P620" s="162" t="s">
        <v>48</v>
      </c>
      <c r="Q620" s="109" t="s">
        <v>48</v>
      </c>
      <c r="R620" s="109" t="s">
        <v>48</v>
      </c>
      <c r="S620" s="109" t="s">
        <v>48</v>
      </c>
      <c r="T620" s="109" t="s">
        <v>48</v>
      </c>
      <c r="U620" s="109" t="s">
        <v>48</v>
      </c>
      <c r="V620" s="196" t="s">
        <v>48</v>
      </c>
      <c r="W620" s="208" t="s">
        <v>2694</v>
      </c>
      <c r="X620" s="208" t="s">
        <v>2694</v>
      </c>
      <c r="Y620" s="109" t="s">
        <v>2695</v>
      </c>
      <c r="Z620" s="109" t="s">
        <v>2419</v>
      </c>
      <c r="AA620" s="109" t="s">
        <v>48</v>
      </c>
      <c r="AB620" s="109" t="s">
        <v>48</v>
      </c>
      <c r="AC620" s="109" t="s">
        <v>2696</v>
      </c>
      <c r="AD620" s="166" t="s">
        <v>2669</v>
      </c>
      <c r="AE620" s="165" t="s">
        <v>48</v>
      </c>
      <c r="AF620" s="109" t="s">
        <v>48</v>
      </c>
      <c r="AG620" s="109" t="s">
        <v>48</v>
      </c>
      <c r="AH620" s="109" t="s">
        <v>48</v>
      </c>
      <c r="AI620" s="109" t="s">
        <v>48</v>
      </c>
      <c r="AJ620" s="109" t="s">
        <v>48</v>
      </c>
      <c r="AK620" s="166" t="s">
        <v>48</v>
      </c>
      <c r="AL620" s="109" t="s">
        <v>2693</v>
      </c>
      <c r="AM620" s="109" t="s">
        <v>2693</v>
      </c>
      <c r="AN620" s="109" t="s">
        <v>48</v>
      </c>
      <c r="AO620" s="109" t="s">
        <v>48</v>
      </c>
      <c r="AP620" s="109" t="s">
        <v>48</v>
      </c>
      <c r="AQ620" s="109" t="s">
        <v>48</v>
      </c>
      <c r="AR620" s="109" t="s">
        <v>48</v>
      </c>
      <c r="AS620" s="166" t="s">
        <v>48</v>
      </c>
      <c r="AT620" s="165" t="s">
        <v>48</v>
      </c>
      <c r="AU620" s="109" t="s">
        <v>48</v>
      </c>
      <c r="AV620" s="109" t="s">
        <v>48</v>
      </c>
      <c r="AW620" s="109" t="s">
        <v>48</v>
      </c>
      <c r="AX620" s="109" t="s">
        <v>48</v>
      </c>
      <c r="AY620" s="109" t="s">
        <v>48</v>
      </c>
      <c r="AZ620" s="166" t="s">
        <v>48</v>
      </c>
      <c r="BA620" s="162" t="s">
        <v>2681</v>
      </c>
      <c r="BB620" s="109" t="s">
        <v>49</v>
      </c>
      <c r="BC620" s="109" t="s">
        <v>1700</v>
      </c>
    </row>
    <row r="621" spans="1:55" ht="75" hidden="1" customHeight="1">
      <c r="A621" s="109" t="s">
        <v>2340</v>
      </c>
      <c r="B621" s="109" t="s">
        <v>2022</v>
      </c>
      <c r="C621" s="109" t="s">
        <v>1627</v>
      </c>
      <c r="D621" s="109" t="s">
        <v>2693</v>
      </c>
      <c r="E621" s="161">
        <v>30000</v>
      </c>
      <c r="F621" s="165" t="s">
        <v>2693</v>
      </c>
      <c r="G621" s="165" t="s">
        <v>2693</v>
      </c>
      <c r="H621" s="109" t="s">
        <v>2679</v>
      </c>
      <c r="I621" s="109" t="s">
        <v>2679</v>
      </c>
      <c r="J621" s="109" t="s">
        <v>2679</v>
      </c>
      <c r="K621" s="109" t="s">
        <v>2679</v>
      </c>
      <c r="L621" s="109" t="s">
        <v>2679</v>
      </c>
      <c r="M621" s="109" t="s">
        <v>2679</v>
      </c>
      <c r="N621" s="162" t="s">
        <v>48</v>
      </c>
      <c r="O621" s="109" t="s">
        <v>48</v>
      </c>
      <c r="P621" s="162" t="s">
        <v>48</v>
      </c>
      <c r="Q621" s="109" t="s">
        <v>48</v>
      </c>
      <c r="R621" s="109" t="s">
        <v>48</v>
      </c>
      <c r="S621" s="109" t="s">
        <v>48</v>
      </c>
      <c r="T621" s="109" t="s">
        <v>48</v>
      </c>
      <c r="U621" s="109" t="s">
        <v>48</v>
      </c>
      <c r="V621" s="196" t="s">
        <v>48</v>
      </c>
      <c r="W621" s="208" t="s">
        <v>2694</v>
      </c>
      <c r="X621" s="208" t="s">
        <v>2694</v>
      </c>
      <c r="Y621" s="109" t="s">
        <v>2695</v>
      </c>
      <c r="Z621" s="109" t="s">
        <v>2419</v>
      </c>
      <c r="AA621" s="109" t="s">
        <v>48</v>
      </c>
      <c r="AB621" s="109" t="s">
        <v>48</v>
      </c>
      <c r="AC621" s="109" t="s">
        <v>2696</v>
      </c>
      <c r="AD621" s="166" t="s">
        <v>2669</v>
      </c>
      <c r="AE621" s="165" t="s">
        <v>48</v>
      </c>
      <c r="AF621" s="109" t="s">
        <v>48</v>
      </c>
      <c r="AG621" s="109" t="s">
        <v>48</v>
      </c>
      <c r="AH621" s="109" t="s">
        <v>48</v>
      </c>
      <c r="AI621" s="109" t="s">
        <v>48</v>
      </c>
      <c r="AJ621" s="109" t="s">
        <v>48</v>
      </c>
      <c r="AK621" s="166" t="s">
        <v>48</v>
      </c>
      <c r="AL621" s="109" t="s">
        <v>2693</v>
      </c>
      <c r="AM621" s="109" t="s">
        <v>2693</v>
      </c>
      <c r="AN621" s="109" t="s">
        <v>48</v>
      </c>
      <c r="AO621" s="109" t="s">
        <v>48</v>
      </c>
      <c r="AP621" s="109" t="s">
        <v>48</v>
      </c>
      <c r="AQ621" s="109" t="s">
        <v>48</v>
      </c>
      <c r="AR621" s="109" t="s">
        <v>48</v>
      </c>
      <c r="AS621" s="166" t="s">
        <v>48</v>
      </c>
      <c r="AT621" s="165" t="s">
        <v>48</v>
      </c>
      <c r="AU621" s="109" t="s">
        <v>48</v>
      </c>
      <c r="AV621" s="109" t="s">
        <v>48</v>
      </c>
      <c r="AW621" s="109" t="s">
        <v>48</v>
      </c>
      <c r="AX621" s="109" t="s">
        <v>48</v>
      </c>
      <c r="AY621" s="109" t="s">
        <v>48</v>
      </c>
      <c r="AZ621" s="166" t="s">
        <v>48</v>
      </c>
      <c r="BA621" s="162" t="s">
        <v>2681</v>
      </c>
      <c r="BB621" s="109" t="s">
        <v>49</v>
      </c>
      <c r="BC621" s="109" t="s">
        <v>1700</v>
      </c>
    </row>
    <row r="622" spans="1:55" ht="75" hidden="1" customHeight="1">
      <c r="A622" s="109" t="s">
        <v>40</v>
      </c>
      <c r="B622" s="117" t="s">
        <v>2020</v>
      </c>
      <c r="C622" s="109" t="s">
        <v>1627</v>
      </c>
      <c r="D622" s="109" t="s">
        <v>1698</v>
      </c>
      <c r="E622" s="161">
        <v>30000</v>
      </c>
      <c r="F622" s="165" t="s">
        <v>1698</v>
      </c>
      <c r="G622" s="109" t="s">
        <v>1698</v>
      </c>
      <c r="H622" s="109" t="s">
        <v>48</v>
      </c>
      <c r="I622" s="109" t="s">
        <v>48</v>
      </c>
      <c r="J622" s="109" t="s">
        <v>48</v>
      </c>
      <c r="K622" s="109" t="s">
        <v>48</v>
      </c>
      <c r="L622" s="109" t="s">
        <v>48</v>
      </c>
      <c r="M622" s="166" t="s">
        <v>1620</v>
      </c>
      <c r="N622" s="162" t="s">
        <v>48</v>
      </c>
      <c r="O622" s="109" t="s">
        <v>48</v>
      </c>
      <c r="P622" s="162" t="s">
        <v>48</v>
      </c>
      <c r="Q622" s="109" t="s">
        <v>48</v>
      </c>
      <c r="R622" s="109" t="s">
        <v>48</v>
      </c>
      <c r="S622" s="109" t="s">
        <v>48</v>
      </c>
      <c r="T622" s="109" t="s">
        <v>48</v>
      </c>
      <c r="U622" s="109" t="s">
        <v>48</v>
      </c>
      <c r="V622" s="196" t="s">
        <v>48</v>
      </c>
      <c r="W622" s="208" t="s">
        <v>2653</v>
      </c>
      <c r="X622" s="208" t="s">
        <v>2653</v>
      </c>
      <c r="Y622" s="109" t="s">
        <v>2654</v>
      </c>
      <c r="Z622" s="109" t="s">
        <v>2641</v>
      </c>
      <c r="AA622" s="109" t="s">
        <v>48</v>
      </c>
      <c r="AB622" s="109" t="s">
        <v>48</v>
      </c>
      <c r="AC622" s="109" t="s">
        <v>2655</v>
      </c>
      <c r="AD622" s="166" t="s">
        <v>2643</v>
      </c>
      <c r="AE622" s="165" t="s">
        <v>48</v>
      </c>
      <c r="AF622" s="109" t="s">
        <v>48</v>
      </c>
      <c r="AG622" s="109" t="s">
        <v>48</v>
      </c>
      <c r="AH622" s="109" t="s">
        <v>48</v>
      </c>
      <c r="AI622" s="109" t="s">
        <v>48</v>
      </c>
      <c r="AJ622" s="109" t="s">
        <v>48</v>
      </c>
      <c r="AK622" s="166" t="s">
        <v>48</v>
      </c>
      <c r="AL622" s="165" t="s">
        <v>1698</v>
      </c>
      <c r="AM622" s="109" t="s">
        <v>1698</v>
      </c>
      <c r="AN622" s="109" t="s">
        <v>48</v>
      </c>
      <c r="AO622" s="109" t="s">
        <v>48</v>
      </c>
      <c r="AP622" s="109" t="s">
        <v>48</v>
      </c>
      <c r="AQ622" s="109" t="s">
        <v>48</v>
      </c>
      <c r="AR622" s="109" t="s">
        <v>48</v>
      </c>
      <c r="AS622" s="166" t="s">
        <v>1620</v>
      </c>
      <c r="AT622" s="165" t="s">
        <v>893</v>
      </c>
      <c r="AU622" s="109" t="s">
        <v>2372</v>
      </c>
      <c r="AV622" s="109" t="s">
        <v>2371</v>
      </c>
      <c r="AW622" s="109" t="s">
        <v>1908</v>
      </c>
      <c r="AX622" s="109" t="s">
        <v>2364</v>
      </c>
      <c r="AY622" s="109" t="s">
        <v>2370</v>
      </c>
      <c r="AZ622" s="166" t="s">
        <v>2363</v>
      </c>
      <c r="BA622" s="162" t="s">
        <v>2397</v>
      </c>
      <c r="BB622" s="109" t="s">
        <v>49</v>
      </c>
      <c r="BC622" s="109" t="s">
        <v>2396</v>
      </c>
    </row>
    <row r="623" spans="1:55" ht="75" hidden="1" customHeight="1">
      <c r="A623" s="109" t="s">
        <v>2341</v>
      </c>
      <c r="B623" s="109" t="s">
        <v>2023</v>
      </c>
      <c r="C623" s="109" t="s">
        <v>1627</v>
      </c>
      <c r="D623" s="109" t="s">
        <v>1698</v>
      </c>
      <c r="E623" s="161">
        <v>30000</v>
      </c>
      <c r="F623" s="165" t="s">
        <v>1698</v>
      </c>
      <c r="G623" s="109" t="s">
        <v>1698</v>
      </c>
      <c r="H623" s="109" t="s">
        <v>48</v>
      </c>
      <c r="I623" s="109" t="s">
        <v>48</v>
      </c>
      <c r="J623" s="109" t="s">
        <v>48</v>
      </c>
      <c r="K623" s="109" t="s">
        <v>48</v>
      </c>
      <c r="L623" s="109" t="s">
        <v>48</v>
      </c>
      <c r="M623" s="166" t="s">
        <v>1620</v>
      </c>
      <c r="N623" s="162" t="s">
        <v>48</v>
      </c>
      <c r="O623" s="109" t="s">
        <v>48</v>
      </c>
      <c r="P623" s="162" t="s">
        <v>48</v>
      </c>
      <c r="Q623" s="109" t="s">
        <v>48</v>
      </c>
      <c r="R623" s="109" t="s">
        <v>48</v>
      </c>
      <c r="S623" s="109" t="s">
        <v>48</v>
      </c>
      <c r="T623" s="109" t="s">
        <v>48</v>
      </c>
      <c r="U623" s="109" t="s">
        <v>48</v>
      </c>
      <c r="V623" s="196" t="s">
        <v>48</v>
      </c>
      <c r="W623" s="208" t="s">
        <v>2653</v>
      </c>
      <c r="X623" s="208" t="s">
        <v>2653</v>
      </c>
      <c r="Y623" s="109" t="s">
        <v>2654</v>
      </c>
      <c r="Z623" s="109" t="s">
        <v>2641</v>
      </c>
      <c r="AA623" s="109" t="s">
        <v>48</v>
      </c>
      <c r="AB623" s="109" t="s">
        <v>48</v>
      </c>
      <c r="AC623" s="109" t="s">
        <v>2655</v>
      </c>
      <c r="AD623" s="166" t="s">
        <v>2643</v>
      </c>
      <c r="AE623" s="165" t="s">
        <v>48</v>
      </c>
      <c r="AF623" s="109" t="s">
        <v>48</v>
      </c>
      <c r="AG623" s="109" t="s">
        <v>48</v>
      </c>
      <c r="AH623" s="109" t="s">
        <v>48</v>
      </c>
      <c r="AI623" s="109" t="s">
        <v>48</v>
      </c>
      <c r="AJ623" s="109" t="s">
        <v>48</v>
      </c>
      <c r="AK623" s="166" t="s">
        <v>48</v>
      </c>
      <c r="AL623" s="165" t="s">
        <v>1698</v>
      </c>
      <c r="AM623" s="109" t="s">
        <v>1698</v>
      </c>
      <c r="AN623" s="109" t="s">
        <v>48</v>
      </c>
      <c r="AO623" s="109" t="s">
        <v>48</v>
      </c>
      <c r="AP623" s="109" t="s">
        <v>48</v>
      </c>
      <c r="AQ623" s="109" t="s">
        <v>48</v>
      </c>
      <c r="AR623" s="109" t="s">
        <v>48</v>
      </c>
      <c r="AS623" s="166" t="s">
        <v>1620</v>
      </c>
      <c r="AT623" s="165" t="s">
        <v>893</v>
      </c>
      <c r="AU623" s="109" t="s">
        <v>2372</v>
      </c>
      <c r="AV623" s="109" t="s">
        <v>2371</v>
      </c>
      <c r="AW623" s="109" t="s">
        <v>1908</v>
      </c>
      <c r="AX623" s="109" t="s">
        <v>2364</v>
      </c>
      <c r="AY623" s="109" t="s">
        <v>2370</v>
      </c>
      <c r="AZ623" s="166" t="s">
        <v>2363</v>
      </c>
      <c r="BA623" s="162" t="s">
        <v>2397</v>
      </c>
      <c r="BB623" s="109" t="s">
        <v>49</v>
      </c>
      <c r="BC623" s="109" t="s">
        <v>2396</v>
      </c>
    </row>
    <row r="624" spans="1:55" ht="75" hidden="1" customHeight="1">
      <c r="A624" s="109" t="s">
        <v>2340</v>
      </c>
      <c r="B624" s="109" t="s">
        <v>2022</v>
      </c>
      <c r="C624" s="109" t="s">
        <v>1627</v>
      </c>
      <c r="D624" s="109" t="s">
        <v>1698</v>
      </c>
      <c r="E624" s="161">
        <v>30000</v>
      </c>
      <c r="F624" s="165" t="s">
        <v>1698</v>
      </c>
      <c r="G624" s="109" t="s">
        <v>1698</v>
      </c>
      <c r="H624" s="109" t="s">
        <v>48</v>
      </c>
      <c r="I624" s="109" t="s">
        <v>48</v>
      </c>
      <c r="J624" s="109" t="s">
        <v>48</v>
      </c>
      <c r="K624" s="109" t="s">
        <v>48</v>
      </c>
      <c r="L624" s="109" t="s">
        <v>48</v>
      </c>
      <c r="M624" s="166" t="s">
        <v>1620</v>
      </c>
      <c r="N624" s="162" t="s">
        <v>48</v>
      </c>
      <c r="O624" s="109" t="s">
        <v>48</v>
      </c>
      <c r="P624" s="162" t="s">
        <v>48</v>
      </c>
      <c r="Q624" s="109" t="s">
        <v>48</v>
      </c>
      <c r="R624" s="109" t="s">
        <v>48</v>
      </c>
      <c r="S624" s="109" t="s">
        <v>48</v>
      </c>
      <c r="T624" s="109" t="s">
        <v>48</v>
      </c>
      <c r="U624" s="109" t="s">
        <v>48</v>
      </c>
      <c r="V624" s="196" t="s">
        <v>48</v>
      </c>
      <c r="W624" s="208" t="s">
        <v>2653</v>
      </c>
      <c r="X624" s="208" t="s">
        <v>2653</v>
      </c>
      <c r="Y624" s="109" t="s">
        <v>2654</v>
      </c>
      <c r="Z624" s="109" t="s">
        <v>2641</v>
      </c>
      <c r="AA624" s="109" t="s">
        <v>48</v>
      </c>
      <c r="AB624" s="109" t="s">
        <v>48</v>
      </c>
      <c r="AC624" s="109" t="s">
        <v>2655</v>
      </c>
      <c r="AD624" s="166" t="s">
        <v>2643</v>
      </c>
      <c r="AE624" s="165" t="s">
        <v>48</v>
      </c>
      <c r="AF624" s="109" t="s">
        <v>48</v>
      </c>
      <c r="AG624" s="109" t="s">
        <v>48</v>
      </c>
      <c r="AH624" s="109" t="s">
        <v>48</v>
      </c>
      <c r="AI624" s="109" t="s">
        <v>48</v>
      </c>
      <c r="AJ624" s="109" t="s">
        <v>48</v>
      </c>
      <c r="AK624" s="166" t="s">
        <v>48</v>
      </c>
      <c r="AL624" s="165" t="s">
        <v>1698</v>
      </c>
      <c r="AM624" s="109" t="s">
        <v>1698</v>
      </c>
      <c r="AN624" s="109" t="s">
        <v>48</v>
      </c>
      <c r="AO624" s="109" t="s">
        <v>48</v>
      </c>
      <c r="AP624" s="109" t="s">
        <v>48</v>
      </c>
      <c r="AQ624" s="109" t="s">
        <v>48</v>
      </c>
      <c r="AR624" s="109" t="s">
        <v>48</v>
      </c>
      <c r="AS624" s="166" t="s">
        <v>1620</v>
      </c>
      <c r="AT624" s="165" t="s">
        <v>893</v>
      </c>
      <c r="AU624" s="109" t="s">
        <v>2372</v>
      </c>
      <c r="AV624" s="109" t="s">
        <v>2371</v>
      </c>
      <c r="AW624" s="109" t="s">
        <v>1908</v>
      </c>
      <c r="AX624" s="109" t="s">
        <v>2364</v>
      </c>
      <c r="AY624" s="109" t="s">
        <v>2370</v>
      </c>
      <c r="AZ624" s="166" t="s">
        <v>2363</v>
      </c>
      <c r="BA624" s="162" t="s">
        <v>2397</v>
      </c>
      <c r="BB624" s="109" t="s">
        <v>49</v>
      </c>
      <c r="BC624" s="109" t="s">
        <v>2396</v>
      </c>
    </row>
    <row r="625" spans="1:55" ht="75" hidden="1" customHeight="1">
      <c r="A625" s="109" t="s">
        <v>2344</v>
      </c>
      <c r="B625" s="117" t="s">
        <v>2021</v>
      </c>
      <c r="C625" s="109" t="s">
        <v>1627</v>
      </c>
      <c r="D625" s="109" t="s">
        <v>1790</v>
      </c>
      <c r="E625" s="161">
        <v>30000</v>
      </c>
      <c r="F625" s="165" t="s">
        <v>1789</v>
      </c>
      <c r="G625" s="109" t="s">
        <v>1789</v>
      </c>
      <c r="H625" s="109" t="s">
        <v>1963</v>
      </c>
      <c r="I625" s="109" t="s">
        <v>1908</v>
      </c>
      <c r="J625" s="109" t="s">
        <v>1708</v>
      </c>
      <c r="K625" s="109" t="s">
        <v>1708</v>
      </c>
      <c r="L625" s="109" t="s">
        <v>1999</v>
      </c>
      <c r="M625" s="166" t="s">
        <v>1687</v>
      </c>
      <c r="N625" s="162" t="s">
        <v>48</v>
      </c>
      <c r="O625" s="109" t="s">
        <v>48</v>
      </c>
      <c r="P625" s="162" t="s">
        <v>48</v>
      </c>
      <c r="Q625" s="109" t="s">
        <v>48</v>
      </c>
      <c r="R625" s="109" t="s">
        <v>48</v>
      </c>
      <c r="S625" s="109" t="s">
        <v>48</v>
      </c>
      <c r="T625" s="109" t="s">
        <v>48</v>
      </c>
      <c r="U625" s="109" t="s">
        <v>48</v>
      </c>
      <c r="V625" s="196" t="s">
        <v>48</v>
      </c>
      <c r="W625" s="209" t="s">
        <v>2657</v>
      </c>
      <c r="X625" s="209" t="s">
        <v>2657</v>
      </c>
      <c r="Y625" s="109" t="s">
        <v>2658</v>
      </c>
      <c r="Z625" s="109" t="s">
        <v>2412</v>
      </c>
      <c r="AA625" s="109" t="s">
        <v>48</v>
      </c>
      <c r="AB625" s="109" t="s">
        <v>48</v>
      </c>
      <c r="AC625" s="109" t="s">
        <v>2659</v>
      </c>
      <c r="AD625" s="166" t="s">
        <v>2643</v>
      </c>
      <c r="AE625" s="165" t="s">
        <v>48</v>
      </c>
      <c r="AF625" s="109" t="s">
        <v>48</v>
      </c>
      <c r="AG625" s="109" t="s">
        <v>48</v>
      </c>
      <c r="AH625" s="109" t="s">
        <v>48</v>
      </c>
      <c r="AI625" s="109" t="s">
        <v>48</v>
      </c>
      <c r="AJ625" s="109" t="s">
        <v>48</v>
      </c>
      <c r="AK625" s="166" t="s">
        <v>48</v>
      </c>
      <c r="AL625" s="165" t="s">
        <v>1790</v>
      </c>
      <c r="AM625" s="109" t="s">
        <v>1790</v>
      </c>
      <c r="AN625" s="109" t="s">
        <v>48</v>
      </c>
      <c r="AO625" s="109" t="s">
        <v>48</v>
      </c>
      <c r="AP625" s="109" t="s">
        <v>48</v>
      </c>
      <c r="AQ625" s="109" t="s">
        <v>48</v>
      </c>
      <c r="AR625" s="109" t="s">
        <v>48</v>
      </c>
      <c r="AS625" s="166" t="s">
        <v>48</v>
      </c>
      <c r="AT625" s="165" t="s">
        <v>48</v>
      </c>
      <c r="AU625" s="109" t="s">
        <v>48</v>
      </c>
      <c r="AV625" s="109" t="s">
        <v>48</v>
      </c>
      <c r="AW625" s="109" t="s">
        <v>48</v>
      </c>
      <c r="AX625" s="109" t="s">
        <v>48</v>
      </c>
      <c r="AY625" s="109" t="s">
        <v>48</v>
      </c>
      <c r="AZ625" s="166" t="s">
        <v>48</v>
      </c>
      <c r="BA625" s="162" t="s">
        <v>1788</v>
      </c>
      <c r="BB625" s="109" t="s">
        <v>49</v>
      </c>
      <c r="BC625" s="109" t="s">
        <v>1700</v>
      </c>
    </row>
    <row r="626" spans="1:55" ht="75" hidden="1" customHeight="1">
      <c r="A626" s="109" t="s">
        <v>2344</v>
      </c>
      <c r="B626" s="117" t="s">
        <v>2021</v>
      </c>
      <c r="C626" s="109" t="s">
        <v>1627</v>
      </c>
      <c r="D626" s="109" t="s">
        <v>2697</v>
      </c>
      <c r="E626" s="161">
        <v>30000</v>
      </c>
      <c r="F626" s="165" t="s">
        <v>2697</v>
      </c>
      <c r="G626" s="165" t="s">
        <v>2697</v>
      </c>
      <c r="H626" s="109" t="s">
        <v>2679</v>
      </c>
      <c r="I626" s="109" t="s">
        <v>2679</v>
      </c>
      <c r="J626" s="109" t="s">
        <v>2679</v>
      </c>
      <c r="K626" s="109" t="s">
        <v>2679</v>
      </c>
      <c r="L626" s="109" t="s">
        <v>2679</v>
      </c>
      <c r="M626" s="109" t="s">
        <v>2679</v>
      </c>
      <c r="N626" s="162" t="s">
        <v>48</v>
      </c>
      <c r="O626" s="109" t="s">
        <v>48</v>
      </c>
      <c r="P626" s="162" t="s">
        <v>48</v>
      </c>
      <c r="Q626" s="109" t="s">
        <v>48</v>
      </c>
      <c r="R626" s="109" t="s">
        <v>48</v>
      </c>
      <c r="S626" s="109" t="s">
        <v>48</v>
      </c>
      <c r="T626" s="109" t="s">
        <v>48</v>
      </c>
      <c r="U626" s="109" t="s">
        <v>48</v>
      </c>
      <c r="V626" s="196" t="s">
        <v>48</v>
      </c>
      <c r="W626" s="165" t="s">
        <v>2697</v>
      </c>
      <c r="X626" s="165" t="s">
        <v>2697</v>
      </c>
      <c r="Y626" s="109" t="s">
        <v>676</v>
      </c>
      <c r="Z626" s="109" t="s">
        <v>676</v>
      </c>
      <c r="AA626" s="109" t="s">
        <v>676</v>
      </c>
      <c r="AB626" s="109" t="s">
        <v>676</v>
      </c>
      <c r="AC626" s="109" t="s">
        <v>676</v>
      </c>
      <c r="AD626" s="109" t="s">
        <v>676</v>
      </c>
      <c r="AE626" s="165" t="s">
        <v>48</v>
      </c>
      <c r="AF626" s="109" t="s">
        <v>48</v>
      </c>
      <c r="AG626" s="109" t="s">
        <v>48</v>
      </c>
      <c r="AH626" s="109" t="s">
        <v>48</v>
      </c>
      <c r="AI626" s="109" t="s">
        <v>48</v>
      </c>
      <c r="AJ626" s="109" t="s">
        <v>48</v>
      </c>
      <c r="AK626" s="166" t="s">
        <v>48</v>
      </c>
      <c r="AL626" s="109" t="s">
        <v>2697</v>
      </c>
      <c r="AM626" s="109" t="s">
        <v>2697</v>
      </c>
      <c r="AN626" s="109" t="s">
        <v>48</v>
      </c>
      <c r="AO626" s="109" t="s">
        <v>48</v>
      </c>
      <c r="AP626" s="109" t="s">
        <v>48</v>
      </c>
      <c r="AQ626" s="109" t="s">
        <v>48</v>
      </c>
      <c r="AR626" s="109" t="s">
        <v>48</v>
      </c>
      <c r="AS626" s="166" t="s">
        <v>48</v>
      </c>
      <c r="AT626" s="165" t="s">
        <v>48</v>
      </c>
      <c r="AU626" s="109" t="s">
        <v>48</v>
      </c>
      <c r="AV626" s="109" t="s">
        <v>48</v>
      </c>
      <c r="AW626" s="109" t="s">
        <v>48</v>
      </c>
      <c r="AX626" s="109" t="s">
        <v>48</v>
      </c>
      <c r="AY626" s="109" t="s">
        <v>48</v>
      </c>
      <c r="AZ626" s="166" t="s">
        <v>48</v>
      </c>
      <c r="BA626" s="162" t="s">
        <v>2679</v>
      </c>
      <c r="BB626" s="109" t="s">
        <v>49</v>
      </c>
      <c r="BC626" s="109" t="s">
        <v>1700</v>
      </c>
    </row>
    <row r="627" spans="1:55" ht="75" hidden="1" customHeight="1">
      <c r="A627" s="109" t="s">
        <v>2344</v>
      </c>
      <c r="B627" s="117" t="s">
        <v>2021</v>
      </c>
      <c r="C627" s="109" t="s">
        <v>1627</v>
      </c>
      <c r="D627" s="109" t="s">
        <v>2698</v>
      </c>
      <c r="E627" s="161">
        <v>30000</v>
      </c>
      <c r="F627" s="165" t="s">
        <v>2698</v>
      </c>
      <c r="G627" s="165" t="s">
        <v>2698</v>
      </c>
      <c r="H627" s="109" t="s">
        <v>2679</v>
      </c>
      <c r="I627" s="109" t="s">
        <v>2679</v>
      </c>
      <c r="J627" s="109" t="s">
        <v>2679</v>
      </c>
      <c r="K627" s="109" t="s">
        <v>2679</v>
      </c>
      <c r="L627" s="109" t="s">
        <v>2679</v>
      </c>
      <c r="M627" s="109" t="s">
        <v>2679</v>
      </c>
      <c r="N627" s="162" t="s">
        <v>48</v>
      </c>
      <c r="O627" s="109" t="s">
        <v>48</v>
      </c>
      <c r="P627" s="162" t="s">
        <v>48</v>
      </c>
      <c r="Q627" s="109" t="s">
        <v>48</v>
      </c>
      <c r="R627" s="109" t="s">
        <v>48</v>
      </c>
      <c r="S627" s="109" t="s">
        <v>48</v>
      </c>
      <c r="T627" s="109" t="s">
        <v>48</v>
      </c>
      <c r="U627" s="109" t="s">
        <v>48</v>
      </c>
      <c r="V627" s="196" t="s">
        <v>48</v>
      </c>
      <c r="W627" s="165" t="s">
        <v>2698</v>
      </c>
      <c r="X627" s="165" t="s">
        <v>2698</v>
      </c>
      <c r="Y627" s="109" t="s">
        <v>676</v>
      </c>
      <c r="Z627" s="109" t="s">
        <v>676</v>
      </c>
      <c r="AA627" s="109" t="s">
        <v>676</v>
      </c>
      <c r="AB627" s="109" t="s">
        <v>676</v>
      </c>
      <c r="AC627" s="109" t="s">
        <v>676</v>
      </c>
      <c r="AD627" s="109" t="s">
        <v>676</v>
      </c>
      <c r="AE627" s="165" t="s">
        <v>48</v>
      </c>
      <c r="AF627" s="109" t="s">
        <v>48</v>
      </c>
      <c r="AG627" s="109" t="s">
        <v>48</v>
      </c>
      <c r="AH627" s="109" t="s">
        <v>48</v>
      </c>
      <c r="AI627" s="109" t="s">
        <v>48</v>
      </c>
      <c r="AJ627" s="109" t="s">
        <v>48</v>
      </c>
      <c r="AK627" s="166" t="s">
        <v>48</v>
      </c>
      <c r="AL627" s="109" t="s">
        <v>2698</v>
      </c>
      <c r="AM627" s="109" t="s">
        <v>2698</v>
      </c>
      <c r="AN627" s="109" t="s">
        <v>48</v>
      </c>
      <c r="AO627" s="109" t="s">
        <v>48</v>
      </c>
      <c r="AP627" s="109" t="s">
        <v>48</v>
      </c>
      <c r="AQ627" s="109" t="s">
        <v>48</v>
      </c>
      <c r="AR627" s="109" t="s">
        <v>48</v>
      </c>
      <c r="AS627" s="166" t="s">
        <v>48</v>
      </c>
      <c r="AT627" s="165" t="s">
        <v>48</v>
      </c>
      <c r="AU627" s="109" t="s">
        <v>48</v>
      </c>
      <c r="AV627" s="109" t="s">
        <v>48</v>
      </c>
      <c r="AW627" s="109" t="s">
        <v>48</v>
      </c>
      <c r="AX627" s="109" t="s">
        <v>48</v>
      </c>
      <c r="AY627" s="109" t="s">
        <v>48</v>
      </c>
      <c r="AZ627" s="166" t="s">
        <v>48</v>
      </c>
      <c r="BA627" s="162" t="s">
        <v>2679</v>
      </c>
      <c r="BB627" s="109" t="s">
        <v>49</v>
      </c>
      <c r="BC627" s="109" t="s">
        <v>1700</v>
      </c>
    </row>
    <row r="628" spans="1:55" ht="75" hidden="1" customHeight="1">
      <c r="A628" s="109" t="s">
        <v>2344</v>
      </c>
      <c r="B628" s="117" t="s">
        <v>2021</v>
      </c>
      <c r="C628" s="109" t="s">
        <v>1627</v>
      </c>
      <c r="D628" s="109" t="s">
        <v>1789</v>
      </c>
      <c r="E628" s="161">
        <v>30000</v>
      </c>
      <c r="F628" s="165" t="s">
        <v>1789</v>
      </c>
      <c r="G628" s="109" t="s">
        <v>1789</v>
      </c>
      <c r="H628" s="109" t="s">
        <v>48</v>
      </c>
      <c r="I628" s="109" t="s">
        <v>48</v>
      </c>
      <c r="J628" s="109" t="s">
        <v>48</v>
      </c>
      <c r="K628" s="109" t="s">
        <v>48</v>
      </c>
      <c r="L628" s="109" t="s">
        <v>48</v>
      </c>
      <c r="M628" s="166" t="s">
        <v>1687</v>
      </c>
      <c r="N628" s="162" t="s">
        <v>48</v>
      </c>
      <c r="O628" s="109" t="s">
        <v>48</v>
      </c>
      <c r="P628" s="162" t="s">
        <v>48</v>
      </c>
      <c r="Q628" s="109" t="s">
        <v>48</v>
      </c>
      <c r="R628" s="109" t="s">
        <v>48</v>
      </c>
      <c r="S628" s="109" t="s">
        <v>48</v>
      </c>
      <c r="T628" s="109" t="s">
        <v>48</v>
      </c>
      <c r="U628" s="109" t="s">
        <v>48</v>
      </c>
      <c r="V628" s="196" t="s">
        <v>48</v>
      </c>
      <c r="W628" s="209" t="s">
        <v>2657</v>
      </c>
      <c r="X628" s="209" t="s">
        <v>2657</v>
      </c>
      <c r="Y628" s="109" t="s">
        <v>2658</v>
      </c>
      <c r="Z628" s="109" t="s">
        <v>2641</v>
      </c>
      <c r="AA628" s="109" t="s">
        <v>48</v>
      </c>
      <c r="AB628" s="109" t="s">
        <v>48</v>
      </c>
      <c r="AC628" s="109" t="s">
        <v>2659</v>
      </c>
      <c r="AD628" s="166" t="s">
        <v>2643</v>
      </c>
      <c r="AE628" s="165" t="s">
        <v>48</v>
      </c>
      <c r="AF628" s="109" t="s">
        <v>48</v>
      </c>
      <c r="AG628" s="109" t="s">
        <v>48</v>
      </c>
      <c r="AH628" s="109" t="s">
        <v>48</v>
      </c>
      <c r="AI628" s="109" t="s">
        <v>48</v>
      </c>
      <c r="AJ628" s="109" t="s">
        <v>48</v>
      </c>
      <c r="AK628" s="166" t="s">
        <v>48</v>
      </c>
      <c r="AL628" s="165" t="s">
        <v>1789</v>
      </c>
      <c r="AM628" s="109" t="s">
        <v>1789</v>
      </c>
      <c r="AN628" s="109" t="s">
        <v>48</v>
      </c>
      <c r="AO628" s="109" t="s">
        <v>48</v>
      </c>
      <c r="AP628" s="109" t="s">
        <v>48</v>
      </c>
      <c r="AQ628" s="109" t="s">
        <v>48</v>
      </c>
      <c r="AR628" s="109" t="s">
        <v>48</v>
      </c>
      <c r="AS628" s="166" t="s">
        <v>1687</v>
      </c>
      <c r="AT628" s="165" t="s">
        <v>893</v>
      </c>
      <c r="AU628" s="109" t="s">
        <v>2365</v>
      </c>
      <c r="AV628" s="109" t="s">
        <v>2366</v>
      </c>
      <c r="AW628" s="109" t="s">
        <v>1908</v>
      </c>
      <c r="AX628" s="109" t="s">
        <v>2364</v>
      </c>
      <c r="AY628" s="109" t="s">
        <v>2362</v>
      </c>
      <c r="AZ628" s="166" t="s">
        <v>2395</v>
      </c>
      <c r="BA628" s="162" t="s">
        <v>2397</v>
      </c>
      <c r="BB628" s="109" t="s">
        <v>49</v>
      </c>
      <c r="BC628" s="109" t="s">
        <v>2396</v>
      </c>
    </row>
    <row r="629" spans="1:55" ht="75" hidden="1" customHeight="1">
      <c r="A629" s="109" t="s">
        <v>31</v>
      </c>
      <c r="B629" s="109" t="s">
        <v>2019</v>
      </c>
      <c r="C629" s="109" t="s">
        <v>1627</v>
      </c>
      <c r="D629" s="109" t="s">
        <v>1626</v>
      </c>
      <c r="E629" s="161">
        <v>30000</v>
      </c>
      <c r="F629" s="165" t="s">
        <v>1793</v>
      </c>
      <c r="G629" s="109" t="s">
        <v>1793</v>
      </c>
      <c r="H629" s="109" t="s">
        <v>1962</v>
      </c>
      <c r="I629" s="109" t="s">
        <v>1908</v>
      </c>
      <c r="J629" s="109" t="s">
        <v>1708</v>
      </c>
      <c r="K629" s="109" t="s">
        <v>1708</v>
      </c>
      <c r="L629" s="109" t="s">
        <v>1998</v>
      </c>
      <c r="M629" s="166" t="s">
        <v>1687</v>
      </c>
      <c r="N629" s="162" t="s">
        <v>48</v>
      </c>
      <c r="O629" s="109" t="s">
        <v>48</v>
      </c>
      <c r="P629" s="162" t="s">
        <v>48</v>
      </c>
      <c r="Q629" s="109" t="s">
        <v>48</v>
      </c>
      <c r="R629" s="109" t="s">
        <v>48</v>
      </c>
      <c r="S629" s="109" t="s">
        <v>48</v>
      </c>
      <c r="T629" s="109" t="s">
        <v>48</v>
      </c>
      <c r="U629" s="109" t="s">
        <v>48</v>
      </c>
      <c r="V629" s="166" t="s">
        <v>48</v>
      </c>
      <c r="W629" s="165" t="s">
        <v>1626</v>
      </c>
      <c r="X629" s="109" t="s">
        <v>1626</v>
      </c>
      <c r="Y629" s="109" t="s">
        <v>48</v>
      </c>
      <c r="Z629" s="109" t="s">
        <v>48</v>
      </c>
      <c r="AA629" s="109" t="s">
        <v>48</v>
      </c>
      <c r="AB629" s="109" t="s">
        <v>48</v>
      </c>
      <c r="AC629" s="109" t="s">
        <v>48</v>
      </c>
      <c r="AD629" s="166" t="s">
        <v>48</v>
      </c>
      <c r="AE629" s="174" t="s">
        <v>48</v>
      </c>
      <c r="AF629" s="117" t="s">
        <v>48</v>
      </c>
      <c r="AG629" s="117" t="s">
        <v>48</v>
      </c>
      <c r="AH629" s="109" t="s">
        <v>48</v>
      </c>
      <c r="AI629" s="117" t="s">
        <v>48</v>
      </c>
      <c r="AJ629" s="117" t="s">
        <v>48</v>
      </c>
      <c r="AK629" s="182" t="s">
        <v>48</v>
      </c>
      <c r="AL629" s="165" t="s">
        <v>1626</v>
      </c>
      <c r="AM629" s="109" t="s">
        <v>1626</v>
      </c>
      <c r="AN629" s="109" t="s">
        <v>48</v>
      </c>
      <c r="AO629" s="109" t="s">
        <v>48</v>
      </c>
      <c r="AP629" s="109" t="s">
        <v>48</v>
      </c>
      <c r="AQ629" s="109" t="s">
        <v>48</v>
      </c>
      <c r="AR629" s="109" t="s">
        <v>48</v>
      </c>
      <c r="AS629" s="166" t="s">
        <v>48</v>
      </c>
      <c r="AT629" s="165" t="s">
        <v>48</v>
      </c>
      <c r="AU629" s="109" t="s">
        <v>48</v>
      </c>
      <c r="AV629" s="109" t="s">
        <v>48</v>
      </c>
      <c r="AW629" s="109" t="s">
        <v>48</v>
      </c>
      <c r="AX629" s="109" t="s">
        <v>48</v>
      </c>
      <c r="AY629" s="109" t="s">
        <v>48</v>
      </c>
      <c r="AZ629" s="166" t="s">
        <v>48</v>
      </c>
      <c r="BA629" s="162" t="s">
        <v>1788</v>
      </c>
      <c r="BB629" s="109" t="s">
        <v>49</v>
      </c>
      <c r="BC629" s="109" t="s">
        <v>1700</v>
      </c>
    </row>
    <row r="630" spans="1:55" ht="75" hidden="1" customHeight="1">
      <c r="A630" s="109" t="s">
        <v>31</v>
      </c>
      <c r="B630" s="109" t="s">
        <v>2027</v>
      </c>
      <c r="C630" s="109" t="s">
        <v>1627</v>
      </c>
      <c r="D630" s="109" t="s">
        <v>1626</v>
      </c>
      <c r="E630" s="161">
        <v>30000</v>
      </c>
      <c r="F630" s="165" t="s">
        <v>1793</v>
      </c>
      <c r="G630" s="109" t="s">
        <v>1793</v>
      </c>
      <c r="H630" s="109" t="s">
        <v>1962</v>
      </c>
      <c r="I630" s="109" t="s">
        <v>1908</v>
      </c>
      <c r="J630" s="109" t="s">
        <v>1708</v>
      </c>
      <c r="K630" s="109" t="s">
        <v>1708</v>
      </c>
      <c r="L630" s="109" t="s">
        <v>1998</v>
      </c>
      <c r="M630" s="166" t="s">
        <v>1687</v>
      </c>
      <c r="N630" s="162" t="s">
        <v>48</v>
      </c>
      <c r="O630" s="109" t="s">
        <v>48</v>
      </c>
      <c r="P630" s="162" t="s">
        <v>48</v>
      </c>
      <c r="Q630" s="109" t="s">
        <v>48</v>
      </c>
      <c r="R630" s="109" t="s">
        <v>48</v>
      </c>
      <c r="S630" s="109" t="s">
        <v>48</v>
      </c>
      <c r="T630" s="109" t="s">
        <v>48</v>
      </c>
      <c r="U630" s="109" t="s">
        <v>48</v>
      </c>
      <c r="V630" s="166" t="s">
        <v>48</v>
      </c>
      <c r="W630" s="165" t="s">
        <v>1626</v>
      </c>
      <c r="X630" s="109" t="s">
        <v>1626</v>
      </c>
      <c r="Y630" s="109" t="s">
        <v>48</v>
      </c>
      <c r="Z630" s="109" t="s">
        <v>48</v>
      </c>
      <c r="AA630" s="109" t="s">
        <v>48</v>
      </c>
      <c r="AB630" s="109" t="s">
        <v>48</v>
      </c>
      <c r="AC630" s="109" t="s">
        <v>48</v>
      </c>
      <c r="AD630" s="166" t="s">
        <v>48</v>
      </c>
      <c r="AE630" s="174" t="s">
        <v>48</v>
      </c>
      <c r="AF630" s="117" t="s">
        <v>48</v>
      </c>
      <c r="AG630" s="117" t="s">
        <v>48</v>
      </c>
      <c r="AH630" s="109" t="s">
        <v>48</v>
      </c>
      <c r="AI630" s="117" t="s">
        <v>48</v>
      </c>
      <c r="AJ630" s="117" t="s">
        <v>48</v>
      </c>
      <c r="AK630" s="182" t="s">
        <v>48</v>
      </c>
      <c r="AL630" s="165" t="s">
        <v>1626</v>
      </c>
      <c r="AM630" s="109" t="s">
        <v>1626</v>
      </c>
      <c r="AN630" s="109" t="s">
        <v>48</v>
      </c>
      <c r="AO630" s="109" t="s">
        <v>48</v>
      </c>
      <c r="AP630" s="109" t="s">
        <v>48</v>
      </c>
      <c r="AQ630" s="109" t="s">
        <v>48</v>
      </c>
      <c r="AR630" s="109" t="s">
        <v>48</v>
      </c>
      <c r="AS630" s="166" t="s">
        <v>48</v>
      </c>
      <c r="AT630" s="165" t="s">
        <v>48</v>
      </c>
      <c r="AU630" s="109" t="s">
        <v>48</v>
      </c>
      <c r="AV630" s="109" t="s">
        <v>48</v>
      </c>
      <c r="AW630" s="109" t="s">
        <v>48</v>
      </c>
      <c r="AX630" s="109" t="s">
        <v>48</v>
      </c>
      <c r="AY630" s="109" t="s">
        <v>48</v>
      </c>
      <c r="AZ630" s="166" t="s">
        <v>48</v>
      </c>
      <c r="BA630" s="162" t="s">
        <v>1788</v>
      </c>
      <c r="BB630" s="109" t="s">
        <v>49</v>
      </c>
      <c r="BC630" s="109" t="s">
        <v>1700</v>
      </c>
    </row>
    <row r="631" spans="1:55" ht="75" hidden="1" customHeight="1">
      <c r="A631" s="109" t="s">
        <v>31</v>
      </c>
      <c r="B631" s="109" t="s">
        <v>2019</v>
      </c>
      <c r="C631" s="109" t="s">
        <v>1627</v>
      </c>
      <c r="D631" s="109" t="s">
        <v>1628</v>
      </c>
      <c r="E631" s="161">
        <v>30000</v>
      </c>
      <c r="F631" s="165" t="s">
        <v>1793</v>
      </c>
      <c r="G631" s="109" t="s">
        <v>1793</v>
      </c>
      <c r="H631" s="109" t="s">
        <v>1962</v>
      </c>
      <c r="I631" s="109" t="s">
        <v>1908</v>
      </c>
      <c r="J631" s="109" t="s">
        <v>1708</v>
      </c>
      <c r="K631" s="109" t="s">
        <v>1708</v>
      </c>
      <c r="L631" s="109" t="s">
        <v>1998</v>
      </c>
      <c r="M631" s="166" t="s">
        <v>1687</v>
      </c>
      <c r="N631" s="162" t="s">
        <v>48</v>
      </c>
      <c r="O631" s="109" t="s">
        <v>48</v>
      </c>
      <c r="P631" s="162" t="s">
        <v>48</v>
      </c>
      <c r="Q631" s="109" t="s">
        <v>48</v>
      </c>
      <c r="R631" s="109" t="s">
        <v>48</v>
      </c>
      <c r="S631" s="109" t="s">
        <v>48</v>
      </c>
      <c r="T631" s="109" t="s">
        <v>48</v>
      </c>
      <c r="U631" s="109" t="s">
        <v>48</v>
      </c>
      <c r="V631" s="166" t="s">
        <v>48</v>
      </c>
      <c r="W631" s="209" t="s">
        <v>2660</v>
      </c>
      <c r="X631" s="209" t="s">
        <v>2660</v>
      </c>
      <c r="Y631" s="109" t="s">
        <v>2661</v>
      </c>
      <c r="Z631" s="109" t="s">
        <v>2412</v>
      </c>
      <c r="AA631" s="109" t="s">
        <v>48</v>
      </c>
      <c r="AB631" s="109" t="s">
        <v>48</v>
      </c>
      <c r="AC631" s="109" t="s">
        <v>2662</v>
      </c>
      <c r="AD631" s="166" t="s">
        <v>2643</v>
      </c>
      <c r="AE631" s="165" t="s">
        <v>48</v>
      </c>
      <c r="AF631" s="109" t="s">
        <v>48</v>
      </c>
      <c r="AG631" s="109" t="s">
        <v>48</v>
      </c>
      <c r="AH631" s="109" t="s">
        <v>48</v>
      </c>
      <c r="AI631" s="109" t="s">
        <v>48</v>
      </c>
      <c r="AJ631" s="109" t="s">
        <v>48</v>
      </c>
      <c r="AK631" s="166" t="s">
        <v>48</v>
      </c>
      <c r="AL631" s="165" t="s">
        <v>1628</v>
      </c>
      <c r="AM631" s="109" t="s">
        <v>1628</v>
      </c>
      <c r="AN631" s="109" t="s">
        <v>48</v>
      </c>
      <c r="AO631" s="109" t="s">
        <v>48</v>
      </c>
      <c r="AP631" s="109" t="s">
        <v>48</v>
      </c>
      <c r="AQ631" s="109" t="s">
        <v>48</v>
      </c>
      <c r="AR631" s="109" t="s">
        <v>48</v>
      </c>
      <c r="AS631" s="166" t="s">
        <v>48</v>
      </c>
      <c r="AT631" s="165" t="s">
        <v>48</v>
      </c>
      <c r="AU631" s="109" t="s">
        <v>48</v>
      </c>
      <c r="AV631" s="109" t="s">
        <v>48</v>
      </c>
      <c r="AW631" s="109" t="s">
        <v>48</v>
      </c>
      <c r="AX631" s="109" t="s">
        <v>48</v>
      </c>
      <c r="AY631" s="109" t="s">
        <v>48</v>
      </c>
      <c r="AZ631" s="166" t="s">
        <v>48</v>
      </c>
      <c r="BA631" s="162" t="s">
        <v>1788</v>
      </c>
      <c r="BB631" s="109" t="s">
        <v>49</v>
      </c>
      <c r="BC631" s="109" t="s">
        <v>1700</v>
      </c>
    </row>
    <row r="632" spans="1:55" ht="75" hidden="1" customHeight="1">
      <c r="A632" s="109" t="s">
        <v>31</v>
      </c>
      <c r="B632" s="109" t="s">
        <v>2027</v>
      </c>
      <c r="C632" s="109" t="s">
        <v>1627</v>
      </c>
      <c r="D632" s="109" t="s">
        <v>1628</v>
      </c>
      <c r="E632" s="161">
        <v>30000</v>
      </c>
      <c r="F632" s="165" t="s">
        <v>1793</v>
      </c>
      <c r="G632" s="109" t="s">
        <v>1793</v>
      </c>
      <c r="H632" s="109" t="s">
        <v>1962</v>
      </c>
      <c r="I632" s="109" t="s">
        <v>1908</v>
      </c>
      <c r="J632" s="109" t="s">
        <v>1708</v>
      </c>
      <c r="K632" s="109" t="s">
        <v>1708</v>
      </c>
      <c r="L632" s="109" t="s">
        <v>1998</v>
      </c>
      <c r="M632" s="166" t="s">
        <v>1687</v>
      </c>
      <c r="N632" s="162" t="s">
        <v>48</v>
      </c>
      <c r="O632" s="109" t="s">
        <v>48</v>
      </c>
      <c r="P632" s="162" t="s">
        <v>48</v>
      </c>
      <c r="Q632" s="109" t="s">
        <v>48</v>
      </c>
      <c r="R632" s="109" t="s">
        <v>48</v>
      </c>
      <c r="S632" s="109" t="s">
        <v>48</v>
      </c>
      <c r="T632" s="109" t="s">
        <v>48</v>
      </c>
      <c r="U632" s="109" t="s">
        <v>48</v>
      </c>
      <c r="V632" s="166" t="s">
        <v>48</v>
      </c>
      <c r="W632" s="209" t="s">
        <v>2660</v>
      </c>
      <c r="X632" s="209" t="s">
        <v>2660</v>
      </c>
      <c r="Y632" s="109" t="s">
        <v>2661</v>
      </c>
      <c r="Z632" s="109" t="s">
        <v>2412</v>
      </c>
      <c r="AA632" s="109" t="s">
        <v>48</v>
      </c>
      <c r="AB632" s="109" t="s">
        <v>48</v>
      </c>
      <c r="AC632" s="109" t="s">
        <v>2662</v>
      </c>
      <c r="AD632" s="166" t="s">
        <v>2643</v>
      </c>
      <c r="AE632" s="165" t="s">
        <v>48</v>
      </c>
      <c r="AF632" s="109" t="s">
        <v>48</v>
      </c>
      <c r="AG632" s="109" t="s">
        <v>48</v>
      </c>
      <c r="AH632" s="109" t="s">
        <v>48</v>
      </c>
      <c r="AI632" s="109" t="s">
        <v>48</v>
      </c>
      <c r="AJ632" s="109" t="s">
        <v>48</v>
      </c>
      <c r="AK632" s="166" t="s">
        <v>48</v>
      </c>
      <c r="AL632" s="165" t="s">
        <v>1628</v>
      </c>
      <c r="AM632" s="109" t="s">
        <v>1628</v>
      </c>
      <c r="AN632" s="109" t="s">
        <v>48</v>
      </c>
      <c r="AO632" s="109" t="s">
        <v>48</v>
      </c>
      <c r="AP632" s="109" t="s">
        <v>48</v>
      </c>
      <c r="AQ632" s="109" t="s">
        <v>48</v>
      </c>
      <c r="AR632" s="109" t="s">
        <v>48</v>
      </c>
      <c r="AS632" s="166" t="s">
        <v>48</v>
      </c>
      <c r="AT632" s="165" t="s">
        <v>48</v>
      </c>
      <c r="AU632" s="109" t="s">
        <v>48</v>
      </c>
      <c r="AV632" s="109" t="s">
        <v>48</v>
      </c>
      <c r="AW632" s="109" t="s">
        <v>48</v>
      </c>
      <c r="AX632" s="109" t="s">
        <v>48</v>
      </c>
      <c r="AY632" s="109" t="s">
        <v>48</v>
      </c>
      <c r="AZ632" s="166" t="s">
        <v>48</v>
      </c>
      <c r="BA632" s="162" t="s">
        <v>1788</v>
      </c>
      <c r="BB632" s="109" t="s">
        <v>49</v>
      </c>
      <c r="BC632" s="109" t="s">
        <v>1700</v>
      </c>
    </row>
    <row r="633" spans="1:55" ht="75" hidden="1" customHeight="1">
      <c r="A633" s="109" t="s">
        <v>31</v>
      </c>
      <c r="B633" s="109" t="s">
        <v>2019</v>
      </c>
      <c r="C633" s="109" t="s">
        <v>1627</v>
      </c>
      <c r="D633" s="109" t="s">
        <v>2689</v>
      </c>
      <c r="E633" s="161">
        <v>30000</v>
      </c>
      <c r="F633" s="165" t="s">
        <v>2689</v>
      </c>
      <c r="G633" s="165" t="s">
        <v>2689</v>
      </c>
      <c r="H633" s="109" t="s">
        <v>2679</v>
      </c>
      <c r="I633" s="109" t="s">
        <v>2679</v>
      </c>
      <c r="J633" s="109" t="s">
        <v>2679</v>
      </c>
      <c r="K633" s="109" t="s">
        <v>2679</v>
      </c>
      <c r="L633" s="109" t="s">
        <v>2679</v>
      </c>
      <c r="M633" s="109" t="s">
        <v>2679</v>
      </c>
      <c r="N633" s="162" t="s">
        <v>48</v>
      </c>
      <c r="O633" s="109" t="s">
        <v>48</v>
      </c>
      <c r="P633" s="162" t="s">
        <v>48</v>
      </c>
      <c r="Q633" s="109" t="s">
        <v>48</v>
      </c>
      <c r="R633" s="109" t="s">
        <v>48</v>
      </c>
      <c r="S633" s="109" t="s">
        <v>48</v>
      </c>
      <c r="T633" s="109" t="s">
        <v>48</v>
      </c>
      <c r="U633" s="109" t="s">
        <v>48</v>
      </c>
      <c r="V633" s="166" t="s">
        <v>48</v>
      </c>
      <c r="W633" s="209" t="s">
        <v>2690</v>
      </c>
      <c r="X633" s="209" t="s">
        <v>2690</v>
      </c>
      <c r="Y633" s="109" t="s">
        <v>2691</v>
      </c>
      <c r="Z633" s="109" t="s">
        <v>2419</v>
      </c>
      <c r="AA633" s="109" t="s">
        <v>48</v>
      </c>
      <c r="AB633" s="109" t="s">
        <v>48</v>
      </c>
      <c r="AC633" s="109" t="s">
        <v>2692</v>
      </c>
      <c r="AD633" s="166" t="s">
        <v>2669</v>
      </c>
      <c r="AE633" s="165" t="s">
        <v>48</v>
      </c>
      <c r="AF633" s="109" t="s">
        <v>48</v>
      </c>
      <c r="AG633" s="109" t="s">
        <v>48</v>
      </c>
      <c r="AH633" s="109" t="s">
        <v>48</v>
      </c>
      <c r="AI633" s="109" t="s">
        <v>48</v>
      </c>
      <c r="AJ633" s="109" t="s">
        <v>48</v>
      </c>
      <c r="AK633" s="166" t="s">
        <v>48</v>
      </c>
      <c r="AL633" s="109" t="s">
        <v>2689</v>
      </c>
      <c r="AM633" s="109" t="s">
        <v>2689</v>
      </c>
      <c r="AN633" s="109" t="s">
        <v>48</v>
      </c>
      <c r="AO633" s="109" t="s">
        <v>48</v>
      </c>
      <c r="AP633" s="109" t="s">
        <v>48</v>
      </c>
      <c r="AQ633" s="109" t="s">
        <v>48</v>
      </c>
      <c r="AR633" s="109" t="s">
        <v>48</v>
      </c>
      <c r="AS633" s="166" t="s">
        <v>48</v>
      </c>
      <c r="AT633" s="165" t="s">
        <v>48</v>
      </c>
      <c r="AU633" s="109" t="s">
        <v>48</v>
      </c>
      <c r="AV633" s="109" t="s">
        <v>48</v>
      </c>
      <c r="AW633" s="109" t="s">
        <v>48</v>
      </c>
      <c r="AX633" s="109" t="s">
        <v>48</v>
      </c>
      <c r="AY633" s="109" t="s">
        <v>48</v>
      </c>
      <c r="AZ633" s="166" t="s">
        <v>48</v>
      </c>
      <c r="BA633" s="162" t="s">
        <v>2681</v>
      </c>
      <c r="BB633" s="109" t="s">
        <v>49</v>
      </c>
      <c r="BC633" s="109" t="s">
        <v>1700</v>
      </c>
    </row>
    <row r="634" spans="1:55" ht="75" hidden="1" customHeight="1">
      <c r="A634" s="109" t="s">
        <v>31</v>
      </c>
      <c r="B634" s="109" t="s">
        <v>2027</v>
      </c>
      <c r="C634" s="109" t="s">
        <v>1627</v>
      </c>
      <c r="D634" s="109" t="s">
        <v>2689</v>
      </c>
      <c r="E634" s="161">
        <v>30000</v>
      </c>
      <c r="F634" s="165" t="s">
        <v>2689</v>
      </c>
      <c r="G634" s="165" t="s">
        <v>2689</v>
      </c>
      <c r="H634" s="109" t="s">
        <v>2679</v>
      </c>
      <c r="I634" s="109" t="s">
        <v>2679</v>
      </c>
      <c r="J634" s="109" t="s">
        <v>2679</v>
      </c>
      <c r="K634" s="109" t="s">
        <v>2679</v>
      </c>
      <c r="L634" s="109" t="s">
        <v>2679</v>
      </c>
      <c r="M634" s="109" t="s">
        <v>2679</v>
      </c>
      <c r="N634" s="162" t="s">
        <v>48</v>
      </c>
      <c r="O634" s="109" t="s">
        <v>48</v>
      </c>
      <c r="P634" s="162" t="s">
        <v>48</v>
      </c>
      <c r="Q634" s="109" t="s">
        <v>48</v>
      </c>
      <c r="R634" s="109" t="s">
        <v>48</v>
      </c>
      <c r="S634" s="109" t="s">
        <v>48</v>
      </c>
      <c r="T634" s="109" t="s">
        <v>48</v>
      </c>
      <c r="U634" s="109" t="s">
        <v>48</v>
      </c>
      <c r="V634" s="166" t="s">
        <v>48</v>
      </c>
      <c r="W634" s="209" t="s">
        <v>2690</v>
      </c>
      <c r="X634" s="209" t="s">
        <v>2690</v>
      </c>
      <c r="Y634" s="109" t="s">
        <v>2691</v>
      </c>
      <c r="Z634" s="109" t="s">
        <v>2419</v>
      </c>
      <c r="AA634" s="109" t="s">
        <v>48</v>
      </c>
      <c r="AB634" s="109" t="s">
        <v>48</v>
      </c>
      <c r="AC634" s="109" t="s">
        <v>2692</v>
      </c>
      <c r="AD634" s="166" t="s">
        <v>2669</v>
      </c>
      <c r="AE634" s="165" t="s">
        <v>48</v>
      </c>
      <c r="AF634" s="109" t="s">
        <v>48</v>
      </c>
      <c r="AG634" s="109" t="s">
        <v>48</v>
      </c>
      <c r="AH634" s="109" t="s">
        <v>48</v>
      </c>
      <c r="AI634" s="109" t="s">
        <v>48</v>
      </c>
      <c r="AJ634" s="109" t="s">
        <v>48</v>
      </c>
      <c r="AK634" s="166" t="s">
        <v>48</v>
      </c>
      <c r="AL634" s="109" t="s">
        <v>2689</v>
      </c>
      <c r="AM634" s="109" t="s">
        <v>2689</v>
      </c>
      <c r="AN634" s="109" t="s">
        <v>48</v>
      </c>
      <c r="AO634" s="109" t="s">
        <v>48</v>
      </c>
      <c r="AP634" s="109" t="s">
        <v>48</v>
      </c>
      <c r="AQ634" s="109" t="s">
        <v>48</v>
      </c>
      <c r="AR634" s="109" t="s">
        <v>48</v>
      </c>
      <c r="AS634" s="166" t="s">
        <v>48</v>
      </c>
      <c r="AT634" s="165" t="s">
        <v>48</v>
      </c>
      <c r="AU634" s="109" t="s">
        <v>48</v>
      </c>
      <c r="AV634" s="109" t="s">
        <v>48</v>
      </c>
      <c r="AW634" s="109" t="s">
        <v>48</v>
      </c>
      <c r="AX634" s="109" t="s">
        <v>48</v>
      </c>
      <c r="AY634" s="109" t="s">
        <v>48</v>
      </c>
      <c r="AZ634" s="166" t="s">
        <v>48</v>
      </c>
      <c r="BA634" s="162" t="s">
        <v>2681</v>
      </c>
      <c r="BB634" s="109" t="s">
        <v>49</v>
      </c>
      <c r="BC634" s="109" t="s">
        <v>1700</v>
      </c>
    </row>
    <row r="635" spans="1:55" ht="75" hidden="1" customHeight="1">
      <c r="A635" s="109" t="s">
        <v>31</v>
      </c>
      <c r="B635" s="109" t="s">
        <v>2019</v>
      </c>
      <c r="C635" s="109" t="s">
        <v>1627</v>
      </c>
      <c r="D635" s="109" t="s">
        <v>1793</v>
      </c>
      <c r="E635" s="161">
        <v>30000</v>
      </c>
      <c r="F635" s="165" t="s">
        <v>1793</v>
      </c>
      <c r="G635" s="109" t="s">
        <v>1793</v>
      </c>
      <c r="H635" s="109" t="s">
        <v>48</v>
      </c>
      <c r="I635" s="109" t="s">
        <v>48</v>
      </c>
      <c r="J635" s="109" t="s">
        <v>48</v>
      </c>
      <c r="K635" s="109" t="s">
        <v>48</v>
      </c>
      <c r="L635" s="109" t="s">
        <v>48</v>
      </c>
      <c r="M635" s="166" t="s">
        <v>1687</v>
      </c>
      <c r="N635" s="162" t="s">
        <v>48</v>
      </c>
      <c r="O635" s="109" t="s">
        <v>48</v>
      </c>
      <c r="P635" s="162" t="s">
        <v>48</v>
      </c>
      <c r="Q635" s="109" t="s">
        <v>48</v>
      </c>
      <c r="R635" s="109" t="s">
        <v>48</v>
      </c>
      <c r="S635" s="109" t="s">
        <v>48</v>
      </c>
      <c r="T635" s="109" t="s">
        <v>48</v>
      </c>
      <c r="U635" s="109" t="s">
        <v>48</v>
      </c>
      <c r="V635" s="166" t="s">
        <v>48</v>
      </c>
      <c r="W635" s="209" t="s">
        <v>2660</v>
      </c>
      <c r="X635" s="209" t="s">
        <v>2660</v>
      </c>
      <c r="Y635" s="109" t="s">
        <v>2661</v>
      </c>
      <c r="Z635" s="109" t="s">
        <v>2641</v>
      </c>
      <c r="AA635" s="109" t="s">
        <v>48</v>
      </c>
      <c r="AB635" s="109" t="s">
        <v>48</v>
      </c>
      <c r="AC635" s="109" t="s">
        <v>2662</v>
      </c>
      <c r="AD635" s="166" t="s">
        <v>2643</v>
      </c>
      <c r="AE635" s="165" t="s">
        <v>48</v>
      </c>
      <c r="AF635" s="109" t="s">
        <v>48</v>
      </c>
      <c r="AG635" s="109" t="s">
        <v>48</v>
      </c>
      <c r="AH635" s="109" t="s">
        <v>48</v>
      </c>
      <c r="AI635" s="109" t="s">
        <v>48</v>
      </c>
      <c r="AJ635" s="109" t="s">
        <v>48</v>
      </c>
      <c r="AK635" s="166" t="s">
        <v>48</v>
      </c>
      <c r="AL635" s="165" t="s">
        <v>1793</v>
      </c>
      <c r="AM635" s="109" t="s">
        <v>1793</v>
      </c>
      <c r="AN635" s="109" t="s">
        <v>48</v>
      </c>
      <c r="AO635" s="109" t="s">
        <v>48</v>
      </c>
      <c r="AP635" s="109" t="s">
        <v>48</v>
      </c>
      <c r="AQ635" s="109" t="s">
        <v>48</v>
      </c>
      <c r="AR635" s="109" t="s">
        <v>48</v>
      </c>
      <c r="AS635" s="166" t="s">
        <v>48</v>
      </c>
      <c r="AT635" s="165" t="s">
        <v>893</v>
      </c>
      <c r="AU635" s="109" t="s">
        <v>2367</v>
      </c>
      <c r="AV635" s="109" t="s">
        <v>2368</v>
      </c>
      <c r="AW635" s="109" t="s">
        <v>1908</v>
      </c>
      <c r="AX635" s="109" t="s">
        <v>2364</v>
      </c>
      <c r="AY635" s="109" t="s">
        <v>2369</v>
      </c>
      <c r="AZ635" s="166" t="s">
        <v>2363</v>
      </c>
      <c r="BA635" s="162" t="s">
        <v>2397</v>
      </c>
      <c r="BB635" s="109" t="s">
        <v>49</v>
      </c>
      <c r="BC635" s="109" t="s">
        <v>2396</v>
      </c>
    </row>
    <row r="636" spans="1:55" ht="75" hidden="1" customHeight="1">
      <c r="A636" s="109" t="s">
        <v>31</v>
      </c>
      <c r="B636" s="109" t="s">
        <v>2027</v>
      </c>
      <c r="C636" s="109" t="s">
        <v>1627</v>
      </c>
      <c r="D636" s="109" t="s">
        <v>1793</v>
      </c>
      <c r="E636" s="161">
        <v>30000</v>
      </c>
      <c r="F636" s="165" t="s">
        <v>1793</v>
      </c>
      <c r="G636" s="109" t="s">
        <v>1793</v>
      </c>
      <c r="H636" s="109" t="s">
        <v>48</v>
      </c>
      <c r="I636" s="109" t="s">
        <v>48</v>
      </c>
      <c r="J636" s="109" t="s">
        <v>48</v>
      </c>
      <c r="K636" s="109" t="s">
        <v>48</v>
      </c>
      <c r="L636" s="109" t="s">
        <v>48</v>
      </c>
      <c r="M636" s="166" t="s">
        <v>1687</v>
      </c>
      <c r="N636" s="162" t="s">
        <v>48</v>
      </c>
      <c r="O636" s="109" t="s">
        <v>48</v>
      </c>
      <c r="P636" s="162" t="s">
        <v>48</v>
      </c>
      <c r="Q636" s="109" t="s">
        <v>48</v>
      </c>
      <c r="R636" s="109" t="s">
        <v>48</v>
      </c>
      <c r="S636" s="109" t="s">
        <v>48</v>
      </c>
      <c r="T636" s="109" t="s">
        <v>48</v>
      </c>
      <c r="U636" s="109" t="s">
        <v>48</v>
      </c>
      <c r="V636" s="166" t="s">
        <v>48</v>
      </c>
      <c r="W636" s="209" t="s">
        <v>2660</v>
      </c>
      <c r="X636" s="209" t="s">
        <v>2660</v>
      </c>
      <c r="Y636" s="109" t="s">
        <v>2661</v>
      </c>
      <c r="Z636" s="109" t="s">
        <v>2641</v>
      </c>
      <c r="AA636" s="109" t="s">
        <v>48</v>
      </c>
      <c r="AB636" s="109" t="s">
        <v>48</v>
      </c>
      <c r="AC636" s="109" t="s">
        <v>2662</v>
      </c>
      <c r="AD636" s="166" t="s">
        <v>2643</v>
      </c>
      <c r="AE636" s="165" t="s">
        <v>48</v>
      </c>
      <c r="AF636" s="109" t="s">
        <v>48</v>
      </c>
      <c r="AG636" s="109" t="s">
        <v>48</v>
      </c>
      <c r="AH636" s="109" t="s">
        <v>48</v>
      </c>
      <c r="AI636" s="109" t="s">
        <v>48</v>
      </c>
      <c r="AJ636" s="109" t="s">
        <v>48</v>
      </c>
      <c r="AK636" s="166" t="s">
        <v>48</v>
      </c>
      <c r="AL636" s="109" t="s">
        <v>1793</v>
      </c>
      <c r="AM636" s="109" t="s">
        <v>1793</v>
      </c>
      <c r="AN636" s="109" t="s">
        <v>48</v>
      </c>
      <c r="AO636" s="109" t="s">
        <v>48</v>
      </c>
      <c r="AP636" s="109" t="s">
        <v>48</v>
      </c>
      <c r="AQ636" s="109" t="s">
        <v>48</v>
      </c>
      <c r="AR636" s="109" t="s">
        <v>48</v>
      </c>
      <c r="AS636" s="166" t="s">
        <v>48</v>
      </c>
      <c r="AT636" s="165" t="s">
        <v>893</v>
      </c>
      <c r="AU636" s="109" t="s">
        <v>2367</v>
      </c>
      <c r="AV636" s="109" t="s">
        <v>2368</v>
      </c>
      <c r="AW636" s="109" t="s">
        <v>1908</v>
      </c>
      <c r="AX636" s="109" t="s">
        <v>2364</v>
      </c>
      <c r="AY636" s="109" t="s">
        <v>2369</v>
      </c>
      <c r="AZ636" s="166" t="s">
        <v>2363</v>
      </c>
      <c r="BA636" s="162" t="s">
        <v>2397</v>
      </c>
      <c r="BB636" s="109" t="s">
        <v>49</v>
      </c>
      <c r="BC636" s="109" t="s">
        <v>2396</v>
      </c>
    </row>
    <row r="637" spans="1:55" ht="75" hidden="1" customHeight="1">
      <c r="A637" s="109" t="s">
        <v>41</v>
      </c>
      <c r="B637" s="117" t="s">
        <v>2018</v>
      </c>
      <c r="C637" s="109" t="s">
        <v>931</v>
      </c>
      <c r="D637" s="109" t="s">
        <v>927</v>
      </c>
      <c r="E637" s="161">
        <v>15000</v>
      </c>
      <c r="F637" s="165" t="s">
        <v>1694</v>
      </c>
      <c r="G637" s="109" t="s">
        <v>1694</v>
      </c>
      <c r="H637" s="109" t="s">
        <v>1944</v>
      </c>
      <c r="I637" s="109" t="s">
        <v>1908</v>
      </c>
      <c r="J637" s="109" t="s">
        <v>1708</v>
      </c>
      <c r="K637" s="109" t="s">
        <v>1708</v>
      </c>
      <c r="L637" s="109" t="s">
        <v>1989</v>
      </c>
      <c r="M637" s="166" t="s">
        <v>1687</v>
      </c>
      <c r="N637" s="162" t="s">
        <v>48</v>
      </c>
      <c r="O637" s="109" t="s">
        <v>48</v>
      </c>
      <c r="P637" s="162" t="s">
        <v>48</v>
      </c>
      <c r="Q637" s="109" t="s">
        <v>48</v>
      </c>
      <c r="R637" s="109" t="s">
        <v>48</v>
      </c>
      <c r="S637" s="109" t="s">
        <v>48</v>
      </c>
      <c r="T637" s="109" t="s">
        <v>48</v>
      </c>
      <c r="U637" s="109" t="s">
        <v>48</v>
      </c>
      <c r="V637" s="166" t="s">
        <v>48</v>
      </c>
      <c r="W637" s="165" t="s">
        <v>927</v>
      </c>
      <c r="X637" s="109" t="s">
        <v>927</v>
      </c>
      <c r="Y637" s="109" t="s">
        <v>48</v>
      </c>
      <c r="Z637" s="109" t="s">
        <v>48</v>
      </c>
      <c r="AA637" s="109" t="s">
        <v>48</v>
      </c>
      <c r="AB637" s="109" t="s">
        <v>48</v>
      </c>
      <c r="AC637" s="109" t="s">
        <v>48</v>
      </c>
      <c r="AD637" s="166" t="s">
        <v>48</v>
      </c>
      <c r="AE637" s="174" t="s">
        <v>48</v>
      </c>
      <c r="AF637" s="117" t="s">
        <v>48</v>
      </c>
      <c r="AG637" s="117" t="s">
        <v>48</v>
      </c>
      <c r="AH637" s="109" t="s">
        <v>48</v>
      </c>
      <c r="AI637" s="117" t="s">
        <v>48</v>
      </c>
      <c r="AJ637" s="117" t="s">
        <v>48</v>
      </c>
      <c r="AK637" s="182" t="s">
        <v>48</v>
      </c>
      <c r="AL637" s="109" t="s">
        <v>2409</v>
      </c>
      <c r="AM637" s="109" t="s">
        <v>2409</v>
      </c>
      <c r="AN637" s="109" t="s">
        <v>2411</v>
      </c>
      <c r="AO637" s="109" t="s">
        <v>2412</v>
      </c>
      <c r="AP637" s="109" t="s">
        <v>2413</v>
      </c>
      <c r="AQ637" s="109" t="s">
        <v>2413</v>
      </c>
      <c r="AR637" s="195">
        <v>5914766</v>
      </c>
      <c r="AS637" s="166" t="s">
        <v>2414</v>
      </c>
      <c r="AT637" s="165" t="s">
        <v>48</v>
      </c>
      <c r="AU637" s="109" t="s">
        <v>48</v>
      </c>
      <c r="AV637" s="109" t="s">
        <v>48</v>
      </c>
      <c r="AW637" s="109" t="s">
        <v>48</v>
      </c>
      <c r="AX637" s="109" t="s">
        <v>48</v>
      </c>
      <c r="AY637" s="109" t="s">
        <v>48</v>
      </c>
      <c r="AZ637" s="166" t="s">
        <v>48</v>
      </c>
      <c r="BA637" s="162" t="s">
        <v>1864</v>
      </c>
      <c r="BB637" s="109" t="s">
        <v>82</v>
      </c>
      <c r="BC637" s="109" t="s">
        <v>932</v>
      </c>
    </row>
    <row r="638" spans="1:55" ht="75" hidden="1" customHeight="1">
      <c r="A638" s="109" t="s">
        <v>41</v>
      </c>
      <c r="B638" s="117" t="s">
        <v>2018</v>
      </c>
      <c r="C638" s="109" t="s">
        <v>931</v>
      </c>
      <c r="D638" s="109" t="s">
        <v>953</v>
      </c>
      <c r="E638" s="161">
        <v>15000</v>
      </c>
      <c r="F638" s="165" t="s">
        <v>1694</v>
      </c>
      <c r="G638" s="109" t="s">
        <v>1694</v>
      </c>
      <c r="H638" s="109" t="s">
        <v>1944</v>
      </c>
      <c r="I638" s="109" t="s">
        <v>1908</v>
      </c>
      <c r="J638" s="109" t="s">
        <v>1708</v>
      </c>
      <c r="K638" s="109" t="s">
        <v>1708</v>
      </c>
      <c r="L638" s="109" t="s">
        <v>1989</v>
      </c>
      <c r="M638" s="166" t="s">
        <v>1687</v>
      </c>
      <c r="N638" s="162" t="s">
        <v>48</v>
      </c>
      <c r="O638" s="109" t="s">
        <v>48</v>
      </c>
      <c r="P638" s="162" t="s">
        <v>48</v>
      </c>
      <c r="Q638" s="109" t="s">
        <v>48</v>
      </c>
      <c r="R638" s="109" t="s">
        <v>48</v>
      </c>
      <c r="S638" s="109" t="s">
        <v>48</v>
      </c>
      <c r="T638" s="109" t="s">
        <v>48</v>
      </c>
      <c r="U638" s="109" t="s">
        <v>48</v>
      </c>
      <c r="V638" s="166" t="s">
        <v>48</v>
      </c>
      <c r="W638" s="165" t="s">
        <v>953</v>
      </c>
      <c r="X638" s="109" t="s">
        <v>953</v>
      </c>
      <c r="Y638" s="109" t="s">
        <v>48</v>
      </c>
      <c r="Z638" s="109" t="s">
        <v>48</v>
      </c>
      <c r="AA638" s="109" t="s">
        <v>48</v>
      </c>
      <c r="AB638" s="109" t="s">
        <v>48</v>
      </c>
      <c r="AC638" s="109" t="s">
        <v>48</v>
      </c>
      <c r="AD638" s="166" t="s">
        <v>48</v>
      </c>
      <c r="AE638" s="174" t="s">
        <v>48</v>
      </c>
      <c r="AF638" s="117" t="s">
        <v>48</v>
      </c>
      <c r="AG638" s="117" t="s">
        <v>48</v>
      </c>
      <c r="AH638" s="109" t="s">
        <v>48</v>
      </c>
      <c r="AI638" s="117" t="s">
        <v>48</v>
      </c>
      <c r="AJ638" s="117" t="s">
        <v>48</v>
      </c>
      <c r="AK638" s="182" t="s">
        <v>48</v>
      </c>
      <c r="AL638" s="109" t="s">
        <v>2409</v>
      </c>
      <c r="AM638" s="109" t="s">
        <v>2409</v>
      </c>
      <c r="AN638" s="109" t="s">
        <v>2411</v>
      </c>
      <c r="AO638" s="109" t="s">
        <v>2412</v>
      </c>
      <c r="AP638" s="109" t="s">
        <v>2413</v>
      </c>
      <c r="AQ638" s="109" t="s">
        <v>2413</v>
      </c>
      <c r="AR638" s="195">
        <v>5914766</v>
      </c>
      <c r="AS638" s="166" t="s">
        <v>2414</v>
      </c>
      <c r="AT638" s="165" t="s">
        <v>48</v>
      </c>
      <c r="AU638" s="109" t="s">
        <v>48</v>
      </c>
      <c r="AV638" s="109" t="s">
        <v>48</v>
      </c>
      <c r="AW638" s="109" t="s">
        <v>48</v>
      </c>
      <c r="AX638" s="109" t="s">
        <v>48</v>
      </c>
      <c r="AY638" s="109" t="s">
        <v>48</v>
      </c>
      <c r="AZ638" s="166" t="s">
        <v>48</v>
      </c>
      <c r="BA638" s="162" t="s">
        <v>1864</v>
      </c>
      <c r="BB638" s="109" t="s">
        <v>82</v>
      </c>
      <c r="BC638" s="109" t="s">
        <v>932</v>
      </c>
    </row>
    <row r="639" spans="1:55" ht="75" hidden="1" customHeight="1">
      <c r="A639" s="109" t="s">
        <v>41</v>
      </c>
      <c r="B639" s="117" t="s">
        <v>2018</v>
      </c>
      <c r="C639" s="117" t="s">
        <v>931</v>
      </c>
      <c r="D639" s="109" t="s">
        <v>1380</v>
      </c>
      <c r="E639" s="161">
        <v>15000</v>
      </c>
      <c r="F639" s="165" t="s">
        <v>1694</v>
      </c>
      <c r="G639" s="109" t="s">
        <v>1694</v>
      </c>
      <c r="H639" s="109" t="s">
        <v>1944</v>
      </c>
      <c r="I639" s="109" t="s">
        <v>1908</v>
      </c>
      <c r="J639" s="109" t="s">
        <v>1708</v>
      </c>
      <c r="K639" s="109" t="s">
        <v>1708</v>
      </c>
      <c r="L639" s="109" t="s">
        <v>1989</v>
      </c>
      <c r="M639" s="166" t="s">
        <v>1687</v>
      </c>
      <c r="N639" s="162" t="s">
        <v>48</v>
      </c>
      <c r="O639" s="109" t="s">
        <v>48</v>
      </c>
      <c r="P639" s="162" t="s">
        <v>48</v>
      </c>
      <c r="Q639" s="109" t="s">
        <v>48</v>
      </c>
      <c r="R639" s="109" t="s">
        <v>48</v>
      </c>
      <c r="S639" s="109" t="s">
        <v>48</v>
      </c>
      <c r="T639" s="109" t="s">
        <v>48</v>
      </c>
      <c r="U639" s="109" t="s">
        <v>48</v>
      </c>
      <c r="V639" s="166" t="s">
        <v>48</v>
      </c>
      <c r="W639" s="165" t="s">
        <v>1380</v>
      </c>
      <c r="X639" s="109" t="s">
        <v>1380</v>
      </c>
      <c r="Y639" s="109" t="s">
        <v>48</v>
      </c>
      <c r="Z639" s="109" t="s">
        <v>48</v>
      </c>
      <c r="AA639" s="109" t="s">
        <v>48</v>
      </c>
      <c r="AB639" s="109" t="s">
        <v>48</v>
      </c>
      <c r="AC639" s="109" t="s">
        <v>48</v>
      </c>
      <c r="AD639" s="166" t="s">
        <v>48</v>
      </c>
      <c r="AE639" s="174" t="s">
        <v>48</v>
      </c>
      <c r="AF639" s="117" t="s">
        <v>48</v>
      </c>
      <c r="AG639" s="117" t="s">
        <v>48</v>
      </c>
      <c r="AH639" s="109" t="s">
        <v>48</v>
      </c>
      <c r="AI639" s="117" t="s">
        <v>48</v>
      </c>
      <c r="AJ639" s="117" t="s">
        <v>48</v>
      </c>
      <c r="AK639" s="182" t="s">
        <v>48</v>
      </c>
      <c r="AL639" s="109" t="s">
        <v>2409</v>
      </c>
      <c r="AM639" s="109" t="s">
        <v>2409</v>
      </c>
      <c r="AN639" s="109" t="s">
        <v>2411</v>
      </c>
      <c r="AO639" s="109" t="s">
        <v>2412</v>
      </c>
      <c r="AP639" s="109" t="s">
        <v>2413</v>
      </c>
      <c r="AQ639" s="109" t="s">
        <v>2413</v>
      </c>
      <c r="AR639" s="195">
        <v>5914766</v>
      </c>
      <c r="AS639" s="166" t="s">
        <v>2414</v>
      </c>
      <c r="AT639" s="165" t="s">
        <v>48</v>
      </c>
      <c r="AU639" s="109" t="s">
        <v>48</v>
      </c>
      <c r="AV639" s="109" t="s">
        <v>48</v>
      </c>
      <c r="AW639" s="109" t="s">
        <v>48</v>
      </c>
      <c r="AX639" s="109" t="s">
        <v>48</v>
      </c>
      <c r="AY639" s="109" t="s">
        <v>48</v>
      </c>
      <c r="AZ639" s="166" t="s">
        <v>48</v>
      </c>
      <c r="BA639" s="162" t="s">
        <v>1864</v>
      </c>
      <c r="BB639" s="109" t="s">
        <v>82</v>
      </c>
      <c r="BC639" s="109" t="s">
        <v>932</v>
      </c>
    </row>
    <row r="640" spans="1:55" ht="75" hidden="1" customHeight="1">
      <c r="A640" s="109" t="s">
        <v>41</v>
      </c>
      <c r="B640" s="117" t="s">
        <v>2018</v>
      </c>
      <c r="C640" s="117" t="s">
        <v>931</v>
      </c>
      <c r="D640" s="109" t="s">
        <v>1588</v>
      </c>
      <c r="E640" s="161">
        <v>15000</v>
      </c>
      <c r="F640" s="165" t="s">
        <v>1694</v>
      </c>
      <c r="G640" s="109" t="s">
        <v>1694</v>
      </c>
      <c r="H640" s="109" t="s">
        <v>1944</v>
      </c>
      <c r="I640" s="109" t="s">
        <v>1908</v>
      </c>
      <c r="J640" s="109" t="s">
        <v>1708</v>
      </c>
      <c r="K640" s="109" t="s">
        <v>1708</v>
      </c>
      <c r="L640" s="109" t="s">
        <v>1989</v>
      </c>
      <c r="M640" s="166" t="s">
        <v>1687</v>
      </c>
      <c r="N640" s="162" t="s">
        <v>48</v>
      </c>
      <c r="O640" s="109" t="s">
        <v>48</v>
      </c>
      <c r="P640" s="162" t="s">
        <v>48</v>
      </c>
      <c r="Q640" s="109" t="s">
        <v>48</v>
      </c>
      <c r="R640" s="109" t="s">
        <v>48</v>
      </c>
      <c r="S640" s="109" t="s">
        <v>48</v>
      </c>
      <c r="T640" s="109" t="s">
        <v>48</v>
      </c>
      <c r="U640" s="109" t="s">
        <v>48</v>
      </c>
      <c r="V640" s="166" t="s">
        <v>48</v>
      </c>
      <c r="W640" s="165" t="s">
        <v>1588</v>
      </c>
      <c r="X640" s="109" t="s">
        <v>1588</v>
      </c>
      <c r="Y640" s="109" t="s">
        <v>48</v>
      </c>
      <c r="Z640" s="109" t="s">
        <v>48</v>
      </c>
      <c r="AA640" s="109" t="s">
        <v>48</v>
      </c>
      <c r="AB640" s="109" t="s">
        <v>48</v>
      </c>
      <c r="AC640" s="109" t="s">
        <v>48</v>
      </c>
      <c r="AD640" s="166" t="s">
        <v>48</v>
      </c>
      <c r="AE640" s="174" t="s">
        <v>48</v>
      </c>
      <c r="AF640" s="117" t="s">
        <v>48</v>
      </c>
      <c r="AG640" s="117" t="s">
        <v>48</v>
      </c>
      <c r="AH640" s="109" t="s">
        <v>48</v>
      </c>
      <c r="AI640" s="117" t="s">
        <v>48</v>
      </c>
      <c r="AJ640" s="117" t="s">
        <v>48</v>
      </c>
      <c r="AK640" s="182" t="s">
        <v>48</v>
      </c>
      <c r="AL640" s="109" t="s">
        <v>2409</v>
      </c>
      <c r="AM640" s="109" t="s">
        <v>2409</v>
      </c>
      <c r="AN640" s="109" t="s">
        <v>2411</v>
      </c>
      <c r="AO640" s="109" t="s">
        <v>2412</v>
      </c>
      <c r="AP640" s="109" t="s">
        <v>2413</v>
      </c>
      <c r="AQ640" s="109" t="s">
        <v>2413</v>
      </c>
      <c r="AR640" s="195">
        <v>5914766</v>
      </c>
      <c r="AS640" s="166" t="s">
        <v>2414</v>
      </c>
      <c r="AT640" s="165" t="s">
        <v>48</v>
      </c>
      <c r="AU640" s="109" t="s">
        <v>48</v>
      </c>
      <c r="AV640" s="109" t="s">
        <v>48</v>
      </c>
      <c r="AW640" s="109" t="s">
        <v>48</v>
      </c>
      <c r="AX640" s="109" t="s">
        <v>48</v>
      </c>
      <c r="AY640" s="109" t="s">
        <v>48</v>
      </c>
      <c r="AZ640" s="166" t="s">
        <v>48</v>
      </c>
      <c r="BA640" s="162" t="s">
        <v>1864</v>
      </c>
      <c r="BB640" s="109" t="s">
        <v>82</v>
      </c>
      <c r="BC640" s="109" t="s">
        <v>932</v>
      </c>
    </row>
    <row r="641" spans="1:55" ht="75" hidden="1" customHeight="1">
      <c r="A641" s="109" t="s">
        <v>41</v>
      </c>
      <c r="B641" s="117" t="s">
        <v>2018</v>
      </c>
      <c r="C641" s="109" t="s">
        <v>931</v>
      </c>
      <c r="D641" s="109" t="s">
        <v>1694</v>
      </c>
      <c r="E641" s="161">
        <v>15000</v>
      </c>
      <c r="F641" s="165" t="s">
        <v>1694</v>
      </c>
      <c r="G641" s="109" t="s">
        <v>1694</v>
      </c>
      <c r="H641" s="109" t="s">
        <v>48</v>
      </c>
      <c r="I641" s="109" t="s">
        <v>48</v>
      </c>
      <c r="J641" s="109" t="s">
        <v>48</v>
      </c>
      <c r="K641" s="109" t="s">
        <v>48</v>
      </c>
      <c r="L641" s="109" t="s">
        <v>48</v>
      </c>
      <c r="M641" s="166" t="s">
        <v>954</v>
      </c>
      <c r="N641" s="162" t="s">
        <v>48</v>
      </c>
      <c r="O641" s="109" t="s">
        <v>48</v>
      </c>
      <c r="P641" s="162" t="s">
        <v>48</v>
      </c>
      <c r="Q641" s="109" t="s">
        <v>48</v>
      </c>
      <c r="R641" s="109" t="s">
        <v>48</v>
      </c>
      <c r="S641" s="109" t="s">
        <v>48</v>
      </c>
      <c r="T641" s="109" t="s">
        <v>48</v>
      </c>
      <c r="U641" s="109" t="s">
        <v>48</v>
      </c>
      <c r="V641" s="166" t="s">
        <v>48</v>
      </c>
      <c r="W641" s="165" t="s">
        <v>1694</v>
      </c>
      <c r="X641" s="109" t="s">
        <v>1694</v>
      </c>
      <c r="Y641" s="109" t="s">
        <v>48</v>
      </c>
      <c r="Z641" s="109" t="s">
        <v>48</v>
      </c>
      <c r="AA641" s="109" t="s">
        <v>48</v>
      </c>
      <c r="AB641" s="109" t="s">
        <v>48</v>
      </c>
      <c r="AC641" s="109" t="s">
        <v>48</v>
      </c>
      <c r="AD641" s="166" t="s">
        <v>48</v>
      </c>
      <c r="AE641" s="174" t="s">
        <v>48</v>
      </c>
      <c r="AF641" s="117" t="s">
        <v>48</v>
      </c>
      <c r="AG641" s="117" t="s">
        <v>48</v>
      </c>
      <c r="AH641" s="109" t="s">
        <v>48</v>
      </c>
      <c r="AI641" s="117" t="s">
        <v>48</v>
      </c>
      <c r="AJ641" s="117" t="s">
        <v>48</v>
      </c>
      <c r="AK641" s="182" t="s">
        <v>48</v>
      </c>
      <c r="AL641" s="165" t="s">
        <v>2409</v>
      </c>
      <c r="AM641" s="109" t="s">
        <v>2409</v>
      </c>
      <c r="AN641" s="109" t="s">
        <v>2411</v>
      </c>
      <c r="AO641" s="109" t="s">
        <v>2412</v>
      </c>
      <c r="AP641" s="109" t="s">
        <v>2413</v>
      </c>
      <c r="AQ641" s="109" t="s">
        <v>2413</v>
      </c>
      <c r="AR641" s="195">
        <v>5914766</v>
      </c>
      <c r="AS641" s="166" t="s">
        <v>2414</v>
      </c>
      <c r="AT641" s="165" t="s">
        <v>48</v>
      </c>
      <c r="AU641" s="109" t="s">
        <v>48</v>
      </c>
      <c r="AV641" s="109" t="s">
        <v>48</v>
      </c>
      <c r="AW641" s="109" t="s">
        <v>48</v>
      </c>
      <c r="AX641" s="109" t="s">
        <v>48</v>
      </c>
      <c r="AY641" s="109" t="s">
        <v>48</v>
      </c>
      <c r="AZ641" s="166" t="s">
        <v>48</v>
      </c>
      <c r="BA641" s="162" t="s">
        <v>2850</v>
      </c>
      <c r="BB641" s="109" t="s">
        <v>82</v>
      </c>
      <c r="BC641" s="109" t="s">
        <v>932</v>
      </c>
    </row>
    <row r="642" spans="1:55" ht="75" hidden="1" customHeight="1">
      <c r="A642" s="109" t="s">
        <v>41</v>
      </c>
      <c r="B642" s="117" t="s">
        <v>2466</v>
      </c>
      <c r="C642" s="109" t="s">
        <v>891</v>
      </c>
      <c r="D642" s="109" t="s">
        <v>890</v>
      </c>
      <c r="E642" s="161">
        <v>15000</v>
      </c>
      <c r="F642" s="165" t="s">
        <v>1691</v>
      </c>
      <c r="G642" s="109" t="s">
        <v>1691</v>
      </c>
      <c r="H642" s="109" t="s">
        <v>1942</v>
      </c>
      <c r="I642" s="109" t="s">
        <v>1908</v>
      </c>
      <c r="J642" s="109" t="s">
        <v>1708</v>
      </c>
      <c r="K642" s="109" t="s">
        <v>1708</v>
      </c>
      <c r="L642" s="109" t="s">
        <v>1975</v>
      </c>
      <c r="M642" s="166" t="s">
        <v>1687</v>
      </c>
      <c r="N642" s="162" t="s">
        <v>48</v>
      </c>
      <c r="O642" s="109" t="s">
        <v>48</v>
      </c>
      <c r="P642" s="162" t="s">
        <v>48</v>
      </c>
      <c r="Q642" s="109" t="s">
        <v>48</v>
      </c>
      <c r="R642" s="109" t="s">
        <v>48</v>
      </c>
      <c r="S642" s="109" t="s">
        <v>48</v>
      </c>
      <c r="T642" s="109" t="s">
        <v>48</v>
      </c>
      <c r="U642" s="109" t="s">
        <v>48</v>
      </c>
      <c r="V642" s="166" t="s">
        <v>48</v>
      </c>
      <c r="W642" s="165" t="s">
        <v>890</v>
      </c>
      <c r="X642" s="109" t="s">
        <v>890</v>
      </c>
      <c r="Y642" s="109" t="s">
        <v>48</v>
      </c>
      <c r="Z642" s="109" t="s">
        <v>48</v>
      </c>
      <c r="AA642" s="109" t="s">
        <v>48</v>
      </c>
      <c r="AB642" s="109" t="s">
        <v>48</v>
      </c>
      <c r="AC642" s="109" t="s">
        <v>48</v>
      </c>
      <c r="AD642" s="166" t="s">
        <v>48</v>
      </c>
      <c r="AE642" s="174" t="s">
        <v>80</v>
      </c>
      <c r="AF642" s="109" t="s">
        <v>923</v>
      </c>
      <c r="AG642" s="130" t="s">
        <v>922</v>
      </c>
      <c r="AH642" s="109" t="s">
        <v>1908</v>
      </c>
      <c r="AI642" s="109" t="s">
        <v>1082</v>
      </c>
      <c r="AJ642" s="109" t="s">
        <v>921</v>
      </c>
      <c r="AK642" s="166" t="s">
        <v>924</v>
      </c>
      <c r="AL642" s="165" t="s">
        <v>890</v>
      </c>
      <c r="AM642" s="109" t="s">
        <v>890</v>
      </c>
      <c r="AN642" s="109" t="s">
        <v>48</v>
      </c>
      <c r="AO642" s="109" t="s">
        <v>48</v>
      </c>
      <c r="AP642" s="109" t="s">
        <v>48</v>
      </c>
      <c r="AQ642" s="109" t="s">
        <v>48</v>
      </c>
      <c r="AR642" s="109" t="s">
        <v>48</v>
      </c>
      <c r="AS642" s="166" t="s">
        <v>48</v>
      </c>
      <c r="AT642" s="165" t="s">
        <v>48</v>
      </c>
      <c r="AU642" s="109" t="s">
        <v>48</v>
      </c>
      <c r="AV642" s="109" t="s">
        <v>48</v>
      </c>
      <c r="AW642" s="109" t="s">
        <v>48</v>
      </c>
      <c r="AX642" s="109" t="s">
        <v>48</v>
      </c>
      <c r="AY642" s="109" t="s">
        <v>48</v>
      </c>
      <c r="AZ642" s="166" t="s">
        <v>48</v>
      </c>
      <c r="BA642" s="162" t="s">
        <v>1710</v>
      </c>
      <c r="BB642" s="109" t="s">
        <v>82</v>
      </c>
      <c r="BC642" s="120" t="s">
        <v>1692</v>
      </c>
    </row>
    <row r="643" spans="1:55" ht="75" hidden="1" customHeight="1">
      <c r="A643" s="109" t="s">
        <v>41</v>
      </c>
      <c r="B643" s="117" t="s">
        <v>2028</v>
      </c>
      <c r="C643" s="109" t="s">
        <v>891</v>
      </c>
      <c r="D643" s="109" t="s">
        <v>890</v>
      </c>
      <c r="E643" s="161">
        <v>15000</v>
      </c>
      <c r="F643" s="165" t="s">
        <v>1691</v>
      </c>
      <c r="G643" s="109" t="s">
        <v>1691</v>
      </c>
      <c r="H643" s="109" t="s">
        <v>1942</v>
      </c>
      <c r="I643" s="109" t="s">
        <v>1908</v>
      </c>
      <c r="J643" s="109" t="s">
        <v>1708</v>
      </c>
      <c r="K643" s="109" t="s">
        <v>1708</v>
      </c>
      <c r="L643" s="109" t="s">
        <v>1975</v>
      </c>
      <c r="M643" s="166" t="s">
        <v>1687</v>
      </c>
      <c r="N643" s="162" t="s">
        <v>48</v>
      </c>
      <c r="O643" s="109" t="s">
        <v>48</v>
      </c>
      <c r="P643" s="162" t="s">
        <v>48</v>
      </c>
      <c r="Q643" s="109" t="s">
        <v>48</v>
      </c>
      <c r="R643" s="109" t="s">
        <v>48</v>
      </c>
      <c r="S643" s="109" t="s">
        <v>48</v>
      </c>
      <c r="T643" s="109" t="s">
        <v>48</v>
      </c>
      <c r="U643" s="109" t="s">
        <v>48</v>
      </c>
      <c r="V643" s="166" t="s">
        <v>48</v>
      </c>
      <c r="W643" s="165" t="s">
        <v>890</v>
      </c>
      <c r="X643" s="109" t="s">
        <v>890</v>
      </c>
      <c r="Y643" s="109" t="s">
        <v>48</v>
      </c>
      <c r="Z643" s="109" t="s">
        <v>48</v>
      </c>
      <c r="AA643" s="109" t="s">
        <v>48</v>
      </c>
      <c r="AB643" s="109" t="s">
        <v>48</v>
      </c>
      <c r="AC643" s="109" t="s">
        <v>48</v>
      </c>
      <c r="AD643" s="166" t="s">
        <v>48</v>
      </c>
      <c r="AE643" s="174" t="s">
        <v>80</v>
      </c>
      <c r="AF643" s="109" t="s">
        <v>923</v>
      </c>
      <c r="AG643" s="130" t="s">
        <v>922</v>
      </c>
      <c r="AH643" s="109" t="s">
        <v>1908</v>
      </c>
      <c r="AI643" s="109" t="s">
        <v>1082</v>
      </c>
      <c r="AJ643" s="109" t="s">
        <v>921</v>
      </c>
      <c r="AK643" s="166" t="s">
        <v>924</v>
      </c>
      <c r="AL643" s="165" t="s">
        <v>890</v>
      </c>
      <c r="AM643" s="109" t="s">
        <v>890</v>
      </c>
      <c r="AN643" s="109" t="s">
        <v>48</v>
      </c>
      <c r="AO643" s="109" t="s">
        <v>48</v>
      </c>
      <c r="AP643" s="109" t="s">
        <v>48</v>
      </c>
      <c r="AQ643" s="109" t="s">
        <v>48</v>
      </c>
      <c r="AR643" s="109" t="s">
        <v>48</v>
      </c>
      <c r="AS643" s="166" t="s">
        <v>48</v>
      </c>
      <c r="AT643" s="165" t="s">
        <v>48</v>
      </c>
      <c r="AU643" s="109" t="s">
        <v>48</v>
      </c>
      <c r="AV643" s="109" t="s">
        <v>48</v>
      </c>
      <c r="AW643" s="109" t="s">
        <v>48</v>
      </c>
      <c r="AX643" s="109" t="s">
        <v>48</v>
      </c>
      <c r="AY643" s="109" t="s">
        <v>48</v>
      </c>
      <c r="AZ643" s="166" t="s">
        <v>48</v>
      </c>
      <c r="BA643" s="162" t="s">
        <v>1710</v>
      </c>
      <c r="BB643" s="109" t="s">
        <v>82</v>
      </c>
      <c r="BC643" s="120" t="s">
        <v>1692</v>
      </c>
    </row>
    <row r="644" spans="1:55" ht="75" hidden="1" customHeight="1">
      <c r="A644" s="109" t="s">
        <v>40</v>
      </c>
      <c r="B644" s="117" t="s">
        <v>2467</v>
      </c>
      <c r="C644" s="109" t="s">
        <v>891</v>
      </c>
      <c r="D644" s="109" t="s">
        <v>890</v>
      </c>
      <c r="E644" s="161">
        <v>30000</v>
      </c>
      <c r="F644" s="165" t="s">
        <v>1691</v>
      </c>
      <c r="G644" s="109" t="s">
        <v>1691</v>
      </c>
      <c r="H644" s="109" t="s">
        <v>1942</v>
      </c>
      <c r="I644" s="109" t="s">
        <v>1908</v>
      </c>
      <c r="J644" s="109" t="s">
        <v>1708</v>
      </c>
      <c r="K644" s="109" t="s">
        <v>1708</v>
      </c>
      <c r="L644" s="109" t="s">
        <v>1975</v>
      </c>
      <c r="M644" s="166" t="s">
        <v>1687</v>
      </c>
      <c r="N644" s="162" t="s">
        <v>48</v>
      </c>
      <c r="O644" s="109" t="s">
        <v>48</v>
      </c>
      <c r="P644" s="162" t="s">
        <v>48</v>
      </c>
      <c r="Q644" s="109" t="s">
        <v>48</v>
      </c>
      <c r="R644" s="109" t="s">
        <v>48</v>
      </c>
      <c r="S644" s="109" t="s">
        <v>48</v>
      </c>
      <c r="T644" s="109" t="s">
        <v>48</v>
      </c>
      <c r="U644" s="109" t="s">
        <v>48</v>
      </c>
      <c r="V644" s="166" t="s">
        <v>48</v>
      </c>
      <c r="W644" s="165" t="s">
        <v>890</v>
      </c>
      <c r="X644" s="109" t="s">
        <v>890</v>
      </c>
      <c r="Y644" s="109" t="s">
        <v>48</v>
      </c>
      <c r="Z644" s="109" t="s">
        <v>48</v>
      </c>
      <c r="AA644" s="109" t="s">
        <v>48</v>
      </c>
      <c r="AB644" s="109" t="s">
        <v>48</v>
      </c>
      <c r="AC644" s="109" t="s">
        <v>48</v>
      </c>
      <c r="AD644" s="166" t="s">
        <v>48</v>
      </c>
      <c r="AE644" s="174" t="s">
        <v>80</v>
      </c>
      <c r="AF644" s="109" t="s">
        <v>923</v>
      </c>
      <c r="AG644" s="130" t="s">
        <v>922</v>
      </c>
      <c r="AH644" s="109" t="s">
        <v>1908</v>
      </c>
      <c r="AI644" s="109" t="s">
        <v>1082</v>
      </c>
      <c r="AJ644" s="109" t="s">
        <v>921</v>
      </c>
      <c r="AK644" s="166" t="s">
        <v>924</v>
      </c>
      <c r="AL644" s="165" t="s">
        <v>890</v>
      </c>
      <c r="AM644" s="109" t="s">
        <v>890</v>
      </c>
      <c r="AN644" s="109" t="s">
        <v>48</v>
      </c>
      <c r="AO644" s="109" t="s">
        <v>48</v>
      </c>
      <c r="AP644" s="109" t="s">
        <v>48</v>
      </c>
      <c r="AQ644" s="109" t="s">
        <v>48</v>
      </c>
      <c r="AR644" s="109" t="s">
        <v>48</v>
      </c>
      <c r="AS644" s="166" t="s">
        <v>48</v>
      </c>
      <c r="AT644" s="165" t="s">
        <v>48</v>
      </c>
      <c r="AU644" s="109" t="s">
        <v>48</v>
      </c>
      <c r="AV644" s="109" t="s">
        <v>48</v>
      </c>
      <c r="AW644" s="109" t="s">
        <v>48</v>
      </c>
      <c r="AX644" s="109" t="s">
        <v>48</v>
      </c>
      <c r="AY644" s="109" t="s">
        <v>48</v>
      </c>
      <c r="AZ644" s="166" t="s">
        <v>48</v>
      </c>
      <c r="BA644" s="162" t="s">
        <v>1710</v>
      </c>
      <c r="BB644" s="109" t="s">
        <v>82</v>
      </c>
      <c r="BC644" s="120" t="s">
        <v>1692</v>
      </c>
    </row>
    <row r="645" spans="1:55" ht="75" hidden="1" customHeight="1">
      <c r="A645" s="109" t="s">
        <v>40</v>
      </c>
      <c r="B645" s="117" t="s">
        <v>2029</v>
      </c>
      <c r="C645" s="109" t="s">
        <v>891</v>
      </c>
      <c r="D645" s="109" t="s">
        <v>890</v>
      </c>
      <c r="E645" s="161">
        <v>30000</v>
      </c>
      <c r="F645" s="165" t="s">
        <v>1691</v>
      </c>
      <c r="G645" s="109" t="s">
        <v>1691</v>
      </c>
      <c r="H645" s="109" t="s">
        <v>1942</v>
      </c>
      <c r="I645" s="109" t="s">
        <v>1908</v>
      </c>
      <c r="J645" s="109" t="s">
        <v>1708</v>
      </c>
      <c r="K645" s="109" t="s">
        <v>1708</v>
      </c>
      <c r="L645" s="109" t="s">
        <v>1975</v>
      </c>
      <c r="M645" s="166" t="s">
        <v>1687</v>
      </c>
      <c r="N645" s="162" t="s">
        <v>48</v>
      </c>
      <c r="O645" s="109" t="s">
        <v>48</v>
      </c>
      <c r="P645" s="162" t="s">
        <v>48</v>
      </c>
      <c r="Q645" s="109" t="s">
        <v>48</v>
      </c>
      <c r="R645" s="109" t="s">
        <v>48</v>
      </c>
      <c r="S645" s="109" t="s">
        <v>48</v>
      </c>
      <c r="T645" s="109" t="s">
        <v>48</v>
      </c>
      <c r="U645" s="109" t="s">
        <v>48</v>
      </c>
      <c r="V645" s="166" t="s">
        <v>48</v>
      </c>
      <c r="W645" s="165" t="s">
        <v>890</v>
      </c>
      <c r="X645" s="109" t="s">
        <v>890</v>
      </c>
      <c r="Y645" s="109" t="s">
        <v>48</v>
      </c>
      <c r="Z645" s="109" t="s">
        <v>48</v>
      </c>
      <c r="AA645" s="109" t="s">
        <v>48</v>
      </c>
      <c r="AB645" s="109" t="s">
        <v>48</v>
      </c>
      <c r="AC645" s="109" t="s">
        <v>48</v>
      </c>
      <c r="AD645" s="166" t="s">
        <v>48</v>
      </c>
      <c r="AE645" s="174" t="s">
        <v>80</v>
      </c>
      <c r="AF645" s="109" t="s">
        <v>923</v>
      </c>
      <c r="AG645" s="130" t="s">
        <v>922</v>
      </c>
      <c r="AH645" s="109" t="s">
        <v>1908</v>
      </c>
      <c r="AI645" s="109" t="s">
        <v>1082</v>
      </c>
      <c r="AJ645" s="109" t="s">
        <v>921</v>
      </c>
      <c r="AK645" s="166" t="s">
        <v>924</v>
      </c>
      <c r="AL645" s="165" t="s">
        <v>890</v>
      </c>
      <c r="AM645" s="109" t="s">
        <v>890</v>
      </c>
      <c r="AN645" s="109" t="s">
        <v>48</v>
      </c>
      <c r="AO645" s="109" t="s">
        <v>48</v>
      </c>
      <c r="AP645" s="109" t="s">
        <v>48</v>
      </c>
      <c r="AQ645" s="109" t="s">
        <v>48</v>
      </c>
      <c r="AR645" s="109" t="s">
        <v>48</v>
      </c>
      <c r="AS645" s="166" t="s">
        <v>48</v>
      </c>
      <c r="AT645" s="165" t="s">
        <v>48</v>
      </c>
      <c r="AU645" s="109" t="s">
        <v>48</v>
      </c>
      <c r="AV645" s="109" t="s">
        <v>48</v>
      </c>
      <c r="AW645" s="109" t="s">
        <v>48</v>
      </c>
      <c r="AX645" s="109" t="s">
        <v>48</v>
      </c>
      <c r="AY645" s="109" t="s">
        <v>48</v>
      </c>
      <c r="AZ645" s="166" t="s">
        <v>48</v>
      </c>
      <c r="BA645" s="162" t="s">
        <v>1710</v>
      </c>
      <c r="BB645" s="109" t="s">
        <v>82</v>
      </c>
      <c r="BC645" s="120" t="s">
        <v>1692</v>
      </c>
    </row>
    <row r="646" spans="1:55" ht="75" hidden="1" customHeight="1">
      <c r="A646" s="109" t="s">
        <v>38</v>
      </c>
      <c r="B646" s="109" t="s">
        <v>2032</v>
      </c>
      <c r="C646" s="109" t="s">
        <v>891</v>
      </c>
      <c r="D646" s="109" t="s">
        <v>890</v>
      </c>
      <c r="E646" s="161">
        <v>15000</v>
      </c>
      <c r="F646" s="165" t="s">
        <v>1691</v>
      </c>
      <c r="G646" s="109" t="s">
        <v>1691</v>
      </c>
      <c r="H646" s="109" t="s">
        <v>1942</v>
      </c>
      <c r="I646" s="109" t="s">
        <v>1908</v>
      </c>
      <c r="J646" s="109" t="s">
        <v>1708</v>
      </c>
      <c r="K646" s="109" t="s">
        <v>1708</v>
      </c>
      <c r="L646" s="109" t="s">
        <v>1975</v>
      </c>
      <c r="M646" s="166" t="s">
        <v>1687</v>
      </c>
      <c r="N646" s="162" t="s">
        <v>48</v>
      </c>
      <c r="O646" s="109" t="s">
        <v>48</v>
      </c>
      <c r="P646" s="162" t="s">
        <v>48</v>
      </c>
      <c r="Q646" s="109" t="s">
        <v>48</v>
      </c>
      <c r="R646" s="109" t="s">
        <v>48</v>
      </c>
      <c r="S646" s="109" t="s">
        <v>48</v>
      </c>
      <c r="T646" s="109" t="s">
        <v>48</v>
      </c>
      <c r="U646" s="109" t="s">
        <v>48</v>
      </c>
      <c r="V646" s="166" t="s">
        <v>48</v>
      </c>
      <c r="W646" s="165" t="s">
        <v>890</v>
      </c>
      <c r="X646" s="109" t="s">
        <v>890</v>
      </c>
      <c r="Y646" s="109" t="s">
        <v>48</v>
      </c>
      <c r="Z646" s="109" t="s">
        <v>48</v>
      </c>
      <c r="AA646" s="109" t="s">
        <v>48</v>
      </c>
      <c r="AB646" s="109" t="s">
        <v>48</v>
      </c>
      <c r="AC646" s="109" t="s">
        <v>48</v>
      </c>
      <c r="AD646" s="166" t="s">
        <v>48</v>
      </c>
      <c r="AE646" s="174" t="s">
        <v>80</v>
      </c>
      <c r="AF646" s="109" t="s">
        <v>923</v>
      </c>
      <c r="AG646" s="130" t="s">
        <v>922</v>
      </c>
      <c r="AH646" s="109" t="s">
        <v>1908</v>
      </c>
      <c r="AI646" s="109" t="s">
        <v>1082</v>
      </c>
      <c r="AJ646" s="109" t="s">
        <v>921</v>
      </c>
      <c r="AK646" s="166" t="s">
        <v>924</v>
      </c>
      <c r="AL646" s="165" t="s">
        <v>890</v>
      </c>
      <c r="AM646" s="109" t="s">
        <v>890</v>
      </c>
      <c r="AN646" s="109" t="s">
        <v>48</v>
      </c>
      <c r="AO646" s="109" t="s">
        <v>48</v>
      </c>
      <c r="AP646" s="109" t="s">
        <v>48</v>
      </c>
      <c r="AQ646" s="109" t="s">
        <v>48</v>
      </c>
      <c r="AR646" s="109" t="s">
        <v>48</v>
      </c>
      <c r="AS646" s="166" t="s">
        <v>48</v>
      </c>
      <c r="AT646" s="165" t="s">
        <v>48</v>
      </c>
      <c r="AU646" s="109" t="s">
        <v>48</v>
      </c>
      <c r="AV646" s="109" t="s">
        <v>48</v>
      </c>
      <c r="AW646" s="109" t="s">
        <v>48</v>
      </c>
      <c r="AX646" s="109" t="s">
        <v>48</v>
      </c>
      <c r="AY646" s="109" t="s">
        <v>48</v>
      </c>
      <c r="AZ646" s="166" t="s">
        <v>48</v>
      </c>
      <c r="BA646" s="162" t="s">
        <v>1710</v>
      </c>
      <c r="BB646" s="109" t="s">
        <v>82</v>
      </c>
      <c r="BC646" s="120" t="s">
        <v>1692</v>
      </c>
    </row>
    <row r="647" spans="1:55" ht="75" hidden="1" customHeight="1">
      <c r="A647" s="109" t="s">
        <v>38</v>
      </c>
      <c r="B647" s="109" t="s">
        <v>2024</v>
      </c>
      <c r="C647" s="109" t="s">
        <v>891</v>
      </c>
      <c r="D647" s="109" t="s">
        <v>890</v>
      </c>
      <c r="E647" s="161">
        <v>15000</v>
      </c>
      <c r="F647" s="165" t="s">
        <v>1691</v>
      </c>
      <c r="G647" s="109" t="s">
        <v>1691</v>
      </c>
      <c r="H647" s="109" t="s">
        <v>1942</v>
      </c>
      <c r="I647" s="109" t="s">
        <v>1908</v>
      </c>
      <c r="J647" s="109" t="s">
        <v>1708</v>
      </c>
      <c r="K647" s="109" t="s">
        <v>1708</v>
      </c>
      <c r="L647" s="109" t="s">
        <v>1975</v>
      </c>
      <c r="M647" s="166" t="s">
        <v>1687</v>
      </c>
      <c r="N647" s="162" t="s">
        <v>48</v>
      </c>
      <c r="O647" s="109" t="s">
        <v>48</v>
      </c>
      <c r="P647" s="162" t="s">
        <v>48</v>
      </c>
      <c r="Q647" s="109" t="s">
        <v>48</v>
      </c>
      <c r="R647" s="109" t="s">
        <v>48</v>
      </c>
      <c r="S647" s="109" t="s">
        <v>48</v>
      </c>
      <c r="T647" s="109" t="s">
        <v>48</v>
      </c>
      <c r="U647" s="109" t="s">
        <v>48</v>
      </c>
      <c r="V647" s="166" t="s">
        <v>48</v>
      </c>
      <c r="W647" s="165" t="s">
        <v>1011</v>
      </c>
      <c r="X647" s="109" t="s">
        <v>890</v>
      </c>
      <c r="Y647" s="109" t="s">
        <v>2045</v>
      </c>
      <c r="Z647" s="109" t="s">
        <v>1908</v>
      </c>
      <c r="AA647" s="109" t="s">
        <v>1034</v>
      </c>
      <c r="AB647" s="109" t="s">
        <v>48</v>
      </c>
      <c r="AC647" s="109" t="s">
        <v>2046</v>
      </c>
      <c r="AD647" s="166" t="s">
        <v>1031</v>
      </c>
      <c r="AE647" s="174" t="s">
        <v>80</v>
      </c>
      <c r="AF647" s="109" t="s">
        <v>923</v>
      </c>
      <c r="AG647" s="130" t="s">
        <v>922</v>
      </c>
      <c r="AH647" s="109" t="s">
        <v>1908</v>
      </c>
      <c r="AI647" s="109" t="s">
        <v>1082</v>
      </c>
      <c r="AJ647" s="109" t="s">
        <v>921</v>
      </c>
      <c r="AK647" s="166" t="s">
        <v>924</v>
      </c>
      <c r="AL647" s="165" t="s">
        <v>890</v>
      </c>
      <c r="AM647" s="109" t="s">
        <v>890</v>
      </c>
      <c r="AN647" s="109" t="s">
        <v>48</v>
      </c>
      <c r="AO647" s="109" t="s">
        <v>48</v>
      </c>
      <c r="AP647" s="109" t="s">
        <v>48</v>
      </c>
      <c r="AQ647" s="109" t="s">
        <v>48</v>
      </c>
      <c r="AR647" s="109" t="s">
        <v>48</v>
      </c>
      <c r="AS647" s="166" t="s">
        <v>48</v>
      </c>
      <c r="AT647" s="165" t="s">
        <v>48</v>
      </c>
      <c r="AU647" s="109" t="s">
        <v>48</v>
      </c>
      <c r="AV647" s="109" t="s">
        <v>48</v>
      </c>
      <c r="AW647" s="109" t="s">
        <v>48</v>
      </c>
      <c r="AX647" s="109" t="s">
        <v>48</v>
      </c>
      <c r="AY647" s="109" t="s">
        <v>48</v>
      </c>
      <c r="AZ647" s="166" t="s">
        <v>48</v>
      </c>
      <c r="BA647" s="162" t="s">
        <v>1710</v>
      </c>
      <c r="BB647" s="109" t="s">
        <v>82</v>
      </c>
      <c r="BC647" s="109" t="s">
        <v>1692</v>
      </c>
    </row>
    <row r="648" spans="1:55" ht="75" hidden="1" customHeight="1">
      <c r="A648" s="109" t="s">
        <v>2341</v>
      </c>
      <c r="B648" s="109" t="s">
        <v>2023</v>
      </c>
      <c r="C648" s="109" t="s">
        <v>891</v>
      </c>
      <c r="D648" s="109" t="s">
        <v>890</v>
      </c>
      <c r="E648" s="161">
        <v>30000</v>
      </c>
      <c r="F648" s="165" t="s">
        <v>1691</v>
      </c>
      <c r="G648" s="109" t="s">
        <v>1691</v>
      </c>
      <c r="H648" s="109" t="s">
        <v>1942</v>
      </c>
      <c r="I648" s="109" t="s">
        <v>1908</v>
      </c>
      <c r="J648" s="109" t="s">
        <v>1708</v>
      </c>
      <c r="K648" s="109" t="s">
        <v>1708</v>
      </c>
      <c r="L648" s="109" t="s">
        <v>1975</v>
      </c>
      <c r="M648" s="166" t="s">
        <v>1687</v>
      </c>
      <c r="N648" s="162" t="s">
        <v>48</v>
      </c>
      <c r="O648" s="109" t="s">
        <v>48</v>
      </c>
      <c r="P648" s="162" t="s">
        <v>48</v>
      </c>
      <c r="Q648" s="109" t="s">
        <v>48</v>
      </c>
      <c r="R648" s="109" t="s">
        <v>48</v>
      </c>
      <c r="S648" s="109" t="s">
        <v>48</v>
      </c>
      <c r="T648" s="109" t="s">
        <v>48</v>
      </c>
      <c r="U648" s="109" t="s">
        <v>48</v>
      </c>
      <c r="V648" s="166" t="s">
        <v>48</v>
      </c>
      <c r="W648" s="165" t="s">
        <v>890</v>
      </c>
      <c r="X648" s="109" t="s">
        <v>890</v>
      </c>
      <c r="Y648" s="109" t="s">
        <v>48</v>
      </c>
      <c r="Z648" s="109" t="s">
        <v>48</v>
      </c>
      <c r="AA648" s="109" t="s">
        <v>48</v>
      </c>
      <c r="AB648" s="109" t="s">
        <v>48</v>
      </c>
      <c r="AC648" s="109" t="s">
        <v>48</v>
      </c>
      <c r="AD648" s="166" t="s">
        <v>48</v>
      </c>
      <c r="AE648" s="174" t="s">
        <v>80</v>
      </c>
      <c r="AF648" s="109" t="s">
        <v>923</v>
      </c>
      <c r="AG648" s="130" t="s">
        <v>922</v>
      </c>
      <c r="AH648" s="109" t="s">
        <v>1908</v>
      </c>
      <c r="AI648" s="109" t="s">
        <v>1082</v>
      </c>
      <c r="AJ648" s="109" t="s">
        <v>921</v>
      </c>
      <c r="AK648" s="166" t="s">
        <v>924</v>
      </c>
      <c r="AL648" s="165" t="s">
        <v>890</v>
      </c>
      <c r="AM648" s="109" t="s">
        <v>890</v>
      </c>
      <c r="AN648" s="109" t="s">
        <v>48</v>
      </c>
      <c r="AO648" s="109" t="s">
        <v>48</v>
      </c>
      <c r="AP648" s="109" t="s">
        <v>48</v>
      </c>
      <c r="AQ648" s="109" t="s">
        <v>48</v>
      </c>
      <c r="AR648" s="109" t="s">
        <v>48</v>
      </c>
      <c r="AS648" s="166" t="s">
        <v>48</v>
      </c>
      <c r="AT648" s="165" t="s">
        <v>48</v>
      </c>
      <c r="AU648" s="109" t="s">
        <v>48</v>
      </c>
      <c r="AV648" s="109" t="s">
        <v>48</v>
      </c>
      <c r="AW648" s="109" t="s">
        <v>48</v>
      </c>
      <c r="AX648" s="109" t="s">
        <v>48</v>
      </c>
      <c r="AY648" s="109" t="s">
        <v>48</v>
      </c>
      <c r="AZ648" s="166" t="s">
        <v>48</v>
      </c>
      <c r="BA648" s="162" t="s">
        <v>1710</v>
      </c>
      <c r="BB648" s="109" t="s">
        <v>82</v>
      </c>
      <c r="BC648" s="120" t="s">
        <v>1692</v>
      </c>
    </row>
    <row r="649" spans="1:55" ht="75" hidden="1" customHeight="1">
      <c r="A649" s="109" t="s">
        <v>2340</v>
      </c>
      <c r="B649" s="109" t="s">
        <v>2022</v>
      </c>
      <c r="C649" s="109" t="s">
        <v>891</v>
      </c>
      <c r="D649" s="109" t="s">
        <v>890</v>
      </c>
      <c r="E649" s="161">
        <v>30000</v>
      </c>
      <c r="F649" s="165" t="s">
        <v>1691</v>
      </c>
      <c r="G649" s="109" t="s">
        <v>1691</v>
      </c>
      <c r="H649" s="109" t="s">
        <v>1942</v>
      </c>
      <c r="I649" s="109" t="s">
        <v>1908</v>
      </c>
      <c r="J649" s="109" t="s">
        <v>1708</v>
      </c>
      <c r="K649" s="109" t="s">
        <v>1708</v>
      </c>
      <c r="L649" s="109" t="s">
        <v>1975</v>
      </c>
      <c r="M649" s="166" t="s">
        <v>1687</v>
      </c>
      <c r="N649" s="162" t="s">
        <v>48</v>
      </c>
      <c r="O649" s="109" t="s">
        <v>48</v>
      </c>
      <c r="P649" s="162" t="s">
        <v>48</v>
      </c>
      <c r="Q649" s="109" t="s">
        <v>48</v>
      </c>
      <c r="R649" s="109" t="s">
        <v>48</v>
      </c>
      <c r="S649" s="109" t="s">
        <v>48</v>
      </c>
      <c r="T649" s="109" t="s">
        <v>48</v>
      </c>
      <c r="U649" s="109" t="s">
        <v>48</v>
      </c>
      <c r="V649" s="166" t="s">
        <v>48</v>
      </c>
      <c r="W649" s="165" t="s">
        <v>890</v>
      </c>
      <c r="X649" s="109" t="s">
        <v>890</v>
      </c>
      <c r="Y649" s="109" t="s">
        <v>48</v>
      </c>
      <c r="Z649" s="109" t="s">
        <v>48</v>
      </c>
      <c r="AA649" s="109" t="s">
        <v>48</v>
      </c>
      <c r="AB649" s="109" t="s">
        <v>48</v>
      </c>
      <c r="AC649" s="109" t="s">
        <v>48</v>
      </c>
      <c r="AD649" s="166" t="s">
        <v>48</v>
      </c>
      <c r="AE649" s="174" t="s">
        <v>80</v>
      </c>
      <c r="AF649" s="109" t="s">
        <v>923</v>
      </c>
      <c r="AG649" s="130" t="s">
        <v>922</v>
      </c>
      <c r="AH649" s="109" t="s">
        <v>1908</v>
      </c>
      <c r="AI649" s="109" t="s">
        <v>1082</v>
      </c>
      <c r="AJ649" s="109" t="s">
        <v>921</v>
      </c>
      <c r="AK649" s="166" t="s">
        <v>924</v>
      </c>
      <c r="AL649" s="165" t="s">
        <v>890</v>
      </c>
      <c r="AM649" s="109" t="s">
        <v>890</v>
      </c>
      <c r="AN649" s="109" t="s">
        <v>48</v>
      </c>
      <c r="AO649" s="109" t="s">
        <v>48</v>
      </c>
      <c r="AP649" s="109" t="s">
        <v>48</v>
      </c>
      <c r="AQ649" s="109" t="s">
        <v>48</v>
      </c>
      <c r="AR649" s="109" t="s">
        <v>48</v>
      </c>
      <c r="AS649" s="166" t="s">
        <v>48</v>
      </c>
      <c r="AT649" s="165" t="s">
        <v>48</v>
      </c>
      <c r="AU649" s="109" t="s">
        <v>48</v>
      </c>
      <c r="AV649" s="109" t="s">
        <v>48</v>
      </c>
      <c r="AW649" s="109" t="s">
        <v>48</v>
      </c>
      <c r="AX649" s="109" t="s">
        <v>48</v>
      </c>
      <c r="AY649" s="109" t="s">
        <v>48</v>
      </c>
      <c r="AZ649" s="166" t="s">
        <v>48</v>
      </c>
      <c r="BA649" s="162" t="s">
        <v>1710</v>
      </c>
      <c r="BB649" s="109" t="s">
        <v>82</v>
      </c>
      <c r="BC649" s="120" t="s">
        <v>1692</v>
      </c>
    </row>
    <row r="650" spans="1:55" ht="75" hidden="1" customHeight="1">
      <c r="A650" s="109" t="s">
        <v>41</v>
      </c>
      <c r="B650" s="117" t="s">
        <v>2018</v>
      </c>
      <c r="C650" s="109" t="s">
        <v>802</v>
      </c>
      <c r="D650" s="109" t="s">
        <v>801</v>
      </c>
      <c r="E650" s="161">
        <v>15000</v>
      </c>
      <c r="F650" s="165" t="s">
        <v>1694</v>
      </c>
      <c r="G650" s="109" t="s">
        <v>1694</v>
      </c>
      <c r="H650" s="109" t="s">
        <v>1944</v>
      </c>
      <c r="I650" s="109" t="s">
        <v>1908</v>
      </c>
      <c r="J650" s="109" t="s">
        <v>1708</v>
      </c>
      <c r="K650" s="109" t="s">
        <v>1708</v>
      </c>
      <c r="L650" s="109" t="s">
        <v>1989</v>
      </c>
      <c r="M650" s="166" t="s">
        <v>1687</v>
      </c>
      <c r="N650" s="162" t="s">
        <v>48</v>
      </c>
      <c r="O650" s="109" t="s">
        <v>48</v>
      </c>
      <c r="P650" s="162" t="s">
        <v>48</v>
      </c>
      <c r="Q650" s="109" t="s">
        <v>48</v>
      </c>
      <c r="R650" s="109" t="s">
        <v>48</v>
      </c>
      <c r="S650" s="109" t="s">
        <v>48</v>
      </c>
      <c r="T650" s="109" t="s">
        <v>48</v>
      </c>
      <c r="U650" s="109" t="s">
        <v>48</v>
      </c>
      <c r="V650" s="166" t="s">
        <v>48</v>
      </c>
      <c r="W650" s="165" t="s">
        <v>801</v>
      </c>
      <c r="X650" s="109" t="s">
        <v>801</v>
      </c>
      <c r="Y650" s="109" t="s">
        <v>48</v>
      </c>
      <c r="Z650" s="109" t="s">
        <v>48</v>
      </c>
      <c r="AA650" s="109" t="s">
        <v>48</v>
      </c>
      <c r="AB650" s="109" t="s">
        <v>48</v>
      </c>
      <c r="AC650" s="109" t="s">
        <v>48</v>
      </c>
      <c r="AD650" s="166" t="s">
        <v>48</v>
      </c>
      <c r="AE650" s="174" t="s">
        <v>65</v>
      </c>
      <c r="AF650" s="109" t="s">
        <v>48</v>
      </c>
      <c r="AG650" s="130" t="s">
        <v>48</v>
      </c>
      <c r="AH650" s="109" t="s">
        <v>48</v>
      </c>
      <c r="AI650" s="109" t="s">
        <v>48</v>
      </c>
      <c r="AJ650" s="109" t="s">
        <v>48</v>
      </c>
      <c r="AK650" s="166" t="s">
        <v>48</v>
      </c>
      <c r="AL650" s="165" t="s">
        <v>801</v>
      </c>
      <c r="AM650" s="109" t="s">
        <v>801</v>
      </c>
      <c r="AN650" s="109" t="s">
        <v>48</v>
      </c>
      <c r="AO650" s="109" t="s">
        <v>48</v>
      </c>
      <c r="AP650" s="109" t="s">
        <v>48</v>
      </c>
      <c r="AQ650" s="109" t="s">
        <v>48</v>
      </c>
      <c r="AR650" s="109" t="s">
        <v>48</v>
      </c>
      <c r="AS650" s="166" t="s">
        <v>48</v>
      </c>
      <c r="AT650" s="165" t="s">
        <v>48</v>
      </c>
      <c r="AU650" s="109" t="s">
        <v>48</v>
      </c>
      <c r="AV650" s="109" t="s">
        <v>48</v>
      </c>
      <c r="AW650" s="109" t="s">
        <v>48</v>
      </c>
      <c r="AX650" s="109" t="s">
        <v>48</v>
      </c>
      <c r="AY650" s="109" t="s">
        <v>48</v>
      </c>
      <c r="AZ650" s="166" t="s">
        <v>48</v>
      </c>
      <c r="BA650" s="162" t="s">
        <v>1864</v>
      </c>
      <c r="BB650" s="117" t="s">
        <v>199</v>
      </c>
      <c r="BC650" s="109" t="s">
        <v>932</v>
      </c>
    </row>
    <row r="651" spans="1:55" ht="75" hidden="1" customHeight="1">
      <c r="A651" s="109" t="s">
        <v>41</v>
      </c>
      <c r="B651" s="117" t="s">
        <v>2018</v>
      </c>
      <c r="C651" s="109" t="s">
        <v>802</v>
      </c>
      <c r="D651" s="109" t="s">
        <v>928</v>
      </c>
      <c r="E651" s="161">
        <v>15000</v>
      </c>
      <c r="F651" s="165" t="s">
        <v>1694</v>
      </c>
      <c r="G651" s="109" t="s">
        <v>1694</v>
      </c>
      <c r="H651" s="109" t="s">
        <v>1944</v>
      </c>
      <c r="I651" s="109" t="s">
        <v>1908</v>
      </c>
      <c r="J651" s="109" t="s">
        <v>1708</v>
      </c>
      <c r="K651" s="109" t="s">
        <v>1708</v>
      </c>
      <c r="L651" s="109" t="s">
        <v>1989</v>
      </c>
      <c r="M651" s="166" t="s">
        <v>1687</v>
      </c>
      <c r="N651" s="162" t="s">
        <v>48</v>
      </c>
      <c r="O651" s="109" t="s">
        <v>48</v>
      </c>
      <c r="P651" s="162" t="s">
        <v>48</v>
      </c>
      <c r="Q651" s="109" t="s">
        <v>48</v>
      </c>
      <c r="R651" s="109" t="s">
        <v>48</v>
      </c>
      <c r="S651" s="109" t="s">
        <v>48</v>
      </c>
      <c r="T651" s="109" t="s">
        <v>48</v>
      </c>
      <c r="U651" s="109" t="s">
        <v>48</v>
      </c>
      <c r="V651" s="166" t="s">
        <v>48</v>
      </c>
      <c r="W651" s="165" t="s">
        <v>928</v>
      </c>
      <c r="X651" s="109" t="s">
        <v>928</v>
      </c>
      <c r="Y651" s="109" t="s">
        <v>48</v>
      </c>
      <c r="Z651" s="109" t="s">
        <v>48</v>
      </c>
      <c r="AA651" s="109" t="s">
        <v>48</v>
      </c>
      <c r="AB651" s="109" t="s">
        <v>48</v>
      </c>
      <c r="AC651" s="109" t="s">
        <v>48</v>
      </c>
      <c r="AD651" s="166" t="s">
        <v>48</v>
      </c>
      <c r="AE651" s="174" t="s">
        <v>48</v>
      </c>
      <c r="AF651" s="117" t="s">
        <v>48</v>
      </c>
      <c r="AG651" s="117" t="s">
        <v>48</v>
      </c>
      <c r="AH651" s="109" t="s">
        <v>48</v>
      </c>
      <c r="AI651" s="117" t="s">
        <v>48</v>
      </c>
      <c r="AJ651" s="117" t="s">
        <v>48</v>
      </c>
      <c r="AK651" s="182" t="s">
        <v>48</v>
      </c>
      <c r="AL651" s="165" t="s">
        <v>928</v>
      </c>
      <c r="AM651" s="109" t="s">
        <v>928</v>
      </c>
      <c r="AN651" s="109" t="s">
        <v>48</v>
      </c>
      <c r="AO651" s="109" t="s">
        <v>48</v>
      </c>
      <c r="AP651" s="109" t="s">
        <v>48</v>
      </c>
      <c r="AQ651" s="109" t="s">
        <v>48</v>
      </c>
      <c r="AR651" s="109" t="s">
        <v>48</v>
      </c>
      <c r="AS651" s="166" t="s">
        <v>48</v>
      </c>
      <c r="AT651" s="165" t="s">
        <v>48</v>
      </c>
      <c r="AU651" s="109" t="s">
        <v>48</v>
      </c>
      <c r="AV651" s="109" t="s">
        <v>48</v>
      </c>
      <c r="AW651" s="109" t="s">
        <v>48</v>
      </c>
      <c r="AX651" s="109" t="s">
        <v>48</v>
      </c>
      <c r="AY651" s="109" t="s">
        <v>48</v>
      </c>
      <c r="AZ651" s="166" t="s">
        <v>48</v>
      </c>
      <c r="BA651" s="162" t="s">
        <v>1864</v>
      </c>
      <c r="BB651" s="109" t="s">
        <v>82</v>
      </c>
      <c r="BC651" s="109" t="s">
        <v>932</v>
      </c>
    </row>
    <row r="652" spans="1:55" ht="75" hidden="1" customHeight="1">
      <c r="A652" s="117" t="s">
        <v>40</v>
      </c>
      <c r="B652" s="117" t="s">
        <v>2020</v>
      </c>
      <c r="C652" s="109" t="s">
        <v>1898</v>
      </c>
      <c r="D652" s="109" t="s">
        <v>1896</v>
      </c>
      <c r="E652" s="161">
        <v>30000</v>
      </c>
      <c r="F652" s="109" t="s">
        <v>1896</v>
      </c>
      <c r="G652" s="109" t="s">
        <v>1896</v>
      </c>
      <c r="H652" s="109" t="s">
        <v>48</v>
      </c>
      <c r="I652" s="109" t="s">
        <v>48</v>
      </c>
      <c r="J652" s="109" t="s">
        <v>48</v>
      </c>
      <c r="K652" s="109" t="s">
        <v>48</v>
      </c>
      <c r="L652" s="109" t="s">
        <v>48</v>
      </c>
      <c r="M652" s="166" t="s">
        <v>48</v>
      </c>
      <c r="N652" s="162" t="s">
        <v>48</v>
      </c>
      <c r="O652" s="109" t="s">
        <v>48</v>
      </c>
      <c r="P652" s="162" t="s">
        <v>48</v>
      </c>
      <c r="Q652" s="109" t="s">
        <v>48</v>
      </c>
      <c r="R652" s="109" t="s">
        <v>48</v>
      </c>
      <c r="S652" s="109" t="s">
        <v>48</v>
      </c>
      <c r="T652" s="109" t="s">
        <v>48</v>
      </c>
      <c r="U652" s="109" t="s">
        <v>48</v>
      </c>
      <c r="V652" s="166" t="s">
        <v>48</v>
      </c>
      <c r="W652" s="109" t="s">
        <v>1896</v>
      </c>
      <c r="X652" s="109" t="s">
        <v>1896</v>
      </c>
      <c r="Y652" s="109" t="s">
        <v>48</v>
      </c>
      <c r="Z652" s="109" t="s">
        <v>48</v>
      </c>
      <c r="AA652" s="109" t="s">
        <v>48</v>
      </c>
      <c r="AB652" s="109" t="s">
        <v>48</v>
      </c>
      <c r="AC652" s="109" t="s">
        <v>48</v>
      </c>
      <c r="AD652" s="166" t="s">
        <v>48</v>
      </c>
      <c r="AE652" s="165" t="s">
        <v>48</v>
      </c>
      <c r="AF652" s="109" t="s">
        <v>48</v>
      </c>
      <c r="AG652" s="109" t="s">
        <v>48</v>
      </c>
      <c r="AH652" s="109" t="s">
        <v>48</v>
      </c>
      <c r="AI652" s="109" t="s">
        <v>48</v>
      </c>
      <c r="AJ652" s="109" t="s">
        <v>48</v>
      </c>
      <c r="AK652" s="166" t="s">
        <v>48</v>
      </c>
      <c r="AL652" s="109" t="s">
        <v>1896</v>
      </c>
      <c r="AM652" s="109" t="s">
        <v>1896</v>
      </c>
      <c r="AN652" s="109" t="s">
        <v>48</v>
      </c>
      <c r="AO652" s="109" t="s">
        <v>48</v>
      </c>
      <c r="AP652" s="109" t="s">
        <v>48</v>
      </c>
      <c r="AQ652" s="109" t="s">
        <v>48</v>
      </c>
      <c r="AR652" s="196" t="s">
        <v>48</v>
      </c>
      <c r="AS652" s="166" t="s">
        <v>48</v>
      </c>
      <c r="AT652" s="165" t="s">
        <v>48</v>
      </c>
      <c r="AU652" s="165" t="s">
        <v>48</v>
      </c>
      <c r="AV652" s="165" t="s">
        <v>48</v>
      </c>
      <c r="AW652" s="109" t="s">
        <v>48</v>
      </c>
      <c r="AX652" s="109" t="s">
        <v>48</v>
      </c>
      <c r="AY652" s="109" t="s">
        <v>48</v>
      </c>
      <c r="AZ652" s="109" t="s">
        <v>48</v>
      </c>
      <c r="BA652" s="162" t="s">
        <v>1788</v>
      </c>
      <c r="BB652" s="109" t="s">
        <v>49</v>
      </c>
      <c r="BC652" s="109" t="s">
        <v>1899</v>
      </c>
    </row>
    <row r="653" spans="1:55" ht="75" hidden="1" customHeight="1">
      <c r="A653" s="117" t="s">
        <v>2344</v>
      </c>
      <c r="B653" s="117" t="s">
        <v>2021</v>
      </c>
      <c r="C653" s="109" t="s">
        <v>1898</v>
      </c>
      <c r="D653" s="109" t="s">
        <v>1897</v>
      </c>
      <c r="E653" s="161">
        <v>30000</v>
      </c>
      <c r="F653" s="109" t="s">
        <v>1897</v>
      </c>
      <c r="G653" s="109" t="s">
        <v>1897</v>
      </c>
      <c r="H653" s="109" t="s">
        <v>48</v>
      </c>
      <c r="I653" s="109" t="s">
        <v>48</v>
      </c>
      <c r="J653" s="109" t="s">
        <v>48</v>
      </c>
      <c r="K653" s="109" t="s">
        <v>48</v>
      </c>
      <c r="L653" s="109" t="s">
        <v>48</v>
      </c>
      <c r="M653" s="166" t="s">
        <v>48</v>
      </c>
      <c r="N653" s="162" t="s">
        <v>48</v>
      </c>
      <c r="O653" s="109" t="s">
        <v>48</v>
      </c>
      <c r="P653" s="162" t="s">
        <v>48</v>
      </c>
      <c r="Q653" s="109" t="s">
        <v>48</v>
      </c>
      <c r="R653" s="109" t="s">
        <v>48</v>
      </c>
      <c r="S653" s="109" t="s">
        <v>48</v>
      </c>
      <c r="T653" s="109" t="s">
        <v>48</v>
      </c>
      <c r="U653" s="109" t="s">
        <v>48</v>
      </c>
      <c r="V653" s="166" t="s">
        <v>48</v>
      </c>
      <c r="W653" s="109" t="s">
        <v>1897</v>
      </c>
      <c r="X653" s="109" t="s">
        <v>1897</v>
      </c>
      <c r="Y653" s="109" t="s">
        <v>48</v>
      </c>
      <c r="Z653" s="109" t="s">
        <v>48</v>
      </c>
      <c r="AA653" s="109" t="s">
        <v>48</v>
      </c>
      <c r="AB653" s="109" t="s">
        <v>48</v>
      </c>
      <c r="AC653" s="109" t="s">
        <v>48</v>
      </c>
      <c r="AD653" s="166" t="s">
        <v>48</v>
      </c>
      <c r="AE653" s="165" t="s">
        <v>48</v>
      </c>
      <c r="AF653" s="109" t="s">
        <v>48</v>
      </c>
      <c r="AG653" s="109" t="s">
        <v>48</v>
      </c>
      <c r="AH653" s="109" t="s">
        <v>48</v>
      </c>
      <c r="AI653" s="109" t="s">
        <v>48</v>
      </c>
      <c r="AJ653" s="109" t="s">
        <v>48</v>
      </c>
      <c r="AK653" s="166" t="s">
        <v>48</v>
      </c>
      <c r="AL653" s="109" t="s">
        <v>1897</v>
      </c>
      <c r="AM653" s="109" t="s">
        <v>1897</v>
      </c>
      <c r="AN653" s="109" t="s">
        <v>48</v>
      </c>
      <c r="AO653" s="109" t="s">
        <v>48</v>
      </c>
      <c r="AP653" s="109" t="s">
        <v>48</v>
      </c>
      <c r="AQ653" s="109" t="s">
        <v>48</v>
      </c>
      <c r="AR653" s="109" t="s">
        <v>48</v>
      </c>
      <c r="AS653" s="166" t="s">
        <v>48</v>
      </c>
      <c r="AT653" s="166" t="s">
        <v>48</v>
      </c>
      <c r="AU653" s="165" t="s">
        <v>48</v>
      </c>
      <c r="AV653" s="165" t="s">
        <v>48</v>
      </c>
      <c r="AW653" s="109" t="s">
        <v>48</v>
      </c>
      <c r="AX653" s="109" t="s">
        <v>48</v>
      </c>
      <c r="AY653" s="109" t="s">
        <v>48</v>
      </c>
      <c r="AZ653" s="109" t="s">
        <v>48</v>
      </c>
      <c r="BA653" s="162" t="s">
        <v>1788</v>
      </c>
      <c r="BB653" s="109" t="s">
        <v>49</v>
      </c>
      <c r="BC653" s="109" t="s">
        <v>1899</v>
      </c>
    </row>
    <row r="654" spans="1:55" ht="75" hidden="1" customHeight="1">
      <c r="A654" s="117" t="s">
        <v>31</v>
      </c>
      <c r="B654" s="109" t="s">
        <v>2019</v>
      </c>
      <c r="C654" s="109" t="s">
        <v>1898</v>
      </c>
      <c r="D654" s="109" t="s">
        <v>1895</v>
      </c>
      <c r="E654" s="161">
        <v>30000</v>
      </c>
      <c r="F654" s="109" t="s">
        <v>1895</v>
      </c>
      <c r="G654" s="109" t="s">
        <v>1895</v>
      </c>
      <c r="H654" s="109" t="s">
        <v>48</v>
      </c>
      <c r="I654" s="109" t="s">
        <v>48</v>
      </c>
      <c r="J654" s="109" t="s">
        <v>48</v>
      </c>
      <c r="K654" s="109" t="s">
        <v>48</v>
      </c>
      <c r="L654" s="109" t="s">
        <v>48</v>
      </c>
      <c r="M654" s="166" t="s">
        <v>48</v>
      </c>
      <c r="N654" s="162" t="s">
        <v>48</v>
      </c>
      <c r="O654" s="109" t="s">
        <v>48</v>
      </c>
      <c r="P654" s="162" t="s">
        <v>48</v>
      </c>
      <c r="Q654" s="109" t="s">
        <v>48</v>
      </c>
      <c r="R654" s="109" t="s">
        <v>48</v>
      </c>
      <c r="S654" s="109" t="s">
        <v>48</v>
      </c>
      <c r="T654" s="109" t="s">
        <v>48</v>
      </c>
      <c r="U654" s="109" t="s">
        <v>48</v>
      </c>
      <c r="V654" s="166" t="s">
        <v>48</v>
      </c>
      <c r="W654" s="109" t="s">
        <v>1895</v>
      </c>
      <c r="X654" s="109" t="s">
        <v>1895</v>
      </c>
      <c r="Y654" s="109" t="s">
        <v>48</v>
      </c>
      <c r="Z654" s="109" t="s">
        <v>48</v>
      </c>
      <c r="AA654" s="109" t="s">
        <v>48</v>
      </c>
      <c r="AB654" s="109" t="s">
        <v>48</v>
      </c>
      <c r="AC654" s="109" t="s">
        <v>48</v>
      </c>
      <c r="AD654" s="166" t="s">
        <v>48</v>
      </c>
      <c r="AE654" s="165" t="s">
        <v>48</v>
      </c>
      <c r="AF654" s="109" t="s">
        <v>48</v>
      </c>
      <c r="AG654" s="109" t="s">
        <v>48</v>
      </c>
      <c r="AH654" s="109" t="s">
        <v>48</v>
      </c>
      <c r="AI654" s="109" t="s">
        <v>48</v>
      </c>
      <c r="AJ654" s="109" t="s">
        <v>48</v>
      </c>
      <c r="AK654" s="166" t="s">
        <v>48</v>
      </c>
      <c r="AL654" s="109" t="s">
        <v>1895</v>
      </c>
      <c r="AM654" s="109" t="s">
        <v>1895</v>
      </c>
      <c r="AN654" s="109" t="s">
        <v>48</v>
      </c>
      <c r="AO654" s="109" t="s">
        <v>48</v>
      </c>
      <c r="AP654" s="109" t="s">
        <v>48</v>
      </c>
      <c r="AQ654" s="109" t="s">
        <v>48</v>
      </c>
      <c r="AR654" s="109" t="s">
        <v>48</v>
      </c>
      <c r="AS654" s="166" t="s">
        <v>48</v>
      </c>
      <c r="AT654" s="166" t="s">
        <v>48</v>
      </c>
      <c r="AU654" s="165" t="s">
        <v>48</v>
      </c>
      <c r="AV654" s="165" t="s">
        <v>48</v>
      </c>
      <c r="AW654" s="109" t="s">
        <v>48</v>
      </c>
      <c r="AX654" s="109" t="s">
        <v>48</v>
      </c>
      <c r="AY654" s="109" t="s">
        <v>48</v>
      </c>
      <c r="AZ654" s="109" t="s">
        <v>48</v>
      </c>
      <c r="BA654" s="162" t="s">
        <v>1788</v>
      </c>
      <c r="BB654" s="109" t="s">
        <v>49</v>
      </c>
      <c r="BC654" s="109" t="s">
        <v>1899</v>
      </c>
    </row>
    <row r="655" spans="1:55" ht="75" hidden="1" customHeight="1">
      <c r="A655" s="117" t="s">
        <v>31</v>
      </c>
      <c r="B655" s="109" t="s">
        <v>2027</v>
      </c>
      <c r="C655" s="109" t="s">
        <v>1898</v>
      </c>
      <c r="D655" s="109" t="s">
        <v>1895</v>
      </c>
      <c r="E655" s="161">
        <v>30000</v>
      </c>
      <c r="F655" s="109" t="s">
        <v>1895</v>
      </c>
      <c r="G655" s="109" t="s">
        <v>1895</v>
      </c>
      <c r="H655" s="109" t="s">
        <v>48</v>
      </c>
      <c r="I655" s="109" t="s">
        <v>48</v>
      </c>
      <c r="J655" s="109" t="s">
        <v>48</v>
      </c>
      <c r="K655" s="109" t="s">
        <v>48</v>
      </c>
      <c r="L655" s="109" t="s">
        <v>48</v>
      </c>
      <c r="M655" s="166" t="s">
        <v>48</v>
      </c>
      <c r="N655" s="162" t="s">
        <v>48</v>
      </c>
      <c r="O655" s="109" t="s">
        <v>48</v>
      </c>
      <c r="P655" s="162" t="s">
        <v>48</v>
      </c>
      <c r="Q655" s="109" t="s">
        <v>48</v>
      </c>
      <c r="R655" s="109" t="s">
        <v>48</v>
      </c>
      <c r="S655" s="109" t="s">
        <v>48</v>
      </c>
      <c r="T655" s="109" t="s">
        <v>48</v>
      </c>
      <c r="U655" s="109" t="s">
        <v>48</v>
      </c>
      <c r="V655" s="166" t="s">
        <v>48</v>
      </c>
      <c r="W655" s="109" t="s">
        <v>1895</v>
      </c>
      <c r="X655" s="109" t="s">
        <v>1895</v>
      </c>
      <c r="Y655" s="109" t="s">
        <v>48</v>
      </c>
      <c r="Z655" s="109" t="s">
        <v>48</v>
      </c>
      <c r="AA655" s="109" t="s">
        <v>48</v>
      </c>
      <c r="AB655" s="109" t="s">
        <v>48</v>
      </c>
      <c r="AC655" s="109" t="s">
        <v>48</v>
      </c>
      <c r="AD655" s="166" t="s">
        <v>48</v>
      </c>
      <c r="AE655" s="165" t="s">
        <v>48</v>
      </c>
      <c r="AF655" s="109" t="s">
        <v>48</v>
      </c>
      <c r="AG655" s="109" t="s">
        <v>48</v>
      </c>
      <c r="AH655" s="109" t="s">
        <v>48</v>
      </c>
      <c r="AI655" s="109" t="s">
        <v>48</v>
      </c>
      <c r="AJ655" s="109" t="s">
        <v>48</v>
      </c>
      <c r="AK655" s="166" t="s">
        <v>48</v>
      </c>
      <c r="AL655" s="109" t="s">
        <v>1895</v>
      </c>
      <c r="AM655" s="109" t="s">
        <v>1895</v>
      </c>
      <c r="AN655" s="109" t="s">
        <v>48</v>
      </c>
      <c r="AO655" s="109" t="s">
        <v>48</v>
      </c>
      <c r="AP655" s="109" t="s">
        <v>48</v>
      </c>
      <c r="AQ655" s="109" t="s">
        <v>48</v>
      </c>
      <c r="AR655" s="109" t="s">
        <v>48</v>
      </c>
      <c r="AS655" s="166" t="s">
        <v>48</v>
      </c>
      <c r="AT655" s="165" t="s">
        <v>48</v>
      </c>
      <c r="AU655" s="165" t="s">
        <v>48</v>
      </c>
      <c r="AV655" s="165" t="s">
        <v>48</v>
      </c>
      <c r="AW655" s="109" t="s">
        <v>48</v>
      </c>
      <c r="AX655" s="109" t="s">
        <v>48</v>
      </c>
      <c r="AY655" s="109" t="s">
        <v>48</v>
      </c>
      <c r="AZ655" s="109" t="s">
        <v>48</v>
      </c>
      <c r="BA655" s="162" t="s">
        <v>1788</v>
      </c>
      <c r="BB655" s="109" t="s">
        <v>49</v>
      </c>
      <c r="BC655" s="109" t="s">
        <v>1899</v>
      </c>
    </row>
    <row r="656" spans="1:55" ht="75" hidden="1" customHeight="1">
      <c r="A656" s="109" t="s">
        <v>40</v>
      </c>
      <c r="B656" s="117" t="s">
        <v>2020</v>
      </c>
      <c r="C656" s="117" t="s">
        <v>1398</v>
      </c>
      <c r="D656" s="109" t="s">
        <v>1400</v>
      </c>
      <c r="E656" s="161">
        <v>30000</v>
      </c>
      <c r="F656" s="109" t="s">
        <v>1698</v>
      </c>
      <c r="G656" s="109" t="s">
        <v>1698</v>
      </c>
      <c r="H656" s="109" t="s">
        <v>1961</v>
      </c>
      <c r="I656" s="109" t="s">
        <v>1908</v>
      </c>
      <c r="J656" s="109" t="s">
        <v>1708</v>
      </c>
      <c r="K656" s="109" t="s">
        <v>1708</v>
      </c>
      <c r="L656" s="109" t="s">
        <v>1997</v>
      </c>
      <c r="M656" s="166" t="s">
        <v>1687</v>
      </c>
      <c r="N656" s="162" t="s">
        <v>48</v>
      </c>
      <c r="O656" s="109" t="s">
        <v>48</v>
      </c>
      <c r="P656" s="162" t="s">
        <v>48</v>
      </c>
      <c r="Q656" s="109" t="s">
        <v>48</v>
      </c>
      <c r="R656" s="109" t="s">
        <v>48</v>
      </c>
      <c r="S656" s="109" t="s">
        <v>48</v>
      </c>
      <c r="T656" s="109" t="s">
        <v>48</v>
      </c>
      <c r="U656" s="109" t="s">
        <v>48</v>
      </c>
      <c r="V656" s="166" t="s">
        <v>48</v>
      </c>
      <c r="W656" s="109" t="s">
        <v>1400</v>
      </c>
      <c r="X656" s="109" t="s">
        <v>1400</v>
      </c>
      <c r="Y656" s="109" t="s">
        <v>48</v>
      </c>
      <c r="Z656" s="109" t="s">
        <v>48</v>
      </c>
      <c r="AA656" s="109" t="s">
        <v>48</v>
      </c>
      <c r="AB656" s="109" t="s">
        <v>48</v>
      </c>
      <c r="AC656" s="109" t="s">
        <v>48</v>
      </c>
      <c r="AD656" s="166" t="s">
        <v>48</v>
      </c>
      <c r="AE656" s="165" t="s">
        <v>48</v>
      </c>
      <c r="AF656" s="109" t="s">
        <v>48</v>
      </c>
      <c r="AG656" s="109" t="s">
        <v>48</v>
      </c>
      <c r="AH656" s="109" t="s">
        <v>48</v>
      </c>
      <c r="AI656" s="109" t="s">
        <v>48</v>
      </c>
      <c r="AJ656" s="109" t="s">
        <v>48</v>
      </c>
      <c r="AK656" s="166" t="s">
        <v>48</v>
      </c>
      <c r="AL656" s="109" t="s">
        <v>1400</v>
      </c>
      <c r="AM656" s="109" t="s">
        <v>1400</v>
      </c>
      <c r="AN656" s="109" t="s">
        <v>48</v>
      </c>
      <c r="AO656" s="109" t="s">
        <v>48</v>
      </c>
      <c r="AP656" s="109" t="s">
        <v>48</v>
      </c>
      <c r="AQ656" s="109" t="s">
        <v>48</v>
      </c>
      <c r="AR656" s="109" t="s">
        <v>48</v>
      </c>
      <c r="AS656" s="166" t="s">
        <v>48</v>
      </c>
      <c r="AT656" s="165" t="s">
        <v>1607</v>
      </c>
      <c r="AU656" s="165" t="s">
        <v>1609</v>
      </c>
      <c r="AV656" s="165" t="s">
        <v>1606</v>
      </c>
      <c r="AW656" s="109" t="s">
        <v>48</v>
      </c>
      <c r="AX656" s="109" t="s">
        <v>48</v>
      </c>
      <c r="AY656" s="109" t="s">
        <v>1603</v>
      </c>
      <c r="AZ656" s="109" t="s">
        <v>2390</v>
      </c>
      <c r="BA656" s="162" t="s">
        <v>1788</v>
      </c>
      <c r="BB656" s="109" t="s">
        <v>49</v>
      </c>
      <c r="BC656" s="109" t="s">
        <v>1700</v>
      </c>
    </row>
    <row r="657" spans="1:55" ht="75" hidden="1" customHeight="1">
      <c r="A657" s="109" t="s">
        <v>2344</v>
      </c>
      <c r="B657" s="117" t="s">
        <v>2021</v>
      </c>
      <c r="C657" s="117" t="s">
        <v>1398</v>
      </c>
      <c r="D657" s="109" t="s">
        <v>1415</v>
      </c>
      <c r="E657" s="161">
        <v>30000</v>
      </c>
      <c r="F657" s="109" t="s">
        <v>1789</v>
      </c>
      <c r="G657" s="109" t="s">
        <v>1789</v>
      </c>
      <c r="H657" s="109" t="s">
        <v>1963</v>
      </c>
      <c r="I657" s="109" t="s">
        <v>1908</v>
      </c>
      <c r="J657" s="109" t="s">
        <v>1708</v>
      </c>
      <c r="K657" s="109" t="s">
        <v>1708</v>
      </c>
      <c r="L657" s="109" t="s">
        <v>1999</v>
      </c>
      <c r="M657" s="166" t="s">
        <v>1687</v>
      </c>
      <c r="N657" s="162" t="s">
        <v>48</v>
      </c>
      <c r="O657" s="109" t="s">
        <v>48</v>
      </c>
      <c r="P657" s="162" t="s">
        <v>48</v>
      </c>
      <c r="Q657" s="109" t="s">
        <v>48</v>
      </c>
      <c r="R657" s="109" t="s">
        <v>48</v>
      </c>
      <c r="S657" s="109" t="s">
        <v>48</v>
      </c>
      <c r="T657" s="109" t="s">
        <v>48</v>
      </c>
      <c r="U657" s="109" t="s">
        <v>48</v>
      </c>
      <c r="V657" s="166" t="s">
        <v>48</v>
      </c>
      <c r="W657" s="109" t="s">
        <v>1415</v>
      </c>
      <c r="X657" s="109" t="s">
        <v>1415</v>
      </c>
      <c r="Y657" s="109" t="s">
        <v>48</v>
      </c>
      <c r="Z657" s="109" t="s">
        <v>48</v>
      </c>
      <c r="AA657" s="109" t="s">
        <v>48</v>
      </c>
      <c r="AB657" s="109" t="s">
        <v>48</v>
      </c>
      <c r="AC657" s="109" t="s">
        <v>48</v>
      </c>
      <c r="AD657" s="166" t="s">
        <v>48</v>
      </c>
      <c r="AE657" s="174" t="s">
        <v>48</v>
      </c>
      <c r="AF657" s="117" t="s">
        <v>48</v>
      </c>
      <c r="AG657" s="117" t="s">
        <v>48</v>
      </c>
      <c r="AH657" s="109" t="s">
        <v>48</v>
      </c>
      <c r="AI657" s="117" t="s">
        <v>48</v>
      </c>
      <c r="AJ657" s="117" t="s">
        <v>48</v>
      </c>
      <c r="AK657" s="182" t="s">
        <v>48</v>
      </c>
      <c r="AL657" s="109" t="s">
        <v>1415</v>
      </c>
      <c r="AM657" s="109" t="s">
        <v>1415</v>
      </c>
      <c r="AN657" s="109" t="s">
        <v>48</v>
      </c>
      <c r="AO657" s="109" t="s">
        <v>48</v>
      </c>
      <c r="AP657" s="109" t="s">
        <v>48</v>
      </c>
      <c r="AQ657" s="109" t="s">
        <v>48</v>
      </c>
      <c r="AR657" s="109" t="s">
        <v>48</v>
      </c>
      <c r="AS657" s="166" t="s">
        <v>48</v>
      </c>
      <c r="AT657" s="165" t="s">
        <v>1607</v>
      </c>
      <c r="AU657" s="165" t="s">
        <v>1610</v>
      </c>
      <c r="AV657" s="165" t="s">
        <v>1606</v>
      </c>
      <c r="AW657" s="109" t="s">
        <v>48</v>
      </c>
      <c r="AX657" s="109" t="s">
        <v>48</v>
      </c>
      <c r="AY657" s="109" t="s">
        <v>1605</v>
      </c>
      <c r="AZ657" s="109" t="s">
        <v>2390</v>
      </c>
      <c r="BA657" s="162" t="s">
        <v>1788</v>
      </c>
      <c r="BB657" s="109" t="s">
        <v>49</v>
      </c>
      <c r="BC657" s="109" t="s">
        <v>1700</v>
      </c>
    </row>
    <row r="658" spans="1:55" ht="75" hidden="1" customHeight="1">
      <c r="A658" s="109" t="s">
        <v>31</v>
      </c>
      <c r="B658" s="109" t="s">
        <v>2019</v>
      </c>
      <c r="C658" s="117" t="s">
        <v>1398</v>
      </c>
      <c r="D658" s="109" t="s">
        <v>1399</v>
      </c>
      <c r="E658" s="161">
        <v>30000</v>
      </c>
      <c r="F658" s="109" t="s">
        <v>1793</v>
      </c>
      <c r="G658" s="109" t="s">
        <v>1793</v>
      </c>
      <c r="H658" s="109" t="s">
        <v>1962</v>
      </c>
      <c r="I658" s="109" t="s">
        <v>1908</v>
      </c>
      <c r="J658" s="109" t="s">
        <v>1708</v>
      </c>
      <c r="K658" s="109" t="s">
        <v>1708</v>
      </c>
      <c r="L658" s="109" t="s">
        <v>1998</v>
      </c>
      <c r="M658" s="166" t="s">
        <v>1687</v>
      </c>
      <c r="N658" s="162" t="s">
        <v>48</v>
      </c>
      <c r="O658" s="109" t="s">
        <v>48</v>
      </c>
      <c r="P658" s="162" t="s">
        <v>48</v>
      </c>
      <c r="Q658" s="109" t="s">
        <v>48</v>
      </c>
      <c r="R658" s="109" t="s">
        <v>48</v>
      </c>
      <c r="S658" s="109" t="s">
        <v>48</v>
      </c>
      <c r="T658" s="109" t="s">
        <v>48</v>
      </c>
      <c r="U658" s="109" t="s">
        <v>48</v>
      </c>
      <c r="V658" s="166" t="s">
        <v>48</v>
      </c>
      <c r="W658" s="109" t="s">
        <v>1399</v>
      </c>
      <c r="X658" s="109" t="s">
        <v>1399</v>
      </c>
      <c r="Y658" s="109" t="s">
        <v>48</v>
      </c>
      <c r="Z658" s="109" t="s">
        <v>48</v>
      </c>
      <c r="AA658" s="109" t="s">
        <v>48</v>
      </c>
      <c r="AB658" s="109" t="s">
        <v>48</v>
      </c>
      <c r="AC658" s="109" t="s">
        <v>48</v>
      </c>
      <c r="AD658" s="166" t="s">
        <v>48</v>
      </c>
      <c r="AE658" s="174" t="s">
        <v>48</v>
      </c>
      <c r="AF658" s="117" t="s">
        <v>48</v>
      </c>
      <c r="AG658" s="117" t="s">
        <v>48</v>
      </c>
      <c r="AH658" s="109" t="s">
        <v>48</v>
      </c>
      <c r="AI658" s="117" t="s">
        <v>48</v>
      </c>
      <c r="AJ658" s="117" t="s">
        <v>48</v>
      </c>
      <c r="AK658" s="182" t="s">
        <v>48</v>
      </c>
      <c r="AL658" s="109" t="s">
        <v>1399</v>
      </c>
      <c r="AM658" s="109" t="s">
        <v>1399</v>
      </c>
      <c r="AN658" s="109" t="s">
        <v>48</v>
      </c>
      <c r="AO658" s="109" t="s">
        <v>48</v>
      </c>
      <c r="AP658" s="109" t="s">
        <v>48</v>
      </c>
      <c r="AQ658" s="109" t="s">
        <v>48</v>
      </c>
      <c r="AR658" s="109" t="s">
        <v>48</v>
      </c>
      <c r="AS658" s="166" t="s">
        <v>48</v>
      </c>
      <c r="AT658" s="165" t="s">
        <v>1607</v>
      </c>
      <c r="AU658" s="165" t="s">
        <v>1608</v>
      </c>
      <c r="AV658" s="165" t="s">
        <v>1606</v>
      </c>
      <c r="AW658" s="109" t="s">
        <v>48</v>
      </c>
      <c r="AX658" s="109" t="s">
        <v>48</v>
      </c>
      <c r="AY658" s="109" t="s">
        <v>1604</v>
      </c>
      <c r="AZ658" s="109" t="s">
        <v>2390</v>
      </c>
      <c r="BA658" s="162" t="s">
        <v>1788</v>
      </c>
      <c r="BB658" s="109" t="s">
        <v>49</v>
      </c>
      <c r="BC658" s="109" t="s">
        <v>1700</v>
      </c>
    </row>
    <row r="659" spans="1:55" ht="75" hidden="1" customHeight="1">
      <c r="A659" s="109" t="s">
        <v>31</v>
      </c>
      <c r="B659" s="109" t="s">
        <v>2027</v>
      </c>
      <c r="C659" s="117" t="s">
        <v>1398</v>
      </c>
      <c r="D659" s="109" t="s">
        <v>1399</v>
      </c>
      <c r="E659" s="161">
        <v>30000</v>
      </c>
      <c r="F659" s="109" t="s">
        <v>1793</v>
      </c>
      <c r="G659" s="109" t="s">
        <v>1793</v>
      </c>
      <c r="H659" s="109" t="s">
        <v>1962</v>
      </c>
      <c r="I659" s="109" t="s">
        <v>1908</v>
      </c>
      <c r="J659" s="109" t="s">
        <v>1708</v>
      </c>
      <c r="K659" s="109" t="s">
        <v>1708</v>
      </c>
      <c r="L659" s="109" t="s">
        <v>1998</v>
      </c>
      <c r="M659" s="166" t="s">
        <v>1687</v>
      </c>
      <c r="N659" s="162" t="s">
        <v>48</v>
      </c>
      <c r="O659" s="109" t="s">
        <v>48</v>
      </c>
      <c r="P659" s="162" t="s">
        <v>48</v>
      </c>
      <c r="Q659" s="109" t="s">
        <v>48</v>
      </c>
      <c r="R659" s="109" t="s">
        <v>48</v>
      </c>
      <c r="S659" s="109" t="s">
        <v>48</v>
      </c>
      <c r="T659" s="109" t="s">
        <v>48</v>
      </c>
      <c r="U659" s="109" t="s">
        <v>48</v>
      </c>
      <c r="V659" s="166" t="s">
        <v>48</v>
      </c>
      <c r="W659" s="109" t="s">
        <v>1399</v>
      </c>
      <c r="X659" s="109" t="s">
        <v>1399</v>
      </c>
      <c r="Y659" s="109" t="s">
        <v>48</v>
      </c>
      <c r="Z659" s="109" t="s">
        <v>48</v>
      </c>
      <c r="AA659" s="109" t="s">
        <v>48</v>
      </c>
      <c r="AB659" s="109" t="s">
        <v>48</v>
      </c>
      <c r="AC659" s="109" t="s">
        <v>48</v>
      </c>
      <c r="AD659" s="166" t="s">
        <v>48</v>
      </c>
      <c r="AE659" s="174" t="s">
        <v>48</v>
      </c>
      <c r="AF659" s="117" t="s">
        <v>48</v>
      </c>
      <c r="AG659" s="117" t="s">
        <v>48</v>
      </c>
      <c r="AH659" s="109" t="s">
        <v>48</v>
      </c>
      <c r="AI659" s="117" t="s">
        <v>48</v>
      </c>
      <c r="AJ659" s="117" t="s">
        <v>48</v>
      </c>
      <c r="AK659" s="182" t="s">
        <v>48</v>
      </c>
      <c r="AL659" s="109" t="s">
        <v>1399</v>
      </c>
      <c r="AM659" s="109" t="s">
        <v>1399</v>
      </c>
      <c r="AN659" s="109" t="s">
        <v>48</v>
      </c>
      <c r="AO659" s="109" t="s">
        <v>48</v>
      </c>
      <c r="AP659" s="109" t="s">
        <v>48</v>
      </c>
      <c r="AQ659" s="109" t="s">
        <v>48</v>
      </c>
      <c r="AR659" s="109" t="s">
        <v>48</v>
      </c>
      <c r="AS659" s="166" t="s">
        <v>48</v>
      </c>
      <c r="AT659" s="165" t="s">
        <v>1607</v>
      </c>
      <c r="AU659" s="165" t="s">
        <v>1608</v>
      </c>
      <c r="AV659" s="165" t="s">
        <v>1606</v>
      </c>
      <c r="AW659" s="109" t="s">
        <v>48</v>
      </c>
      <c r="AX659" s="109" t="s">
        <v>48</v>
      </c>
      <c r="AY659" s="109" t="s">
        <v>1604</v>
      </c>
      <c r="AZ659" s="109" t="s">
        <v>2390</v>
      </c>
      <c r="BA659" s="162" t="s">
        <v>1788</v>
      </c>
      <c r="BB659" s="109" t="s">
        <v>49</v>
      </c>
      <c r="BC659" s="109" t="s">
        <v>1700</v>
      </c>
    </row>
    <row r="660" spans="1:55" ht="75" hidden="1" customHeight="1">
      <c r="A660" s="109" t="s">
        <v>6</v>
      </c>
      <c r="B660" s="109" t="s">
        <v>6</v>
      </c>
      <c r="C660" s="109" t="s">
        <v>83</v>
      </c>
      <c r="D660" s="109" t="s">
        <v>84</v>
      </c>
      <c r="E660" s="161">
        <v>15000</v>
      </c>
      <c r="F660" s="109" t="s">
        <v>85</v>
      </c>
      <c r="G660" s="109" t="str">
        <f>F660</f>
        <v>91.29I_M4A_0723.d</v>
      </c>
      <c r="H660" s="109" t="s">
        <v>239</v>
      </c>
      <c r="I660" s="109" t="s">
        <v>1908</v>
      </c>
      <c r="J660" s="109" t="s">
        <v>588</v>
      </c>
      <c r="K660" s="109" t="s">
        <v>588</v>
      </c>
      <c r="L660" s="109" t="s">
        <v>257</v>
      </c>
      <c r="M660" s="166" t="s">
        <v>86</v>
      </c>
      <c r="N660" s="162" t="s">
        <v>48</v>
      </c>
      <c r="O660" s="109" t="s">
        <v>48</v>
      </c>
      <c r="P660" s="162" t="s">
        <v>48</v>
      </c>
      <c r="Q660" s="109" t="s">
        <v>48</v>
      </c>
      <c r="R660" s="109" t="s">
        <v>48</v>
      </c>
      <c r="S660" s="109" t="s">
        <v>48</v>
      </c>
      <c r="T660" s="109" t="s">
        <v>48</v>
      </c>
      <c r="U660" s="109" t="s">
        <v>48</v>
      </c>
      <c r="V660" s="166" t="s">
        <v>48</v>
      </c>
      <c r="W660" s="109" t="s">
        <v>84</v>
      </c>
      <c r="X660" s="109" t="s">
        <v>84</v>
      </c>
      <c r="Y660" s="109" t="s">
        <v>48</v>
      </c>
      <c r="Z660" s="109" t="s">
        <v>48</v>
      </c>
      <c r="AA660" s="109" t="s">
        <v>48</v>
      </c>
      <c r="AB660" s="109" t="s">
        <v>48</v>
      </c>
      <c r="AC660" s="109" t="s">
        <v>48</v>
      </c>
      <c r="AD660" s="166" t="s">
        <v>48</v>
      </c>
      <c r="AE660" s="165" t="s">
        <v>48</v>
      </c>
      <c r="AF660" s="109" t="s">
        <v>48</v>
      </c>
      <c r="AG660" s="109" t="s">
        <v>48</v>
      </c>
      <c r="AH660" s="109" t="s">
        <v>48</v>
      </c>
      <c r="AI660" s="109" t="s">
        <v>48</v>
      </c>
      <c r="AJ660" s="109" t="s">
        <v>48</v>
      </c>
      <c r="AK660" s="166" t="s">
        <v>48</v>
      </c>
      <c r="AL660" s="109" t="s">
        <v>84</v>
      </c>
      <c r="AM660" s="109" t="s">
        <v>84</v>
      </c>
      <c r="AN660" s="109" t="s">
        <v>48</v>
      </c>
      <c r="AO660" s="109" t="s">
        <v>48</v>
      </c>
      <c r="AP660" s="109" t="s">
        <v>48</v>
      </c>
      <c r="AQ660" s="109" t="s">
        <v>48</v>
      </c>
      <c r="AR660" s="109" t="s">
        <v>48</v>
      </c>
      <c r="AS660" s="166" t="s">
        <v>48</v>
      </c>
      <c r="AT660" s="165" t="s">
        <v>48</v>
      </c>
      <c r="AU660" s="165" t="s">
        <v>48</v>
      </c>
      <c r="AV660" s="165" t="s">
        <v>48</v>
      </c>
      <c r="AW660" s="109" t="s">
        <v>48</v>
      </c>
      <c r="AX660" s="109" t="s">
        <v>48</v>
      </c>
      <c r="AY660" s="109" t="s">
        <v>48</v>
      </c>
      <c r="AZ660" s="109" t="s">
        <v>48</v>
      </c>
      <c r="BA660" s="162" t="s">
        <v>273</v>
      </c>
      <c r="BB660" s="109" t="s">
        <v>49</v>
      </c>
      <c r="BC660" s="79"/>
    </row>
    <row r="661" spans="1:55" ht="75" customHeight="1">
      <c r="A661" s="109" t="s">
        <v>35</v>
      </c>
      <c r="B661" s="109" t="s">
        <v>2017</v>
      </c>
      <c r="C661" s="109" t="s">
        <v>151</v>
      </c>
      <c r="D661" s="109" t="s">
        <v>474</v>
      </c>
      <c r="E661" s="161">
        <v>15000</v>
      </c>
      <c r="F661" s="109" t="s">
        <v>907</v>
      </c>
      <c r="G661" s="109" t="s">
        <v>907</v>
      </c>
      <c r="H661" s="109" t="s">
        <v>1914</v>
      </c>
      <c r="I661" s="109" t="s">
        <v>2091</v>
      </c>
      <c r="J661" s="109" t="s">
        <v>1904</v>
      </c>
      <c r="K661" s="109" t="s">
        <v>1904</v>
      </c>
      <c r="L661" s="109" t="s">
        <v>1915</v>
      </c>
      <c r="M661" s="166" t="s">
        <v>1905</v>
      </c>
      <c r="N661" s="162" t="s">
        <v>48</v>
      </c>
      <c r="O661" s="109" t="s">
        <v>48</v>
      </c>
      <c r="P661" s="162" t="s">
        <v>48</v>
      </c>
      <c r="Q661" s="109" t="s">
        <v>48</v>
      </c>
      <c r="R661" s="109" t="s">
        <v>48</v>
      </c>
      <c r="S661" s="109" t="s">
        <v>48</v>
      </c>
      <c r="T661" s="109" t="s">
        <v>48</v>
      </c>
      <c r="U661" s="109" t="s">
        <v>48</v>
      </c>
      <c r="V661" s="166" t="s">
        <v>48</v>
      </c>
      <c r="W661" s="109" t="s">
        <v>907</v>
      </c>
      <c r="X661" s="109" t="s">
        <v>474</v>
      </c>
      <c r="Y661" s="109" t="s">
        <v>1954</v>
      </c>
      <c r="Z661" s="109" t="s">
        <v>1908</v>
      </c>
      <c r="AA661" s="109" t="s">
        <v>1921</v>
      </c>
      <c r="AB661" s="109" t="s">
        <v>1922</v>
      </c>
      <c r="AC661" s="109" t="s">
        <v>1946</v>
      </c>
      <c r="AD661" s="166" t="s">
        <v>1119</v>
      </c>
      <c r="AE661" s="174" t="s">
        <v>80</v>
      </c>
      <c r="AF661" s="117" t="s">
        <v>1149</v>
      </c>
      <c r="AG661" s="117" t="s">
        <v>48</v>
      </c>
      <c r="AH661" s="109" t="s">
        <v>48</v>
      </c>
      <c r="AI661" s="117" t="s">
        <v>48</v>
      </c>
      <c r="AJ661" s="117" t="s">
        <v>48</v>
      </c>
      <c r="AK661" s="182" t="s">
        <v>48</v>
      </c>
      <c r="AL661" s="109" t="s">
        <v>907</v>
      </c>
      <c r="AM661" s="109" t="s">
        <v>474</v>
      </c>
      <c r="AN661" s="109" t="s">
        <v>1948</v>
      </c>
      <c r="AO661" s="109" t="s">
        <v>1908</v>
      </c>
      <c r="AP661" s="109" t="s">
        <v>1921</v>
      </c>
      <c r="AQ661" s="109" t="s">
        <v>1921</v>
      </c>
      <c r="AR661" s="109" t="s">
        <v>1946</v>
      </c>
      <c r="AS661" s="166" t="s">
        <v>1119</v>
      </c>
      <c r="AT661" s="165" t="s">
        <v>48</v>
      </c>
      <c r="AU661" s="165" t="s">
        <v>48</v>
      </c>
      <c r="AV661" s="165" t="s">
        <v>48</v>
      </c>
      <c r="AW661" s="109" t="s">
        <v>48</v>
      </c>
      <c r="AX661" s="109" t="s">
        <v>48</v>
      </c>
      <c r="AY661" s="109" t="s">
        <v>48</v>
      </c>
      <c r="AZ661" s="109" t="s">
        <v>48</v>
      </c>
      <c r="BA661" s="162" t="s">
        <v>1243</v>
      </c>
      <c r="BB661" s="109" t="s">
        <v>82</v>
      </c>
      <c r="BC661" s="109"/>
    </row>
    <row r="662" spans="1:55" ht="75" customHeight="1">
      <c r="A662" s="109" t="s">
        <v>35</v>
      </c>
      <c r="B662" s="109" t="s">
        <v>2017</v>
      </c>
      <c r="C662" s="109" t="s">
        <v>151</v>
      </c>
      <c r="D662" s="109" t="s">
        <v>474</v>
      </c>
      <c r="E662" s="161">
        <v>15000</v>
      </c>
      <c r="F662" s="109" t="s">
        <v>907</v>
      </c>
      <c r="G662" s="109" t="s">
        <v>907</v>
      </c>
      <c r="H662" s="109" t="s">
        <v>1914</v>
      </c>
      <c r="I662" s="109" t="s">
        <v>2091</v>
      </c>
      <c r="J662" s="109" t="s">
        <v>1904</v>
      </c>
      <c r="K662" s="109" t="s">
        <v>1904</v>
      </c>
      <c r="L662" s="109" t="s">
        <v>1915</v>
      </c>
      <c r="M662" s="166" t="s">
        <v>1905</v>
      </c>
      <c r="N662" s="162" t="s">
        <v>48</v>
      </c>
      <c r="O662" s="109" t="s">
        <v>48</v>
      </c>
      <c r="P662" s="162" t="s">
        <v>48</v>
      </c>
      <c r="Q662" s="109" t="s">
        <v>48</v>
      </c>
      <c r="R662" s="109" t="s">
        <v>48</v>
      </c>
      <c r="S662" s="109" t="s">
        <v>48</v>
      </c>
      <c r="T662" s="109" t="s">
        <v>48</v>
      </c>
      <c r="U662" s="109" t="s">
        <v>48</v>
      </c>
      <c r="V662" s="166" t="s">
        <v>48</v>
      </c>
      <c r="W662" s="109" t="s">
        <v>1318</v>
      </c>
      <c r="X662" s="109" t="s">
        <v>474</v>
      </c>
      <c r="Y662" s="109" t="s">
        <v>1955</v>
      </c>
      <c r="Z662" s="117" t="s">
        <v>2039</v>
      </c>
      <c r="AA662" s="109" t="s">
        <v>1921</v>
      </c>
      <c r="AB662" s="109" t="s">
        <v>1922</v>
      </c>
      <c r="AC662" s="109" t="s">
        <v>1924</v>
      </c>
      <c r="AD662" s="166" t="s">
        <v>1119</v>
      </c>
      <c r="AE662" s="174" t="s">
        <v>80</v>
      </c>
      <c r="AF662" s="117" t="s">
        <v>1149</v>
      </c>
      <c r="AG662" s="117" t="s">
        <v>48</v>
      </c>
      <c r="AH662" s="109" t="s">
        <v>48</v>
      </c>
      <c r="AI662" s="117" t="s">
        <v>48</v>
      </c>
      <c r="AJ662" s="117" t="s">
        <v>48</v>
      </c>
      <c r="AK662" s="182" t="s">
        <v>48</v>
      </c>
      <c r="AL662" s="109" t="s">
        <v>1318</v>
      </c>
      <c r="AM662" s="109" t="s">
        <v>474</v>
      </c>
      <c r="AN662" s="109" t="s">
        <v>1949</v>
      </c>
      <c r="AO662" s="109" t="s">
        <v>2039</v>
      </c>
      <c r="AP662" s="109" t="s">
        <v>1921</v>
      </c>
      <c r="AQ662" s="109" t="s">
        <v>1921</v>
      </c>
      <c r="AR662" s="109" t="s">
        <v>1924</v>
      </c>
      <c r="AS662" s="166" t="s">
        <v>1119</v>
      </c>
      <c r="AT662" s="165" t="s">
        <v>48</v>
      </c>
      <c r="AU662" s="165" t="s">
        <v>48</v>
      </c>
      <c r="AV662" s="165" t="s">
        <v>48</v>
      </c>
      <c r="AW662" s="109" t="s">
        <v>48</v>
      </c>
      <c r="AX662" s="109" t="s">
        <v>48</v>
      </c>
      <c r="AY662" s="109" t="s">
        <v>48</v>
      </c>
      <c r="AZ662" s="109" t="s">
        <v>48</v>
      </c>
      <c r="BA662" s="162" t="s">
        <v>1243</v>
      </c>
      <c r="BB662" s="109" t="s">
        <v>82</v>
      </c>
      <c r="BC662" s="109"/>
    </row>
    <row r="663" spans="1:55" ht="75" customHeight="1">
      <c r="A663" s="109" t="s">
        <v>34</v>
      </c>
      <c r="B663" s="109" t="s">
        <v>2025</v>
      </c>
      <c r="C663" s="109" t="s">
        <v>151</v>
      </c>
      <c r="D663" s="109" t="s">
        <v>474</v>
      </c>
      <c r="E663" s="161">
        <v>15000</v>
      </c>
      <c r="F663" s="109" t="s">
        <v>474</v>
      </c>
      <c r="G663" s="109" t="s">
        <v>474</v>
      </c>
      <c r="H663" s="109" t="s">
        <v>48</v>
      </c>
      <c r="I663" s="109" t="s">
        <v>48</v>
      </c>
      <c r="J663" s="109" t="s">
        <v>48</v>
      </c>
      <c r="K663" s="109" t="s">
        <v>48</v>
      </c>
      <c r="L663" s="109" t="s">
        <v>48</v>
      </c>
      <c r="M663" s="166" t="s">
        <v>48</v>
      </c>
      <c r="N663" s="162" t="s">
        <v>48</v>
      </c>
      <c r="O663" s="109" t="s">
        <v>48</v>
      </c>
      <c r="P663" s="162" t="s">
        <v>48</v>
      </c>
      <c r="Q663" s="109" t="s">
        <v>48</v>
      </c>
      <c r="R663" s="109" t="s">
        <v>48</v>
      </c>
      <c r="S663" s="109" t="s">
        <v>48</v>
      </c>
      <c r="T663" s="109" t="s">
        <v>48</v>
      </c>
      <c r="U663" s="109" t="s">
        <v>48</v>
      </c>
      <c r="V663" s="166" t="s">
        <v>48</v>
      </c>
      <c r="W663" s="109" t="s">
        <v>474</v>
      </c>
      <c r="X663" s="109" t="s">
        <v>474</v>
      </c>
      <c r="Y663" s="109" t="s">
        <v>48</v>
      </c>
      <c r="Z663" s="109" t="s">
        <v>48</v>
      </c>
      <c r="AA663" s="109" t="s">
        <v>48</v>
      </c>
      <c r="AB663" s="109" t="s">
        <v>48</v>
      </c>
      <c r="AC663" s="109" t="s">
        <v>48</v>
      </c>
      <c r="AD663" s="166" t="s">
        <v>48</v>
      </c>
      <c r="AE663" s="174" t="s">
        <v>80</v>
      </c>
      <c r="AF663" s="117" t="s">
        <v>1149</v>
      </c>
      <c r="AG663" s="117" t="s">
        <v>48</v>
      </c>
      <c r="AH663" s="109" t="s">
        <v>48</v>
      </c>
      <c r="AI663" s="117" t="s">
        <v>48</v>
      </c>
      <c r="AJ663" s="117" t="s">
        <v>48</v>
      </c>
      <c r="AK663" s="182" t="s">
        <v>48</v>
      </c>
      <c r="AL663" s="109" t="s">
        <v>907</v>
      </c>
      <c r="AM663" s="109" t="s">
        <v>474</v>
      </c>
      <c r="AN663" s="109" t="s">
        <v>1948</v>
      </c>
      <c r="AO663" s="109" t="s">
        <v>1908</v>
      </c>
      <c r="AP663" s="109" t="s">
        <v>1921</v>
      </c>
      <c r="AQ663" s="109" t="s">
        <v>1921</v>
      </c>
      <c r="AR663" s="109" t="s">
        <v>1946</v>
      </c>
      <c r="AS663" s="166" t="s">
        <v>1119</v>
      </c>
      <c r="AT663" s="165" t="s">
        <v>48</v>
      </c>
      <c r="AU663" s="165" t="s">
        <v>48</v>
      </c>
      <c r="AV663" s="165" t="s">
        <v>48</v>
      </c>
      <c r="AW663" s="109" t="s">
        <v>48</v>
      </c>
      <c r="AX663" s="109" t="s">
        <v>48</v>
      </c>
      <c r="AY663" s="109" t="s">
        <v>48</v>
      </c>
      <c r="AZ663" s="109" t="s">
        <v>48</v>
      </c>
      <c r="BA663" s="162" t="s">
        <v>1242</v>
      </c>
      <c r="BB663" s="109" t="s">
        <v>82</v>
      </c>
      <c r="BC663" s="109"/>
    </row>
    <row r="664" spans="1:55" ht="75" customHeight="1">
      <c r="A664" s="109" t="s">
        <v>34</v>
      </c>
      <c r="B664" s="109" t="s">
        <v>2025</v>
      </c>
      <c r="C664" s="109" t="s">
        <v>151</v>
      </c>
      <c r="D664" s="109" t="s">
        <v>474</v>
      </c>
      <c r="E664" s="161">
        <v>15000</v>
      </c>
      <c r="F664" s="109" t="s">
        <v>474</v>
      </c>
      <c r="G664" s="109" t="s">
        <v>474</v>
      </c>
      <c r="H664" s="109" t="s">
        <v>48</v>
      </c>
      <c r="I664" s="109" t="s">
        <v>48</v>
      </c>
      <c r="J664" s="109" t="s">
        <v>48</v>
      </c>
      <c r="K664" s="109" t="s">
        <v>48</v>
      </c>
      <c r="L664" s="109" t="s">
        <v>48</v>
      </c>
      <c r="M664" s="109" t="s">
        <v>48</v>
      </c>
      <c r="N664" s="162" t="s">
        <v>48</v>
      </c>
      <c r="O664" s="109" t="s">
        <v>48</v>
      </c>
      <c r="P664" s="162" t="s">
        <v>48</v>
      </c>
      <c r="Q664" s="109" t="s">
        <v>48</v>
      </c>
      <c r="R664" s="109" t="s">
        <v>48</v>
      </c>
      <c r="S664" s="109" t="s">
        <v>48</v>
      </c>
      <c r="T664" s="109" t="s">
        <v>48</v>
      </c>
      <c r="U664" s="109" t="s">
        <v>48</v>
      </c>
      <c r="V664" s="166" t="s">
        <v>48</v>
      </c>
      <c r="W664" s="109" t="s">
        <v>474</v>
      </c>
      <c r="X664" s="109" t="s">
        <v>474</v>
      </c>
      <c r="Y664" s="109" t="s">
        <v>48</v>
      </c>
      <c r="Z664" s="109" t="s">
        <v>48</v>
      </c>
      <c r="AA664" s="109" t="s">
        <v>48</v>
      </c>
      <c r="AB664" s="109" t="s">
        <v>48</v>
      </c>
      <c r="AC664" s="109" t="s">
        <v>48</v>
      </c>
      <c r="AD664" s="166" t="s">
        <v>48</v>
      </c>
      <c r="AE664" s="174" t="s">
        <v>80</v>
      </c>
      <c r="AF664" s="117" t="s">
        <v>1149</v>
      </c>
      <c r="AG664" s="117" t="s">
        <v>48</v>
      </c>
      <c r="AH664" s="109" t="s">
        <v>48</v>
      </c>
      <c r="AI664" s="117" t="s">
        <v>48</v>
      </c>
      <c r="AJ664" s="117" t="s">
        <v>48</v>
      </c>
      <c r="AK664" s="182" t="s">
        <v>48</v>
      </c>
      <c r="AL664" s="109" t="s">
        <v>1318</v>
      </c>
      <c r="AM664" s="109" t="s">
        <v>474</v>
      </c>
      <c r="AN664" s="109" t="s">
        <v>1949</v>
      </c>
      <c r="AO664" s="109" t="s">
        <v>2039</v>
      </c>
      <c r="AP664" s="109" t="s">
        <v>1921</v>
      </c>
      <c r="AQ664" s="109" t="s">
        <v>1921</v>
      </c>
      <c r="AR664" s="109" t="s">
        <v>1924</v>
      </c>
      <c r="AS664" s="109" t="s">
        <v>1119</v>
      </c>
      <c r="AT664" s="165" t="s">
        <v>48</v>
      </c>
      <c r="AU664" s="165" t="s">
        <v>48</v>
      </c>
      <c r="AV664" s="165" t="s">
        <v>48</v>
      </c>
      <c r="AW664" s="109" t="s">
        <v>48</v>
      </c>
      <c r="AX664" s="109" t="s">
        <v>48</v>
      </c>
      <c r="AY664" s="109" t="s">
        <v>48</v>
      </c>
      <c r="AZ664" s="109" t="s">
        <v>48</v>
      </c>
      <c r="BA664" s="162" t="s">
        <v>1242</v>
      </c>
      <c r="BB664" s="109" t="s">
        <v>82</v>
      </c>
      <c r="BC664" s="109"/>
    </row>
    <row r="665" spans="1:55" ht="75" customHeight="1">
      <c r="A665" s="109" t="s">
        <v>35</v>
      </c>
      <c r="B665" s="109" t="s">
        <v>2017</v>
      </c>
      <c r="C665" s="109" t="s">
        <v>151</v>
      </c>
      <c r="D665" s="109" t="s">
        <v>1121</v>
      </c>
      <c r="E665" s="161">
        <v>15000</v>
      </c>
      <c r="F665" s="109" t="s">
        <v>907</v>
      </c>
      <c r="G665" s="109" t="s">
        <v>907</v>
      </c>
      <c r="H665" s="109" t="s">
        <v>1914</v>
      </c>
      <c r="I665" s="109" t="s">
        <v>2091</v>
      </c>
      <c r="J665" s="109" t="s">
        <v>1904</v>
      </c>
      <c r="K665" s="109" t="s">
        <v>1904</v>
      </c>
      <c r="L665" s="109" t="s">
        <v>1915</v>
      </c>
      <c r="M665" s="109" t="s">
        <v>1905</v>
      </c>
      <c r="N665" s="162" t="s">
        <v>48</v>
      </c>
      <c r="O665" s="109" t="s">
        <v>48</v>
      </c>
      <c r="P665" s="162" t="s">
        <v>48</v>
      </c>
      <c r="Q665" s="109" t="s">
        <v>48</v>
      </c>
      <c r="R665" s="109" t="s">
        <v>48</v>
      </c>
      <c r="S665" s="109" t="s">
        <v>48</v>
      </c>
      <c r="T665" s="109" t="s">
        <v>48</v>
      </c>
      <c r="U665" s="109" t="s">
        <v>48</v>
      </c>
      <c r="V665" s="166" t="s">
        <v>48</v>
      </c>
      <c r="W665" s="109" t="s">
        <v>907</v>
      </c>
      <c r="X665" s="109" t="s">
        <v>1121</v>
      </c>
      <c r="Y665" s="109" t="s">
        <v>1954</v>
      </c>
      <c r="Z665" s="109" t="s">
        <v>1908</v>
      </c>
      <c r="AA665" s="109" t="s">
        <v>1921</v>
      </c>
      <c r="AB665" s="109" t="s">
        <v>1921</v>
      </c>
      <c r="AC665" s="109" t="s">
        <v>1946</v>
      </c>
      <c r="AD665" s="166" t="s">
        <v>1119</v>
      </c>
      <c r="AE665" s="174" t="s">
        <v>80</v>
      </c>
      <c r="AF665" s="117" t="s">
        <v>1150</v>
      </c>
      <c r="AG665" s="117" t="s">
        <v>48</v>
      </c>
      <c r="AH665" s="109" t="s">
        <v>48</v>
      </c>
      <c r="AI665" s="117" t="s">
        <v>48</v>
      </c>
      <c r="AJ665" s="117" t="s">
        <v>48</v>
      </c>
      <c r="AK665" s="182" t="s">
        <v>48</v>
      </c>
      <c r="AL665" s="109" t="s">
        <v>907</v>
      </c>
      <c r="AM665" s="109" t="s">
        <v>1121</v>
      </c>
      <c r="AN665" s="109" t="s">
        <v>1948</v>
      </c>
      <c r="AO665" s="109" t="s">
        <v>1908</v>
      </c>
      <c r="AP665" s="109" t="s">
        <v>1921</v>
      </c>
      <c r="AQ665" s="109" t="s">
        <v>1921</v>
      </c>
      <c r="AR665" s="109" t="s">
        <v>1946</v>
      </c>
      <c r="AS665" s="109" t="s">
        <v>1119</v>
      </c>
      <c r="AT665" s="165" t="s">
        <v>48</v>
      </c>
      <c r="AU665" s="165" t="s">
        <v>48</v>
      </c>
      <c r="AV665" s="165" t="s">
        <v>48</v>
      </c>
      <c r="AW665" s="109" t="s">
        <v>48</v>
      </c>
      <c r="AX665" s="109" t="s">
        <v>48</v>
      </c>
      <c r="AY665" s="109" t="s">
        <v>48</v>
      </c>
      <c r="AZ665" s="109" t="s">
        <v>48</v>
      </c>
      <c r="BA665" s="162" t="s">
        <v>1243</v>
      </c>
      <c r="BB665" s="109" t="s">
        <v>82</v>
      </c>
      <c r="BC665" s="109"/>
    </row>
    <row r="666" spans="1:55" ht="75" customHeight="1">
      <c r="A666" s="109" t="s">
        <v>35</v>
      </c>
      <c r="B666" s="109" t="s">
        <v>2017</v>
      </c>
      <c r="C666" s="109" t="s">
        <v>151</v>
      </c>
      <c r="D666" s="109" t="s">
        <v>1121</v>
      </c>
      <c r="E666" s="161">
        <v>15000</v>
      </c>
      <c r="F666" s="109" t="s">
        <v>907</v>
      </c>
      <c r="G666" s="109" t="s">
        <v>907</v>
      </c>
      <c r="H666" s="109" t="s">
        <v>1914</v>
      </c>
      <c r="I666" s="109" t="s">
        <v>2091</v>
      </c>
      <c r="J666" s="109" t="s">
        <v>1904</v>
      </c>
      <c r="K666" s="109" t="s">
        <v>1904</v>
      </c>
      <c r="L666" s="109" t="s">
        <v>1915</v>
      </c>
      <c r="M666" s="109" t="s">
        <v>1905</v>
      </c>
      <c r="N666" s="162" t="s">
        <v>48</v>
      </c>
      <c r="O666" s="109" t="s">
        <v>48</v>
      </c>
      <c r="P666" s="162" t="s">
        <v>48</v>
      </c>
      <c r="Q666" s="109" t="s">
        <v>48</v>
      </c>
      <c r="R666" s="109" t="s">
        <v>48</v>
      </c>
      <c r="S666" s="109" t="s">
        <v>48</v>
      </c>
      <c r="T666" s="109" t="s">
        <v>48</v>
      </c>
      <c r="U666" s="109" t="s">
        <v>48</v>
      </c>
      <c r="V666" s="166" t="s">
        <v>48</v>
      </c>
      <c r="W666" s="109" t="s">
        <v>2644</v>
      </c>
      <c r="X666" s="109" t="s">
        <v>2645</v>
      </c>
      <c r="Y666" s="109" t="s">
        <v>1955</v>
      </c>
      <c r="Z666" s="117" t="s">
        <v>2039</v>
      </c>
      <c r="AA666" s="109" t="s">
        <v>1921</v>
      </c>
      <c r="AB666" s="109" t="s">
        <v>1921</v>
      </c>
      <c r="AC666" s="109" t="s">
        <v>1924</v>
      </c>
      <c r="AD666" s="166" t="s">
        <v>1119</v>
      </c>
      <c r="AE666" s="174" t="s">
        <v>80</v>
      </c>
      <c r="AF666" s="117" t="s">
        <v>1150</v>
      </c>
      <c r="AG666" s="117" t="s">
        <v>48</v>
      </c>
      <c r="AH666" s="109" t="s">
        <v>48</v>
      </c>
      <c r="AI666" s="117" t="s">
        <v>48</v>
      </c>
      <c r="AJ666" s="117" t="s">
        <v>48</v>
      </c>
      <c r="AK666" s="182" t="s">
        <v>48</v>
      </c>
      <c r="AL666" s="109" t="s">
        <v>1318</v>
      </c>
      <c r="AM666" s="109" t="s">
        <v>1121</v>
      </c>
      <c r="AN666" s="109" t="s">
        <v>1949</v>
      </c>
      <c r="AO666" s="109" t="s">
        <v>2039</v>
      </c>
      <c r="AP666" s="109" t="s">
        <v>1921</v>
      </c>
      <c r="AQ666" s="109" t="s">
        <v>1921</v>
      </c>
      <c r="AR666" s="109" t="s">
        <v>1924</v>
      </c>
      <c r="AS666" s="109" t="s">
        <v>1119</v>
      </c>
      <c r="AT666" s="165" t="s">
        <v>48</v>
      </c>
      <c r="AU666" s="165" t="s">
        <v>48</v>
      </c>
      <c r="AV666" s="165" t="s">
        <v>48</v>
      </c>
      <c r="AW666" s="109" t="s">
        <v>48</v>
      </c>
      <c r="AX666" s="109" t="s">
        <v>48</v>
      </c>
      <c r="AY666" s="109" t="s">
        <v>48</v>
      </c>
      <c r="AZ666" s="109" t="s">
        <v>48</v>
      </c>
      <c r="BA666" s="162" t="s">
        <v>1243</v>
      </c>
      <c r="BB666" s="109" t="s">
        <v>82</v>
      </c>
      <c r="BC666" s="109"/>
    </row>
    <row r="667" spans="1:55" ht="75" customHeight="1">
      <c r="A667" s="109" t="s">
        <v>34</v>
      </c>
      <c r="B667" s="109" t="s">
        <v>2025</v>
      </c>
      <c r="C667" s="109" t="s">
        <v>151</v>
      </c>
      <c r="D667" s="109" t="s">
        <v>1121</v>
      </c>
      <c r="E667" s="161">
        <v>15000</v>
      </c>
      <c r="F667" s="109" t="s">
        <v>1121</v>
      </c>
      <c r="G667" s="109" t="s">
        <v>1121</v>
      </c>
      <c r="H667" s="109" t="s">
        <v>48</v>
      </c>
      <c r="I667" s="109" t="s">
        <v>48</v>
      </c>
      <c r="J667" s="109" t="s">
        <v>48</v>
      </c>
      <c r="K667" s="109" t="s">
        <v>48</v>
      </c>
      <c r="L667" s="109" t="s">
        <v>48</v>
      </c>
      <c r="M667" s="166" t="s">
        <v>48</v>
      </c>
      <c r="N667" s="162" t="s">
        <v>48</v>
      </c>
      <c r="O667" s="109" t="s">
        <v>48</v>
      </c>
      <c r="P667" s="162" t="s">
        <v>48</v>
      </c>
      <c r="Q667" s="109" t="s">
        <v>48</v>
      </c>
      <c r="R667" s="109" t="s">
        <v>48</v>
      </c>
      <c r="S667" s="109" t="s">
        <v>48</v>
      </c>
      <c r="T667" s="109" t="s">
        <v>48</v>
      </c>
      <c r="U667" s="109" t="s">
        <v>48</v>
      </c>
      <c r="V667" s="166" t="s">
        <v>48</v>
      </c>
      <c r="W667" s="109" t="s">
        <v>1121</v>
      </c>
      <c r="X667" s="109" t="s">
        <v>1121</v>
      </c>
      <c r="Y667" s="109" t="s">
        <v>48</v>
      </c>
      <c r="Z667" s="109" t="s">
        <v>48</v>
      </c>
      <c r="AA667" s="109" t="s">
        <v>48</v>
      </c>
      <c r="AB667" s="109" t="s">
        <v>48</v>
      </c>
      <c r="AC667" s="109" t="s">
        <v>48</v>
      </c>
      <c r="AD667" s="166" t="s">
        <v>48</v>
      </c>
      <c r="AE667" s="174" t="s">
        <v>80</v>
      </c>
      <c r="AF667" s="117" t="s">
        <v>1150</v>
      </c>
      <c r="AG667" s="117" t="s">
        <v>48</v>
      </c>
      <c r="AH667" s="109" t="s">
        <v>48</v>
      </c>
      <c r="AI667" s="117" t="s">
        <v>48</v>
      </c>
      <c r="AJ667" s="117" t="s">
        <v>48</v>
      </c>
      <c r="AK667" s="182" t="s">
        <v>48</v>
      </c>
      <c r="AL667" s="109" t="s">
        <v>907</v>
      </c>
      <c r="AM667" s="109" t="s">
        <v>1121</v>
      </c>
      <c r="AN667" s="109" t="s">
        <v>1948</v>
      </c>
      <c r="AO667" s="109" t="s">
        <v>1908</v>
      </c>
      <c r="AP667" s="109" t="s">
        <v>1921</v>
      </c>
      <c r="AQ667" s="109" t="s">
        <v>1921</v>
      </c>
      <c r="AR667" s="109" t="s">
        <v>1946</v>
      </c>
      <c r="AS667" s="166" t="s">
        <v>1119</v>
      </c>
      <c r="AT667" s="165" t="s">
        <v>48</v>
      </c>
      <c r="AU667" s="109" t="s">
        <v>48</v>
      </c>
      <c r="AV667" s="109" t="s">
        <v>48</v>
      </c>
      <c r="AW667" s="109" t="s">
        <v>48</v>
      </c>
      <c r="AX667" s="109" t="s">
        <v>48</v>
      </c>
      <c r="AY667" s="109" t="s">
        <v>48</v>
      </c>
      <c r="AZ667" s="166" t="s">
        <v>48</v>
      </c>
      <c r="BA667" s="162" t="s">
        <v>1242</v>
      </c>
      <c r="BB667" s="109" t="s">
        <v>82</v>
      </c>
      <c r="BC667" s="109"/>
    </row>
    <row r="668" spans="1:55" ht="75" customHeight="1">
      <c r="A668" s="109" t="s">
        <v>34</v>
      </c>
      <c r="B668" s="109" t="s">
        <v>2025</v>
      </c>
      <c r="C668" s="109" t="s">
        <v>151</v>
      </c>
      <c r="D668" s="109" t="s">
        <v>1121</v>
      </c>
      <c r="E668" s="161">
        <v>15000</v>
      </c>
      <c r="F668" s="109" t="s">
        <v>1121</v>
      </c>
      <c r="G668" s="109" t="s">
        <v>1121</v>
      </c>
      <c r="H668" s="109" t="s">
        <v>48</v>
      </c>
      <c r="I668" s="109" t="s">
        <v>48</v>
      </c>
      <c r="J668" s="109" t="s">
        <v>48</v>
      </c>
      <c r="K668" s="109" t="s">
        <v>48</v>
      </c>
      <c r="L668" s="109" t="s">
        <v>48</v>
      </c>
      <c r="M668" s="166" t="s">
        <v>48</v>
      </c>
      <c r="N668" s="162" t="s">
        <v>48</v>
      </c>
      <c r="O668" s="109" t="s">
        <v>48</v>
      </c>
      <c r="P668" s="162" t="s">
        <v>48</v>
      </c>
      <c r="Q668" s="109" t="s">
        <v>48</v>
      </c>
      <c r="R668" s="109" t="s">
        <v>48</v>
      </c>
      <c r="S668" s="109" t="s">
        <v>48</v>
      </c>
      <c r="T668" s="109" t="s">
        <v>48</v>
      </c>
      <c r="U668" s="109" t="s">
        <v>48</v>
      </c>
      <c r="V668" s="166" t="s">
        <v>48</v>
      </c>
      <c r="W668" s="109" t="s">
        <v>1121</v>
      </c>
      <c r="X668" s="109" t="s">
        <v>1121</v>
      </c>
      <c r="Y668" s="109" t="s">
        <v>48</v>
      </c>
      <c r="Z668" s="109" t="s">
        <v>48</v>
      </c>
      <c r="AA668" s="109" t="s">
        <v>48</v>
      </c>
      <c r="AB668" s="109" t="s">
        <v>48</v>
      </c>
      <c r="AC668" s="109" t="s">
        <v>48</v>
      </c>
      <c r="AD668" s="166" t="s">
        <v>48</v>
      </c>
      <c r="AE668" s="174" t="s">
        <v>80</v>
      </c>
      <c r="AF668" s="117" t="s">
        <v>1150</v>
      </c>
      <c r="AG668" s="117" t="s">
        <v>48</v>
      </c>
      <c r="AH668" s="109" t="s">
        <v>48</v>
      </c>
      <c r="AI668" s="117" t="s">
        <v>48</v>
      </c>
      <c r="AJ668" s="117" t="s">
        <v>48</v>
      </c>
      <c r="AK668" s="182" t="s">
        <v>48</v>
      </c>
      <c r="AL668" s="109" t="s">
        <v>1318</v>
      </c>
      <c r="AM668" s="109" t="s">
        <v>1121</v>
      </c>
      <c r="AN668" s="109" t="s">
        <v>1949</v>
      </c>
      <c r="AO668" s="109" t="s">
        <v>2039</v>
      </c>
      <c r="AP668" s="109" t="s">
        <v>1921</v>
      </c>
      <c r="AQ668" s="109" t="s">
        <v>1921</v>
      </c>
      <c r="AR668" s="109" t="s">
        <v>1924</v>
      </c>
      <c r="AS668" s="166" t="s">
        <v>1119</v>
      </c>
      <c r="AT668" s="165" t="s">
        <v>48</v>
      </c>
      <c r="AU668" s="109" t="s">
        <v>48</v>
      </c>
      <c r="AV668" s="109" t="s">
        <v>48</v>
      </c>
      <c r="AW668" s="109" t="s">
        <v>48</v>
      </c>
      <c r="AX668" s="109" t="s">
        <v>48</v>
      </c>
      <c r="AY668" s="109" t="s">
        <v>48</v>
      </c>
      <c r="AZ668" s="166" t="s">
        <v>48</v>
      </c>
      <c r="BA668" s="162" t="s">
        <v>1242</v>
      </c>
      <c r="BB668" s="109" t="s">
        <v>82</v>
      </c>
      <c r="BC668" s="109"/>
    </row>
    <row r="669" spans="1:55" ht="75" customHeight="1">
      <c r="A669" s="109" t="s">
        <v>35</v>
      </c>
      <c r="B669" s="109" t="s">
        <v>2017</v>
      </c>
      <c r="C669" s="109" t="s">
        <v>151</v>
      </c>
      <c r="D669" s="109" t="s">
        <v>1122</v>
      </c>
      <c r="E669" s="161">
        <v>15000</v>
      </c>
      <c r="F669" s="109" t="s">
        <v>907</v>
      </c>
      <c r="G669" s="109" t="s">
        <v>907</v>
      </c>
      <c r="H669" s="109" t="s">
        <v>1914</v>
      </c>
      <c r="I669" s="109" t="s">
        <v>2091</v>
      </c>
      <c r="J669" s="109" t="s">
        <v>1904</v>
      </c>
      <c r="K669" s="109" t="s">
        <v>1904</v>
      </c>
      <c r="L669" s="109" t="s">
        <v>1915</v>
      </c>
      <c r="M669" s="166" t="s">
        <v>1905</v>
      </c>
      <c r="N669" s="162" t="s">
        <v>48</v>
      </c>
      <c r="O669" s="109" t="s">
        <v>48</v>
      </c>
      <c r="P669" s="162" t="s">
        <v>48</v>
      </c>
      <c r="Q669" s="109" t="s">
        <v>48</v>
      </c>
      <c r="R669" s="109" t="s">
        <v>48</v>
      </c>
      <c r="S669" s="109" t="s">
        <v>48</v>
      </c>
      <c r="T669" s="109" t="s">
        <v>48</v>
      </c>
      <c r="U669" s="109" t="s">
        <v>48</v>
      </c>
      <c r="V669" s="166" t="s">
        <v>48</v>
      </c>
      <c r="W669" s="109" t="s">
        <v>907</v>
      </c>
      <c r="X669" s="109" t="s">
        <v>1122</v>
      </c>
      <c r="Y669" s="109" t="s">
        <v>1954</v>
      </c>
      <c r="Z669" s="109" t="s">
        <v>1908</v>
      </c>
      <c r="AA669" s="109" t="s">
        <v>1921</v>
      </c>
      <c r="AB669" s="109" t="s">
        <v>1921</v>
      </c>
      <c r="AC669" s="109" t="s">
        <v>1946</v>
      </c>
      <c r="AD669" s="166" t="s">
        <v>1119</v>
      </c>
      <c r="AE669" s="174" t="s">
        <v>48</v>
      </c>
      <c r="AF669" s="117" t="s">
        <v>48</v>
      </c>
      <c r="AG669" s="117" t="s">
        <v>48</v>
      </c>
      <c r="AH669" s="109" t="s">
        <v>48</v>
      </c>
      <c r="AI669" s="117" t="s">
        <v>48</v>
      </c>
      <c r="AJ669" s="117" t="s">
        <v>48</v>
      </c>
      <c r="AK669" s="182" t="s">
        <v>48</v>
      </c>
      <c r="AL669" s="109" t="s">
        <v>907</v>
      </c>
      <c r="AM669" s="109" t="s">
        <v>1122</v>
      </c>
      <c r="AN669" s="109" t="s">
        <v>1948</v>
      </c>
      <c r="AO669" s="109" t="s">
        <v>1908</v>
      </c>
      <c r="AP669" s="109" t="s">
        <v>1921</v>
      </c>
      <c r="AQ669" s="109" t="s">
        <v>1921</v>
      </c>
      <c r="AR669" s="109" t="s">
        <v>1946</v>
      </c>
      <c r="AS669" s="166" t="s">
        <v>1119</v>
      </c>
      <c r="AT669" s="165" t="s">
        <v>48</v>
      </c>
      <c r="AU669" s="109" t="s">
        <v>48</v>
      </c>
      <c r="AV669" s="109" t="s">
        <v>48</v>
      </c>
      <c r="AW669" s="109" t="s">
        <v>48</v>
      </c>
      <c r="AX669" s="109" t="s">
        <v>48</v>
      </c>
      <c r="AY669" s="109" t="s">
        <v>48</v>
      </c>
      <c r="AZ669" s="166" t="s">
        <v>48</v>
      </c>
      <c r="BA669" s="162" t="s">
        <v>1243</v>
      </c>
      <c r="BB669" s="109" t="s">
        <v>82</v>
      </c>
      <c r="BC669" s="109"/>
    </row>
    <row r="670" spans="1:55" ht="75" customHeight="1">
      <c r="A670" s="109" t="s">
        <v>35</v>
      </c>
      <c r="B670" s="109" t="s">
        <v>2017</v>
      </c>
      <c r="C670" s="109" t="s">
        <v>151</v>
      </c>
      <c r="D670" s="109" t="s">
        <v>1122</v>
      </c>
      <c r="E670" s="161">
        <v>15000</v>
      </c>
      <c r="F670" s="109" t="s">
        <v>907</v>
      </c>
      <c r="G670" s="109" t="s">
        <v>907</v>
      </c>
      <c r="H670" s="109" t="s">
        <v>1914</v>
      </c>
      <c r="I670" s="109" t="s">
        <v>2091</v>
      </c>
      <c r="J670" s="109" t="s">
        <v>1904</v>
      </c>
      <c r="K670" s="109" t="s">
        <v>1904</v>
      </c>
      <c r="L670" s="109" t="s">
        <v>1915</v>
      </c>
      <c r="M670" s="166" t="s">
        <v>1905</v>
      </c>
      <c r="N670" s="162" t="s">
        <v>48</v>
      </c>
      <c r="O670" s="109" t="s">
        <v>48</v>
      </c>
      <c r="P670" s="162" t="s">
        <v>48</v>
      </c>
      <c r="Q670" s="109" t="s">
        <v>48</v>
      </c>
      <c r="R670" s="109" t="s">
        <v>48</v>
      </c>
      <c r="S670" s="109" t="s">
        <v>48</v>
      </c>
      <c r="T670" s="109" t="s">
        <v>48</v>
      </c>
      <c r="U670" s="109" t="s">
        <v>48</v>
      </c>
      <c r="V670" s="166" t="s">
        <v>48</v>
      </c>
      <c r="W670" s="109" t="s">
        <v>1318</v>
      </c>
      <c r="X670" s="109" t="s">
        <v>2645</v>
      </c>
      <c r="Y670" s="109" t="s">
        <v>1955</v>
      </c>
      <c r="Z670" s="117" t="s">
        <v>2039</v>
      </c>
      <c r="AA670" s="109" t="s">
        <v>1921</v>
      </c>
      <c r="AB670" s="109" t="s">
        <v>1921</v>
      </c>
      <c r="AC670" s="109" t="s">
        <v>1924</v>
      </c>
      <c r="AD670" s="166" t="s">
        <v>1119</v>
      </c>
      <c r="AE670" s="174" t="s">
        <v>48</v>
      </c>
      <c r="AF670" s="117" t="s">
        <v>48</v>
      </c>
      <c r="AG670" s="117" t="s">
        <v>48</v>
      </c>
      <c r="AH670" s="109" t="s">
        <v>48</v>
      </c>
      <c r="AI670" s="117" t="s">
        <v>48</v>
      </c>
      <c r="AJ670" s="117" t="s">
        <v>48</v>
      </c>
      <c r="AK670" s="182" t="s">
        <v>48</v>
      </c>
      <c r="AL670" s="109" t="s">
        <v>1318</v>
      </c>
      <c r="AM670" s="109" t="s">
        <v>1122</v>
      </c>
      <c r="AN670" s="109" t="s">
        <v>1949</v>
      </c>
      <c r="AO670" s="109" t="s">
        <v>2039</v>
      </c>
      <c r="AP670" s="109" t="s">
        <v>1921</v>
      </c>
      <c r="AQ670" s="109" t="s">
        <v>1921</v>
      </c>
      <c r="AR670" s="109" t="s">
        <v>1924</v>
      </c>
      <c r="AS670" s="166" t="s">
        <v>1119</v>
      </c>
      <c r="AT670" s="165" t="s">
        <v>48</v>
      </c>
      <c r="AU670" s="109" t="s">
        <v>48</v>
      </c>
      <c r="AV670" s="109" t="s">
        <v>48</v>
      </c>
      <c r="AW670" s="109" t="s">
        <v>48</v>
      </c>
      <c r="AX670" s="109" t="s">
        <v>48</v>
      </c>
      <c r="AY670" s="109" t="s">
        <v>48</v>
      </c>
      <c r="AZ670" s="166" t="s">
        <v>48</v>
      </c>
      <c r="BA670" s="162" t="s">
        <v>1243</v>
      </c>
      <c r="BB670" s="109" t="s">
        <v>82</v>
      </c>
      <c r="BC670" s="109"/>
    </row>
    <row r="671" spans="1:55" ht="75" customHeight="1">
      <c r="A671" s="109" t="s">
        <v>34</v>
      </c>
      <c r="B671" s="109" t="s">
        <v>2025</v>
      </c>
      <c r="C671" s="109" t="s">
        <v>151</v>
      </c>
      <c r="D671" s="109" t="s">
        <v>1122</v>
      </c>
      <c r="E671" s="161">
        <v>15000</v>
      </c>
      <c r="F671" s="109" t="s">
        <v>1122</v>
      </c>
      <c r="G671" s="109" t="s">
        <v>1122</v>
      </c>
      <c r="H671" s="109" t="s">
        <v>48</v>
      </c>
      <c r="I671" s="109" t="s">
        <v>48</v>
      </c>
      <c r="J671" s="109" t="s">
        <v>48</v>
      </c>
      <c r="K671" s="109" t="s">
        <v>48</v>
      </c>
      <c r="L671" s="109" t="s">
        <v>48</v>
      </c>
      <c r="M671" s="166" t="s">
        <v>48</v>
      </c>
      <c r="N671" s="162" t="s">
        <v>48</v>
      </c>
      <c r="O671" s="109" t="s">
        <v>48</v>
      </c>
      <c r="P671" s="162" t="s">
        <v>48</v>
      </c>
      <c r="Q671" s="109" t="s">
        <v>48</v>
      </c>
      <c r="R671" s="109" t="s">
        <v>48</v>
      </c>
      <c r="S671" s="109" t="s">
        <v>48</v>
      </c>
      <c r="T671" s="109" t="s">
        <v>48</v>
      </c>
      <c r="U671" s="109" t="s">
        <v>48</v>
      </c>
      <c r="V671" s="166" t="s">
        <v>48</v>
      </c>
      <c r="W671" s="109" t="s">
        <v>1122</v>
      </c>
      <c r="X671" s="109" t="s">
        <v>1122</v>
      </c>
      <c r="Y671" s="109" t="s">
        <v>48</v>
      </c>
      <c r="Z671" s="109" t="s">
        <v>48</v>
      </c>
      <c r="AA671" s="109" t="s">
        <v>48</v>
      </c>
      <c r="AB671" s="109" t="s">
        <v>48</v>
      </c>
      <c r="AC671" s="109" t="s">
        <v>48</v>
      </c>
      <c r="AD671" s="166" t="s">
        <v>48</v>
      </c>
      <c r="AE671" s="174" t="s">
        <v>48</v>
      </c>
      <c r="AF671" s="117" t="s">
        <v>48</v>
      </c>
      <c r="AG671" s="117" t="s">
        <v>48</v>
      </c>
      <c r="AH671" s="109" t="s">
        <v>48</v>
      </c>
      <c r="AI671" s="117" t="s">
        <v>48</v>
      </c>
      <c r="AJ671" s="117" t="s">
        <v>48</v>
      </c>
      <c r="AK671" s="182" t="s">
        <v>48</v>
      </c>
      <c r="AL671" s="109" t="s">
        <v>907</v>
      </c>
      <c r="AM671" s="109" t="s">
        <v>1122</v>
      </c>
      <c r="AN671" s="109" t="s">
        <v>1948</v>
      </c>
      <c r="AO671" s="109" t="s">
        <v>1908</v>
      </c>
      <c r="AP671" s="109" t="s">
        <v>1921</v>
      </c>
      <c r="AQ671" s="109" t="s">
        <v>1921</v>
      </c>
      <c r="AR671" s="109" t="s">
        <v>1946</v>
      </c>
      <c r="AS671" s="166" t="s">
        <v>1119</v>
      </c>
      <c r="AT671" s="165" t="s">
        <v>48</v>
      </c>
      <c r="AU671" s="109" t="s">
        <v>48</v>
      </c>
      <c r="AV671" s="109" t="s">
        <v>48</v>
      </c>
      <c r="AW671" s="109" t="s">
        <v>48</v>
      </c>
      <c r="AX671" s="109" t="s">
        <v>48</v>
      </c>
      <c r="AY671" s="109" t="s">
        <v>48</v>
      </c>
      <c r="AZ671" s="166" t="s">
        <v>48</v>
      </c>
      <c r="BA671" s="162" t="s">
        <v>1242</v>
      </c>
      <c r="BB671" s="109" t="s">
        <v>82</v>
      </c>
      <c r="BC671" s="109"/>
    </row>
    <row r="672" spans="1:55" ht="75" customHeight="1">
      <c r="A672" s="109" t="s">
        <v>34</v>
      </c>
      <c r="B672" s="109" t="s">
        <v>2025</v>
      </c>
      <c r="C672" s="109" t="s">
        <v>151</v>
      </c>
      <c r="D672" s="109" t="s">
        <v>1122</v>
      </c>
      <c r="E672" s="161">
        <v>15000</v>
      </c>
      <c r="F672" s="109" t="s">
        <v>1122</v>
      </c>
      <c r="G672" s="109" t="s">
        <v>1122</v>
      </c>
      <c r="H672" s="109" t="s">
        <v>48</v>
      </c>
      <c r="I672" s="109" t="s">
        <v>48</v>
      </c>
      <c r="J672" s="109" t="s">
        <v>48</v>
      </c>
      <c r="K672" s="109" t="s">
        <v>48</v>
      </c>
      <c r="L672" s="109" t="s">
        <v>48</v>
      </c>
      <c r="M672" s="166" t="s">
        <v>48</v>
      </c>
      <c r="N672" s="162" t="s">
        <v>48</v>
      </c>
      <c r="O672" s="109" t="s">
        <v>48</v>
      </c>
      <c r="P672" s="162" t="s">
        <v>48</v>
      </c>
      <c r="Q672" s="109" t="s">
        <v>48</v>
      </c>
      <c r="R672" s="109" t="s">
        <v>48</v>
      </c>
      <c r="S672" s="109" t="s">
        <v>48</v>
      </c>
      <c r="T672" s="109" t="s">
        <v>48</v>
      </c>
      <c r="U672" s="109" t="s">
        <v>48</v>
      </c>
      <c r="V672" s="166" t="s">
        <v>48</v>
      </c>
      <c r="W672" s="109" t="s">
        <v>1122</v>
      </c>
      <c r="X672" s="109" t="s">
        <v>1122</v>
      </c>
      <c r="Y672" s="109" t="s">
        <v>48</v>
      </c>
      <c r="Z672" s="109" t="s">
        <v>48</v>
      </c>
      <c r="AA672" s="109" t="s">
        <v>48</v>
      </c>
      <c r="AB672" s="109" t="s">
        <v>48</v>
      </c>
      <c r="AC672" s="109" t="s">
        <v>48</v>
      </c>
      <c r="AD672" s="166" t="s">
        <v>48</v>
      </c>
      <c r="AE672" s="174" t="s">
        <v>48</v>
      </c>
      <c r="AF672" s="117" t="s">
        <v>48</v>
      </c>
      <c r="AG672" s="117" t="s">
        <v>48</v>
      </c>
      <c r="AH672" s="109" t="s">
        <v>48</v>
      </c>
      <c r="AI672" s="117" t="s">
        <v>48</v>
      </c>
      <c r="AJ672" s="117" t="s">
        <v>48</v>
      </c>
      <c r="AK672" s="182" t="s">
        <v>48</v>
      </c>
      <c r="AL672" s="109" t="s">
        <v>1318</v>
      </c>
      <c r="AM672" s="109" t="s">
        <v>1122</v>
      </c>
      <c r="AN672" s="109" t="s">
        <v>1949</v>
      </c>
      <c r="AO672" s="109" t="s">
        <v>2039</v>
      </c>
      <c r="AP672" s="109" t="s">
        <v>1921</v>
      </c>
      <c r="AQ672" s="109" t="s">
        <v>1921</v>
      </c>
      <c r="AR672" s="109" t="s">
        <v>1924</v>
      </c>
      <c r="AS672" s="166" t="s">
        <v>1119</v>
      </c>
      <c r="AT672" s="165" t="s">
        <v>48</v>
      </c>
      <c r="AU672" s="109" t="s">
        <v>48</v>
      </c>
      <c r="AV672" s="109" t="s">
        <v>48</v>
      </c>
      <c r="AW672" s="109" t="s">
        <v>48</v>
      </c>
      <c r="AX672" s="109" t="s">
        <v>48</v>
      </c>
      <c r="AY672" s="109" t="s">
        <v>48</v>
      </c>
      <c r="AZ672" s="166" t="s">
        <v>48</v>
      </c>
      <c r="BA672" s="162" t="s">
        <v>1242</v>
      </c>
      <c r="BB672" s="109" t="s">
        <v>82</v>
      </c>
      <c r="BC672" s="109"/>
    </row>
    <row r="673" spans="1:55" ht="75" customHeight="1">
      <c r="A673" s="109" t="s">
        <v>35</v>
      </c>
      <c r="B673" s="109" t="s">
        <v>2017</v>
      </c>
      <c r="C673" s="109" t="s">
        <v>151</v>
      </c>
      <c r="D673" s="109" t="s">
        <v>155</v>
      </c>
      <c r="E673" s="161">
        <v>15000</v>
      </c>
      <c r="F673" s="109" t="s">
        <v>907</v>
      </c>
      <c r="G673" s="109" t="s">
        <v>907</v>
      </c>
      <c r="H673" s="109" t="s">
        <v>1914</v>
      </c>
      <c r="I673" s="109" t="s">
        <v>2091</v>
      </c>
      <c r="J673" s="109" t="s">
        <v>1904</v>
      </c>
      <c r="K673" s="109" t="s">
        <v>1904</v>
      </c>
      <c r="L673" s="109" t="s">
        <v>1915</v>
      </c>
      <c r="M673" s="166" t="s">
        <v>1905</v>
      </c>
      <c r="N673" s="162" t="s">
        <v>48</v>
      </c>
      <c r="O673" s="109" t="s">
        <v>48</v>
      </c>
      <c r="P673" s="162" t="s">
        <v>48</v>
      </c>
      <c r="Q673" s="109" t="s">
        <v>48</v>
      </c>
      <c r="R673" s="109" t="s">
        <v>48</v>
      </c>
      <c r="S673" s="109" t="s">
        <v>48</v>
      </c>
      <c r="T673" s="109" t="s">
        <v>48</v>
      </c>
      <c r="U673" s="109" t="s">
        <v>48</v>
      </c>
      <c r="V673" s="166" t="s">
        <v>48</v>
      </c>
      <c r="W673" s="109" t="s">
        <v>907</v>
      </c>
      <c r="X673" s="109" t="s">
        <v>155</v>
      </c>
      <c r="Y673" s="109" t="s">
        <v>1954</v>
      </c>
      <c r="Z673" s="109" t="s">
        <v>1908</v>
      </c>
      <c r="AA673" s="109" t="s">
        <v>1921</v>
      </c>
      <c r="AB673" s="109" t="s">
        <v>1921</v>
      </c>
      <c r="AC673" s="109" t="s">
        <v>1946</v>
      </c>
      <c r="AD673" s="166" t="s">
        <v>1923</v>
      </c>
      <c r="AE673" s="174" t="s">
        <v>80</v>
      </c>
      <c r="AF673" s="117" t="s">
        <v>515</v>
      </c>
      <c r="AG673" s="117" t="s">
        <v>1151</v>
      </c>
      <c r="AH673" s="109" t="s">
        <v>1908</v>
      </c>
      <c r="AI673" s="117" t="s">
        <v>589</v>
      </c>
      <c r="AJ673" s="117" t="s">
        <v>259</v>
      </c>
      <c r="AK673" s="182" t="s">
        <v>470</v>
      </c>
      <c r="AL673" s="109" t="s">
        <v>907</v>
      </c>
      <c r="AM673" s="109" t="s">
        <v>155</v>
      </c>
      <c r="AN673" s="109" t="s">
        <v>1948</v>
      </c>
      <c r="AO673" s="109" t="s">
        <v>1908</v>
      </c>
      <c r="AP673" s="109" t="s">
        <v>1921</v>
      </c>
      <c r="AQ673" s="109" t="s">
        <v>1921</v>
      </c>
      <c r="AR673" s="109" t="s">
        <v>1946</v>
      </c>
      <c r="AS673" s="166" t="s">
        <v>1119</v>
      </c>
      <c r="AT673" s="165" t="s">
        <v>48</v>
      </c>
      <c r="AU673" s="109" t="s">
        <v>48</v>
      </c>
      <c r="AV673" s="109" t="s">
        <v>48</v>
      </c>
      <c r="AW673" s="109" t="s">
        <v>48</v>
      </c>
      <c r="AX673" s="109" t="s">
        <v>48</v>
      </c>
      <c r="AY673" s="109" t="s">
        <v>48</v>
      </c>
      <c r="AZ673" s="166" t="s">
        <v>48</v>
      </c>
      <c r="BA673" s="162" t="s">
        <v>1243</v>
      </c>
      <c r="BB673" s="109" t="s">
        <v>82</v>
      </c>
      <c r="BC673" s="109"/>
    </row>
    <row r="674" spans="1:55" ht="75" customHeight="1">
      <c r="A674" s="109" t="s">
        <v>35</v>
      </c>
      <c r="B674" s="109" t="s">
        <v>2017</v>
      </c>
      <c r="C674" s="109" t="s">
        <v>151</v>
      </c>
      <c r="D674" s="109" t="s">
        <v>155</v>
      </c>
      <c r="E674" s="161">
        <v>15000</v>
      </c>
      <c r="F674" s="109" t="s">
        <v>907</v>
      </c>
      <c r="G674" s="109" t="s">
        <v>907</v>
      </c>
      <c r="H674" s="109" t="s">
        <v>1914</v>
      </c>
      <c r="I674" s="109" t="s">
        <v>2091</v>
      </c>
      <c r="J674" s="109" t="s">
        <v>1904</v>
      </c>
      <c r="K674" s="109" t="s">
        <v>1904</v>
      </c>
      <c r="L674" s="109" t="s">
        <v>1915</v>
      </c>
      <c r="M674" s="166" t="s">
        <v>1905</v>
      </c>
      <c r="N674" s="162" t="s">
        <v>48</v>
      </c>
      <c r="O674" s="109" t="s">
        <v>48</v>
      </c>
      <c r="P674" s="162" t="s">
        <v>48</v>
      </c>
      <c r="Q674" s="109" t="s">
        <v>48</v>
      </c>
      <c r="R674" s="109" t="s">
        <v>48</v>
      </c>
      <c r="S674" s="109" t="s">
        <v>48</v>
      </c>
      <c r="T674" s="109" t="s">
        <v>48</v>
      </c>
      <c r="U674" s="109" t="s">
        <v>48</v>
      </c>
      <c r="V674" s="166" t="s">
        <v>48</v>
      </c>
      <c r="W674" s="109" t="s">
        <v>1318</v>
      </c>
      <c r="X674" s="109" t="s">
        <v>155</v>
      </c>
      <c r="Y674" s="109" t="s">
        <v>1955</v>
      </c>
      <c r="Z674" s="117" t="s">
        <v>2039</v>
      </c>
      <c r="AA674" s="109" t="s">
        <v>1921</v>
      </c>
      <c r="AB674" s="109" t="s">
        <v>1921</v>
      </c>
      <c r="AC674" s="109" t="s">
        <v>1924</v>
      </c>
      <c r="AD674" s="166" t="s">
        <v>1923</v>
      </c>
      <c r="AE674" s="174" t="s">
        <v>80</v>
      </c>
      <c r="AF674" s="117" t="s">
        <v>515</v>
      </c>
      <c r="AG674" s="117" t="s">
        <v>1151</v>
      </c>
      <c r="AH674" s="109" t="s">
        <v>1908</v>
      </c>
      <c r="AI674" s="117" t="s">
        <v>589</v>
      </c>
      <c r="AJ674" s="117" t="s">
        <v>259</v>
      </c>
      <c r="AK674" s="182" t="s">
        <v>470</v>
      </c>
      <c r="AL674" s="109" t="s">
        <v>1318</v>
      </c>
      <c r="AM674" s="109" t="s">
        <v>155</v>
      </c>
      <c r="AN674" s="109" t="s">
        <v>1949</v>
      </c>
      <c r="AO674" s="109" t="s">
        <v>2039</v>
      </c>
      <c r="AP674" s="109" t="s">
        <v>1921</v>
      </c>
      <c r="AQ674" s="109" t="s">
        <v>1921</v>
      </c>
      <c r="AR674" s="109" t="s">
        <v>1924</v>
      </c>
      <c r="AS674" s="166" t="s">
        <v>1119</v>
      </c>
      <c r="AT674" s="165" t="s">
        <v>48</v>
      </c>
      <c r="AU674" s="109" t="s">
        <v>48</v>
      </c>
      <c r="AV674" s="109" t="s">
        <v>48</v>
      </c>
      <c r="AW674" s="109" t="s">
        <v>48</v>
      </c>
      <c r="AX674" s="109" t="s">
        <v>48</v>
      </c>
      <c r="AY674" s="109" t="s">
        <v>48</v>
      </c>
      <c r="AZ674" s="166" t="s">
        <v>48</v>
      </c>
      <c r="BA674" s="162" t="s">
        <v>1243</v>
      </c>
      <c r="BB674" s="109" t="s">
        <v>82</v>
      </c>
      <c r="BC674" s="109"/>
    </row>
    <row r="675" spans="1:55" ht="75" customHeight="1">
      <c r="A675" s="109" t="s">
        <v>34</v>
      </c>
      <c r="B675" s="109" t="s">
        <v>2025</v>
      </c>
      <c r="C675" s="109" t="s">
        <v>151</v>
      </c>
      <c r="D675" s="109" t="s">
        <v>155</v>
      </c>
      <c r="E675" s="161">
        <v>15000</v>
      </c>
      <c r="F675" s="109" t="s">
        <v>155</v>
      </c>
      <c r="G675" s="109" t="s">
        <v>155</v>
      </c>
      <c r="H675" s="109" t="s">
        <v>48</v>
      </c>
      <c r="I675" s="109" t="s">
        <v>48</v>
      </c>
      <c r="J675" s="109" t="s">
        <v>48</v>
      </c>
      <c r="K675" s="109" t="s">
        <v>48</v>
      </c>
      <c r="L675" s="109" t="s">
        <v>48</v>
      </c>
      <c r="M675" s="166" t="s">
        <v>48</v>
      </c>
      <c r="N675" s="162" t="s">
        <v>48</v>
      </c>
      <c r="O675" s="109" t="s">
        <v>48</v>
      </c>
      <c r="P675" s="162" t="s">
        <v>48</v>
      </c>
      <c r="Q675" s="109" t="s">
        <v>48</v>
      </c>
      <c r="R675" s="109" t="s">
        <v>48</v>
      </c>
      <c r="S675" s="109" t="s">
        <v>48</v>
      </c>
      <c r="T675" s="109" t="s">
        <v>48</v>
      </c>
      <c r="U675" s="109" t="s">
        <v>48</v>
      </c>
      <c r="V675" s="166" t="s">
        <v>48</v>
      </c>
      <c r="W675" s="109" t="s">
        <v>155</v>
      </c>
      <c r="X675" s="109" t="s">
        <v>155</v>
      </c>
      <c r="Y675" s="109" t="s">
        <v>48</v>
      </c>
      <c r="Z675" s="109" t="s">
        <v>48</v>
      </c>
      <c r="AA675" s="109" t="s">
        <v>48</v>
      </c>
      <c r="AB675" s="109" t="s">
        <v>48</v>
      </c>
      <c r="AC675" s="109" t="s">
        <v>48</v>
      </c>
      <c r="AD675" s="166" t="s">
        <v>48</v>
      </c>
      <c r="AE675" s="174" t="s">
        <v>80</v>
      </c>
      <c r="AF675" s="117" t="s">
        <v>515</v>
      </c>
      <c r="AG675" s="117" t="s">
        <v>1151</v>
      </c>
      <c r="AH675" s="109" t="s">
        <v>1908</v>
      </c>
      <c r="AI675" s="117" t="s">
        <v>589</v>
      </c>
      <c r="AJ675" s="117" t="s">
        <v>259</v>
      </c>
      <c r="AK675" s="182" t="s">
        <v>470</v>
      </c>
      <c r="AL675" s="109" t="s">
        <v>907</v>
      </c>
      <c r="AM675" s="109" t="s">
        <v>155</v>
      </c>
      <c r="AN675" s="109" t="s">
        <v>1948</v>
      </c>
      <c r="AO675" s="109" t="s">
        <v>1908</v>
      </c>
      <c r="AP675" s="109" t="s">
        <v>1921</v>
      </c>
      <c r="AQ675" s="109" t="s">
        <v>1921</v>
      </c>
      <c r="AR675" s="109" t="s">
        <v>1946</v>
      </c>
      <c r="AS675" s="166" t="s">
        <v>1119</v>
      </c>
      <c r="AT675" s="165" t="s">
        <v>48</v>
      </c>
      <c r="AU675" s="109" t="s">
        <v>48</v>
      </c>
      <c r="AV675" s="109" t="s">
        <v>48</v>
      </c>
      <c r="AW675" s="109" t="s">
        <v>48</v>
      </c>
      <c r="AX675" s="109" t="s">
        <v>48</v>
      </c>
      <c r="AY675" s="109" t="s">
        <v>48</v>
      </c>
      <c r="AZ675" s="166" t="s">
        <v>48</v>
      </c>
      <c r="BA675" s="162" t="s">
        <v>1242</v>
      </c>
      <c r="BB675" s="109" t="s">
        <v>82</v>
      </c>
      <c r="BC675" s="109"/>
    </row>
    <row r="676" spans="1:55" ht="75" customHeight="1">
      <c r="A676" s="109" t="s">
        <v>34</v>
      </c>
      <c r="B676" s="109" t="s">
        <v>2025</v>
      </c>
      <c r="C676" s="109" t="s">
        <v>151</v>
      </c>
      <c r="D676" s="109" t="s">
        <v>155</v>
      </c>
      <c r="E676" s="161">
        <v>15000</v>
      </c>
      <c r="F676" s="109" t="s">
        <v>155</v>
      </c>
      <c r="G676" s="109" t="s">
        <v>155</v>
      </c>
      <c r="H676" s="109" t="s">
        <v>48</v>
      </c>
      <c r="I676" s="109" t="s">
        <v>48</v>
      </c>
      <c r="J676" s="109" t="s">
        <v>48</v>
      </c>
      <c r="K676" s="109" t="s">
        <v>48</v>
      </c>
      <c r="L676" s="109" t="s">
        <v>48</v>
      </c>
      <c r="M676" s="166" t="s">
        <v>48</v>
      </c>
      <c r="N676" s="162" t="s">
        <v>48</v>
      </c>
      <c r="O676" s="109" t="s">
        <v>48</v>
      </c>
      <c r="P676" s="162" t="s">
        <v>48</v>
      </c>
      <c r="Q676" s="109" t="s">
        <v>48</v>
      </c>
      <c r="R676" s="109" t="s">
        <v>48</v>
      </c>
      <c r="S676" s="109" t="s">
        <v>48</v>
      </c>
      <c r="T676" s="109" t="s">
        <v>48</v>
      </c>
      <c r="U676" s="109" t="s">
        <v>48</v>
      </c>
      <c r="V676" s="166" t="s">
        <v>48</v>
      </c>
      <c r="W676" s="109" t="s">
        <v>155</v>
      </c>
      <c r="X676" s="109" t="s">
        <v>155</v>
      </c>
      <c r="Y676" s="109" t="s">
        <v>48</v>
      </c>
      <c r="Z676" s="109" t="s">
        <v>48</v>
      </c>
      <c r="AA676" s="109" t="s">
        <v>48</v>
      </c>
      <c r="AB676" s="109" t="s">
        <v>48</v>
      </c>
      <c r="AC676" s="109" t="s">
        <v>48</v>
      </c>
      <c r="AD676" s="166" t="s">
        <v>48</v>
      </c>
      <c r="AE676" s="174" t="s">
        <v>80</v>
      </c>
      <c r="AF676" s="117" t="s">
        <v>515</v>
      </c>
      <c r="AG676" s="117" t="s">
        <v>1151</v>
      </c>
      <c r="AH676" s="109" t="s">
        <v>1908</v>
      </c>
      <c r="AI676" s="117" t="s">
        <v>589</v>
      </c>
      <c r="AJ676" s="117" t="s">
        <v>259</v>
      </c>
      <c r="AK676" s="182" t="s">
        <v>470</v>
      </c>
      <c r="AL676" s="109" t="s">
        <v>1318</v>
      </c>
      <c r="AM676" s="109" t="s">
        <v>155</v>
      </c>
      <c r="AN676" s="109" t="s">
        <v>1949</v>
      </c>
      <c r="AO676" s="109" t="s">
        <v>2039</v>
      </c>
      <c r="AP676" s="109" t="s">
        <v>1921</v>
      </c>
      <c r="AQ676" s="109" t="s">
        <v>1921</v>
      </c>
      <c r="AR676" s="109" t="s">
        <v>1924</v>
      </c>
      <c r="AS676" s="166" t="s">
        <v>1119</v>
      </c>
      <c r="AT676" s="165" t="s">
        <v>48</v>
      </c>
      <c r="AU676" s="109" t="s">
        <v>48</v>
      </c>
      <c r="AV676" s="109" t="s">
        <v>48</v>
      </c>
      <c r="AW676" s="109" t="s">
        <v>48</v>
      </c>
      <c r="AX676" s="109" t="s">
        <v>48</v>
      </c>
      <c r="AY676" s="109" t="s">
        <v>48</v>
      </c>
      <c r="AZ676" s="166" t="s">
        <v>48</v>
      </c>
      <c r="BA676" s="162" t="s">
        <v>1242</v>
      </c>
      <c r="BB676" s="109" t="s">
        <v>82</v>
      </c>
      <c r="BC676" s="109"/>
    </row>
    <row r="677" spans="1:55" ht="75" customHeight="1">
      <c r="A677" s="109" t="s">
        <v>35</v>
      </c>
      <c r="B677" s="109" t="s">
        <v>2017</v>
      </c>
      <c r="C677" s="109" t="s">
        <v>151</v>
      </c>
      <c r="D677" s="109" t="s">
        <v>536</v>
      </c>
      <c r="E677" s="161">
        <v>15000</v>
      </c>
      <c r="F677" s="109" t="s">
        <v>907</v>
      </c>
      <c r="G677" s="109" t="s">
        <v>907</v>
      </c>
      <c r="H677" s="109" t="s">
        <v>1914</v>
      </c>
      <c r="I677" s="109" t="s">
        <v>2091</v>
      </c>
      <c r="J677" s="109" t="s">
        <v>1904</v>
      </c>
      <c r="K677" s="109" t="s">
        <v>1904</v>
      </c>
      <c r="L677" s="109" t="s">
        <v>1915</v>
      </c>
      <c r="M677" s="166" t="s">
        <v>1905</v>
      </c>
      <c r="N677" s="162" t="s">
        <v>48</v>
      </c>
      <c r="O677" s="109" t="s">
        <v>48</v>
      </c>
      <c r="P677" s="162" t="s">
        <v>48</v>
      </c>
      <c r="Q677" s="109" t="s">
        <v>48</v>
      </c>
      <c r="R677" s="109" t="s">
        <v>48</v>
      </c>
      <c r="S677" s="109" t="s">
        <v>48</v>
      </c>
      <c r="T677" s="109" t="s">
        <v>48</v>
      </c>
      <c r="U677" s="109" t="s">
        <v>48</v>
      </c>
      <c r="V677" s="166" t="s">
        <v>48</v>
      </c>
      <c r="W677" s="109" t="s">
        <v>907</v>
      </c>
      <c r="X677" s="109" t="s">
        <v>536</v>
      </c>
      <c r="Y677" s="109" t="s">
        <v>1954</v>
      </c>
      <c r="Z677" s="109" t="s">
        <v>1908</v>
      </c>
      <c r="AA677" s="109" t="s">
        <v>1921</v>
      </c>
      <c r="AB677" s="109" t="s">
        <v>1921</v>
      </c>
      <c r="AC677" s="109" t="s">
        <v>1946</v>
      </c>
      <c r="AD677" s="166" t="s">
        <v>1119</v>
      </c>
      <c r="AE677" s="174" t="s">
        <v>48</v>
      </c>
      <c r="AF677" s="117" t="s">
        <v>48</v>
      </c>
      <c r="AG677" s="117" t="s">
        <v>1152</v>
      </c>
      <c r="AH677" s="109" t="s">
        <v>48</v>
      </c>
      <c r="AI677" s="117" t="s">
        <v>48</v>
      </c>
      <c r="AJ677" s="117" t="s">
        <v>260</v>
      </c>
      <c r="AK677" s="182" t="s">
        <v>516</v>
      </c>
      <c r="AL677" s="109" t="s">
        <v>907</v>
      </c>
      <c r="AM677" s="109" t="s">
        <v>536</v>
      </c>
      <c r="AN677" s="109" t="s">
        <v>1948</v>
      </c>
      <c r="AO677" s="109" t="s">
        <v>1908</v>
      </c>
      <c r="AP677" s="109" t="s">
        <v>1921</v>
      </c>
      <c r="AQ677" s="109" t="s">
        <v>1921</v>
      </c>
      <c r="AR677" s="109" t="s">
        <v>1946</v>
      </c>
      <c r="AS677" s="166" t="s">
        <v>1119</v>
      </c>
      <c r="AT677" s="165" t="s">
        <v>48</v>
      </c>
      <c r="AU677" s="109" t="s">
        <v>48</v>
      </c>
      <c r="AV677" s="109" t="s">
        <v>48</v>
      </c>
      <c r="AW677" s="109" t="s">
        <v>48</v>
      </c>
      <c r="AX677" s="109" t="s">
        <v>48</v>
      </c>
      <c r="AY677" s="109" t="s">
        <v>48</v>
      </c>
      <c r="AZ677" s="166" t="s">
        <v>48</v>
      </c>
      <c r="BA677" s="162" t="s">
        <v>1243</v>
      </c>
      <c r="BB677" s="109" t="s">
        <v>82</v>
      </c>
      <c r="BC677" s="109" t="s">
        <v>1153</v>
      </c>
    </row>
    <row r="678" spans="1:55" ht="75" customHeight="1">
      <c r="A678" s="109" t="s">
        <v>35</v>
      </c>
      <c r="B678" s="109" t="s">
        <v>2017</v>
      </c>
      <c r="C678" s="109" t="s">
        <v>151</v>
      </c>
      <c r="D678" s="109" t="s">
        <v>536</v>
      </c>
      <c r="E678" s="161">
        <v>15000</v>
      </c>
      <c r="F678" s="109" t="s">
        <v>907</v>
      </c>
      <c r="G678" s="109" t="s">
        <v>907</v>
      </c>
      <c r="H678" s="109" t="s">
        <v>1914</v>
      </c>
      <c r="I678" s="109" t="s">
        <v>2091</v>
      </c>
      <c r="J678" s="109" t="s">
        <v>1904</v>
      </c>
      <c r="K678" s="109" t="s">
        <v>1904</v>
      </c>
      <c r="L678" s="109" t="s">
        <v>1915</v>
      </c>
      <c r="M678" s="166" t="s">
        <v>1905</v>
      </c>
      <c r="N678" s="162" t="s">
        <v>48</v>
      </c>
      <c r="O678" s="109" t="s">
        <v>48</v>
      </c>
      <c r="P678" s="162" t="s">
        <v>48</v>
      </c>
      <c r="Q678" s="109" t="s">
        <v>48</v>
      </c>
      <c r="R678" s="109" t="s">
        <v>48</v>
      </c>
      <c r="S678" s="109" t="s">
        <v>48</v>
      </c>
      <c r="T678" s="109" t="s">
        <v>48</v>
      </c>
      <c r="U678" s="109" t="s">
        <v>48</v>
      </c>
      <c r="V678" s="166" t="s">
        <v>48</v>
      </c>
      <c r="W678" s="109" t="s">
        <v>1318</v>
      </c>
      <c r="X678" s="109" t="s">
        <v>536</v>
      </c>
      <c r="Y678" s="109" t="s">
        <v>1955</v>
      </c>
      <c r="Z678" s="117" t="s">
        <v>2039</v>
      </c>
      <c r="AA678" s="109" t="s">
        <v>1921</v>
      </c>
      <c r="AB678" s="109" t="s">
        <v>1921</v>
      </c>
      <c r="AC678" s="109" t="s">
        <v>1924</v>
      </c>
      <c r="AD678" s="166" t="s">
        <v>1119</v>
      </c>
      <c r="AE678" s="174" t="s">
        <v>48</v>
      </c>
      <c r="AF678" s="117" t="s">
        <v>48</v>
      </c>
      <c r="AG678" s="117" t="s">
        <v>1152</v>
      </c>
      <c r="AH678" s="109" t="s">
        <v>48</v>
      </c>
      <c r="AI678" s="117" t="s">
        <v>48</v>
      </c>
      <c r="AJ678" s="117" t="s">
        <v>260</v>
      </c>
      <c r="AK678" s="182" t="s">
        <v>516</v>
      </c>
      <c r="AL678" s="109" t="s">
        <v>1318</v>
      </c>
      <c r="AM678" s="109" t="s">
        <v>536</v>
      </c>
      <c r="AN678" s="109" t="s">
        <v>1949</v>
      </c>
      <c r="AO678" s="109" t="s">
        <v>2039</v>
      </c>
      <c r="AP678" s="109" t="s">
        <v>1921</v>
      </c>
      <c r="AQ678" s="109" t="s">
        <v>1921</v>
      </c>
      <c r="AR678" s="109" t="s">
        <v>1924</v>
      </c>
      <c r="AS678" s="166" t="s">
        <v>1119</v>
      </c>
      <c r="AT678" s="165" t="s">
        <v>48</v>
      </c>
      <c r="AU678" s="109" t="s">
        <v>48</v>
      </c>
      <c r="AV678" s="109" t="s">
        <v>48</v>
      </c>
      <c r="AW678" s="109" t="s">
        <v>48</v>
      </c>
      <c r="AX678" s="109" t="s">
        <v>48</v>
      </c>
      <c r="AY678" s="109" t="s">
        <v>48</v>
      </c>
      <c r="AZ678" s="166" t="s">
        <v>48</v>
      </c>
      <c r="BA678" s="162" t="s">
        <v>1243</v>
      </c>
      <c r="BB678" s="109" t="s">
        <v>82</v>
      </c>
      <c r="BC678" s="109" t="s">
        <v>1153</v>
      </c>
    </row>
    <row r="679" spans="1:55" ht="75" customHeight="1">
      <c r="A679" s="109" t="s">
        <v>34</v>
      </c>
      <c r="B679" s="109" t="s">
        <v>2025</v>
      </c>
      <c r="C679" s="109" t="s">
        <v>151</v>
      </c>
      <c r="D679" s="109" t="s">
        <v>536</v>
      </c>
      <c r="E679" s="161">
        <v>15000</v>
      </c>
      <c r="F679" s="109" t="s">
        <v>536</v>
      </c>
      <c r="G679" s="109" t="s">
        <v>536</v>
      </c>
      <c r="H679" s="109" t="s">
        <v>48</v>
      </c>
      <c r="I679" s="109" t="s">
        <v>48</v>
      </c>
      <c r="J679" s="109" t="s">
        <v>48</v>
      </c>
      <c r="K679" s="109" t="s">
        <v>48</v>
      </c>
      <c r="L679" s="109" t="s">
        <v>48</v>
      </c>
      <c r="M679" s="166" t="s">
        <v>48</v>
      </c>
      <c r="N679" s="162" t="s">
        <v>48</v>
      </c>
      <c r="O679" s="109" t="s">
        <v>48</v>
      </c>
      <c r="P679" s="162" t="s">
        <v>48</v>
      </c>
      <c r="Q679" s="109" t="s">
        <v>48</v>
      </c>
      <c r="R679" s="109" t="s">
        <v>48</v>
      </c>
      <c r="S679" s="109" t="s">
        <v>48</v>
      </c>
      <c r="T679" s="109" t="s">
        <v>48</v>
      </c>
      <c r="U679" s="109" t="s">
        <v>48</v>
      </c>
      <c r="V679" s="166" t="s">
        <v>48</v>
      </c>
      <c r="W679" s="109" t="s">
        <v>536</v>
      </c>
      <c r="X679" s="109" t="s">
        <v>536</v>
      </c>
      <c r="Y679" s="109" t="s">
        <v>48</v>
      </c>
      <c r="Z679" s="109" t="s">
        <v>48</v>
      </c>
      <c r="AA679" s="109" t="s">
        <v>48</v>
      </c>
      <c r="AB679" s="109" t="s">
        <v>48</v>
      </c>
      <c r="AC679" s="109" t="s">
        <v>48</v>
      </c>
      <c r="AD679" s="166" t="s">
        <v>48</v>
      </c>
      <c r="AE679" s="174" t="s">
        <v>48</v>
      </c>
      <c r="AF679" s="117" t="s">
        <v>48</v>
      </c>
      <c r="AG679" s="117" t="s">
        <v>1152</v>
      </c>
      <c r="AH679" s="109" t="s">
        <v>48</v>
      </c>
      <c r="AI679" s="117" t="s">
        <v>48</v>
      </c>
      <c r="AJ679" s="117" t="s">
        <v>260</v>
      </c>
      <c r="AK679" s="182" t="s">
        <v>516</v>
      </c>
      <c r="AL679" s="109" t="s">
        <v>907</v>
      </c>
      <c r="AM679" s="109" t="s">
        <v>536</v>
      </c>
      <c r="AN679" s="109" t="s">
        <v>1948</v>
      </c>
      <c r="AO679" s="109" t="s">
        <v>1908</v>
      </c>
      <c r="AP679" s="109" t="s">
        <v>1921</v>
      </c>
      <c r="AQ679" s="109" t="s">
        <v>1921</v>
      </c>
      <c r="AR679" s="109" t="s">
        <v>1946</v>
      </c>
      <c r="AS679" s="166" t="s">
        <v>1119</v>
      </c>
      <c r="AT679" s="165" t="s">
        <v>48</v>
      </c>
      <c r="AU679" s="109" t="s">
        <v>48</v>
      </c>
      <c r="AV679" s="109" t="s">
        <v>48</v>
      </c>
      <c r="AW679" s="109" t="s">
        <v>48</v>
      </c>
      <c r="AX679" s="109" t="s">
        <v>48</v>
      </c>
      <c r="AY679" s="109" t="s">
        <v>48</v>
      </c>
      <c r="AZ679" s="166" t="s">
        <v>48</v>
      </c>
      <c r="BA679" s="162" t="s">
        <v>1242</v>
      </c>
      <c r="BB679" s="109" t="s">
        <v>82</v>
      </c>
      <c r="BC679" s="109" t="s">
        <v>1153</v>
      </c>
    </row>
    <row r="680" spans="1:55" ht="75" customHeight="1">
      <c r="A680" s="109" t="s">
        <v>35</v>
      </c>
      <c r="B680" s="109" t="s">
        <v>2017</v>
      </c>
      <c r="C680" s="109" t="s">
        <v>151</v>
      </c>
      <c r="D680" s="109" t="s">
        <v>537</v>
      </c>
      <c r="E680" s="161">
        <v>15000</v>
      </c>
      <c r="F680" s="109" t="s">
        <v>907</v>
      </c>
      <c r="G680" s="109" t="s">
        <v>907</v>
      </c>
      <c r="H680" s="109" t="s">
        <v>1914</v>
      </c>
      <c r="I680" s="109" t="s">
        <v>2091</v>
      </c>
      <c r="J680" s="109" t="s">
        <v>1904</v>
      </c>
      <c r="K680" s="109" t="s">
        <v>1904</v>
      </c>
      <c r="L680" s="109" t="s">
        <v>1915</v>
      </c>
      <c r="M680" s="166" t="s">
        <v>1905</v>
      </c>
      <c r="N680" s="162" t="s">
        <v>48</v>
      </c>
      <c r="O680" s="109" t="s">
        <v>48</v>
      </c>
      <c r="P680" s="162" t="s">
        <v>48</v>
      </c>
      <c r="Q680" s="109" t="s">
        <v>48</v>
      </c>
      <c r="R680" s="109" t="s">
        <v>48</v>
      </c>
      <c r="S680" s="109" t="s">
        <v>48</v>
      </c>
      <c r="T680" s="109" t="s">
        <v>48</v>
      </c>
      <c r="U680" s="109" t="s">
        <v>48</v>
      </c>
      <c r="V680" s="166" t="s">
        <v>48</v>
      </c>
      <c r="W680" s="109" t="s">
        <v>907</v>
      </c>
      <c r="X680" s="109" t="s">
        <v>537</v>
      </c>
      <c r="Y680" s="109" t="s">
        <v>1954</v>
      </c>
      <c r="Z680" s="109" t="s">
        <v>1908</v>
      </c>
      <c r="AA680" s="109" t="s">
        <v>1921</v>
      </c>
      <c r="AB680" s="109" t="s">
        <v>1921</v>
      </c>
      <c r="AC680" s="109" t="s">
        <v>1946</v>
      </c>
      <c r="AD680" s="166" t="s">
        <v>1119</v>
      </c>
      <c r="AE680" s="174" t="s">
        <v>48</v>
      </c>
      <c r="AF680" s="117" t="s">
        <v>48</v>
      </c>
      <c r="AG680" s="117" t="s">
        <v>1152</v>
      </c>
      <c r="AH680" s="109" t="s">
        <v>48</v>
      </c>
      <c r="AI680" s="117" t="s">
        <v>48</v>
      </c>
      <c r="AJ680" s="117" t="s">
        <v>260</v>
      </c>
      <c r="AK680" s="182" t="s">
        <v>516</v>
      </c>
      <c r="AL680" s="109" t="s">
        <v>907</v>
      </c>
      <c r="AM680" s="109" t="s">
        <v>537</v>
      </c>
      <c r="AN680" s="109" t="s">
        <v>1948</v>
      </c>
      <c r="AO680" s="109" t="s">
        <v>1908</v>
      </c>
      <c r="AP680" s="109" t="s">
        <v>1921</v>
      </c>
      <c r="AQ680" s="109" t="s">
        <v>1921</v>
      </c>
      <c r="AR680" s="109" t="s">
        <v>1946</v>
      </c>
      <c r="AS680" s="166" t="s">
        <v>1119</v>
      </c>
      <c r="AT680" s="165" t="s">
        <v>48</v>
      </c>
      <c r="AU680" s="109" t="s">
        <v>48</v>
      </c>
      <c r="AV680" s="109" t="s">
        <v>48</v>
      </c>
      <c r="AW680" s="109" t="s">
        <v>48</v>
      </c>
      <c r="AX680" s="109" t="s">
        <v>48</v>
      </c>
      <c r="AY680" s="109" t="s">
        <v>48</v>
      </c>
      <c r="AZ680" s="166" t="s">
        <v>48</v>
      </c>
      <c r="BA680" s="162" t="s">
        <v>1243</v>
      </c>
      <c r="BB680" s="109" t="s">
        <v>82</v>
      </c>
      <c r="BC680" s="109" t="s">
        <v>1153</v>
      </c>
    </row>
    <row r="681" spans="1:55" ht="75" customHeight="1">
      <c r="A681" s="109" t="s">
        <v>35</v>
      </c>
      <c r="B681" s="109" t="s">
        <v>2017</v>
      </c>
      <c r="C681" s="109" t="s">
        <v>151</v>
      </c>
      <c r="D681" s="109" t="s">
        <v>537</v>
      </c>
      <c r="E681" s="161">
        <v>15000</v>
      </c>
      <c r="F681" s="109" t="s">
        <v>907</v>
      </c>
      <c r="G681" s="109" t="s">
        <v>907</v>
      </c>
      <c r="H681" s="109" t="s">
        <v>1914</v>
      </c>
      <c r="I681" s="109" t="s">
        <v>2091</v>
      </c>
      <c r="J681" s="109" t="s">
        <v>1904</v>
      </c>
      <c r="K681" s="109" t="s">
        <v>1904</v>
      </c>
      <c r="L681" s="109" t="s">
        <v>1915</v>
      </c>
      <c r="M681" s="166" t="s">
        <v>1905</v>
      </c>
      <c r="N681" s="162" t="s">
        <v>48</v>
      </c>
      <c r="O681" s="109" t="s">
        <v>48</v>
      </c>
      <c r="P681" s="162" t="s">
        <v>48</v>
      </c>
      <c r="Q681" s="109" t="s">
        <v>48</v>
      </c>
      <c r="R681" s="109" t="s">
        <v>48</v>
      </c>
      <c r="S681" s="109" t="s">
        <v>48</v>
      </c>
      <c r="T681" s="109" t="s">
        <v>48</v>
      </c>
      <c r="U681" s="109" t="s">
        <v>48</v>
      </c>
      <c r="V681" s="166" t="s">
        <v>48</v>
      </c>
      <c r="W681" s="109" t="s">
        <v>1318</v>
      </c>
      <c r="X681" s="109" t="s">
        <v>537</v>
      </c>
      <c r="Y681" s="109" t="s">
        <v>1955</v>
      </c>
      <c r="Z681" s="117" t="s">
        <v>2039</v>
      </c>
      <c r="AA681" s="109" t="s">
        <v>1921</v>
      </c>
      <c r="AB681" s="109" t="s">
        <v>1921</v>
      </c>
      <c r="AC681" s="109" t="s">
        <v>1924</v>
      </c>
      <c r="AD681" s="166" t="s">
        <v>1119</v>
      </c>
      <c r="AE681" s="174" t="s">
        <v>48</v>
      </c>
      <c r="AF681" s="117" t="s">
        <v>48</v>
      </c>
      <c r="AG681" s="117" t="s">
        <v>1152</v>
      </c>
      <c r="AH681" s="109" t="s">
        <v>48</v>
      </c>
      <c r="AI681" s="117" t="s">
        <v>48</v>
      </c>
      <c r="AJ681" s="117" t="s">
        <v>260</v>
      </c>
      <c r="AK681" s="182" t="s">
        <v>516</v>
      </c>
      <c r="AL681" s="109" t="s">
        <v>1318</v>
      </c>
      <c r="AM681" s="109" t="s">
        <v>537</v>
      </c>
      <c r="AN681" s="109" t="s">
        <v>1949</v>
      </c>
      <c r="AO681" s="109" t="s">
        <v>2039</v>
      </c>
      <c r="AP681" s="109" t="s">
        <v>1921</v>
      </c>
      <c r="AQ681" s="109" t="s">
        <v>1921</v>
      </c>
      <c r="AR681" s="109" t="s">
        <v>1924</v>
      </c>
      <c r="AS681" s="166" t="s">
        <v>1119</v>
      </c>
      <c r="AT681" s="165" t="s">
        <v>48</v>
      </c>
      <c r="AU681" s="109" t="s">
        <v>48</v>
      </c>
      <c r="AV681" s="109" t="s">
        <v>48</v>
      </c>
      <c r="AW681" s="109" t="s">
        <v>48</v>
      </c>
      <c r="AX681" s="109" t="s">
        <v>48</v>
      </c>
      <c r="AY681" s="109" t="s">
        <v>48</v>
      </c>
      <c r="AZ681" s="166" t="s">
        <v>48</v>
      </c>
      <c r="BA681" s="162" t="s">
        <v>1243</v>
      </c>
      <c r="BB681" s="109" t="s">
        <v>82</v>
      </c>
      <c r="BC681" s="109" t="s">
        <v>1153</v>
      </c>
    </row>
    <row r="682" spans="1:55" ht="75" customHeight="1">
      <c r="A682" s="109" t="s">
        <v>34</v>
      </c>
      <c r="B682" s="109" t="s">
        <v>2025</v>
      </c>
      <c r="C682" s="109" t="s">
        <v>151</v>
      </c>
      <c r="D682" s="109" t="s">
        <v>537</v>
      </c>
      <c r="E682" s="161">
        <v>15000</v>
      </c>
      <c r="F682" s="109" t="s">
        <v>537</v>
      </c>
      <c r="G682" s="109" t="s">
        <v>537</v>
      </c>
      <c r="H682" s="109" t="s">
        <v>48</v>
      </c>
      <c r="I682" s="109" t="s">
        <v>48</v>
      </c>
      <c r="J682" s="109" t="s">
        <v>48</v>
      </c>
      <c r="K682" s="109" t="s">
        <v>48</v>
      </c>
      <c r="L682" s="109" t="s">
        <v>48</v>
      </c>
      <c r="M682" s="166" t="s">
        <v>48</v>
      </c>
      <c r="N682" s="162" t="s">
        <v>48</v>
      </c>
      <c r="O682" s="109" t="s">
        <v>48</v>
      </c>
      <c r="P682" s="162" t="s">
        <v>48</v>
      </c>
      <c r="Q682" s="109" t="s">
        <v>48</v>
      </c>
      <c r="R682" s="109" t="s">
        <v>48</v>
      </c>
      <c r="S682" s="109" t="s">
        <v>48</v>
      </c>
      <c r="T682" s="109" t="s">
        <v>48</v>
      </c>
      <c r="U682" s="109" t="s">
        <v>48</v>
      </c>
      <c r="V682" s="166" t="s">
        <v>48</v>
      </c>
      <c r="W682" s="109" t="s">
        <v>537</v>
      </c>
      <c r="X682" s="109" t="s">
        <v>537</v>
      </c>
      <c r="Y682" s="109" t="s">
        <v>48</v>
      </c>
      <c r="Z682" s="109" t="s">
        <v>48</v>
      </c>
      <c r="AA682" s="109" t="s">
        <v>48</v>
      </c>
      <c r="AB682" s="109" t="s">
        <v>48</v>
      </c>
      <c r="AC682" s="109" t="s">
        <v>48</v>
      </c>
      <c r="AD682" s="166" t="s">
        <v>48</v>
      </c>
      <c r="AE682" s="174" t="s">
        <v>48</v>
      </c>
      <c r="AF682" s="117" t="s">
        <v>48</v>
      </c>
      <c r="AG682" s="117" t="s">
        <v>1152</v>
      </c>
      <c r="AH682" s="109" t="s">
        <v>48</v>
      </c>
      <c r="AI682" s="117" t="s">
        <v>48</v>
      </c>
      <c r="AJ682" s="117" t="s">
        <v>260</v>
      </c>
      <c r="AK682" s="182" t="s">
        <v>516</v>
      </c>
      <c r="AL682" s="109" t="s">
        <v>1318</v>
      </c>
      <c r="AM682" s="109" t="s">
        <v>537</v>
      </c>
      <c r="AN682" s="109" t="s">
        <v>1949</v>
      </c>
      <c r="AO682" s="109" t="s">
        <v>2039</v>
      </c>
      <c r="AP682" s="109" t="s">
        <v>1921</v>
      </c>
      <c r="AQ682" s="109" t="s">
        <v>1921</v>
      </c>
      <c r="AR682" s="109" t="s">
        <v>1924</v>
      </c>
      <c r="AS682" s="166" t="s">
        <v>1119</v>
      </c>
      <c r="AT682" s="165" t="s">
        <v>48</v>
      </c>
      <c r="AU682" s="109" t="s">
        <v>48</v>
      </c>
      <c r="AV682" s="109" t="s">
        <v>48</v>
      </c>
      <c r="AW682" s="109" t="s">
        <v>48</v>
      </c>
      <c r="AX682" s="109" t="s">
        <v>48</v>
      </c>
      <c r="AY682" s="109" t="s">
        <v>48</v>
      </c>
      <c r="AZ682" s="166" t="s">
        <v>48</v>
      </c>
      <c r="BA682" s="162" t="s">
        <v>1242</v>
      </c>
      <c r="BB682" s="109" t="s">
        <v>82</v>
      </c>
      <c r="BC682" s="109" t="s">
        <v>1153</v>
      </c>
    </row>
    <row r="683" spans="1:55" ht="75" customHeight="1">
      <c r="A683" s="109" t="s">
        <v>35</v>
      </c>
      <c r="B683" s="109" t="s">
        <v>2017</v>
      </c>
      <c r="C683" s="109" t="s">
        <v>151</v>
      </c>
      <c r="D683" s="109" t="s">
        <v>1123</v>
      </c>
      <c r="E683" s="161">
        <v>15000</v>
      </c>
      <c r="F683" s="109" t="s">
        <v>907</v>
      </c>
      <c r="G683" s="109" t="s">
        <v>907</v>
      </c>
      <c r="H683" s="109" t="s">
        <v>1916</v>
      </c>
      <c r="I683" s="109" t="s">
        <v>2091</v>
      </c>
      <c r="J683" s="109" t="s">
        <v>1904</v>
      </c>
      <c r="K683" s="109" t="s">
        <v>1904</v>
      </c>
      <c r="L683" s="109" t="s">
        <v>1917</v>
      </c>
      <c r="M683" s="166" t="s">
        <v>1905</v>
      </c>
      <c r="N683" s="162" t="s">
        <v>48</v>
      </c>
      <c r="O683" s="109" t="s">
        <v>48</v>
      </c>
      <c r="P683" s="162" t="s">
        <v>48</v>
      </c>
      <c r="Q683" s="109" t="s">
        <v>48</v>
      </c>
      <c r="R683" s="109" t="s">
        <v>48</v>
      </c>
      <c r="S683" s="109" t="s">
        <v>48</v>
      </c>
      <c r="T683" s="109" t="s">
        <v>48</v>
      </c>
      <c r="U683" s="109" t="s">
        <v>48</v>
      </c>
      <c r="V683" s="166" t="s">
        <v>48</v>
      </c>
      <c r="W683" s="109" t="s">
        <v>907</v>
      </c>
      <c r="X683" s="109" t="s">
        <v>1123</v>
      </c>
      <c r="Y683" s="109" t="s">
        <v>1954</v>
      </c>
      <c r="Z683" s="109" t="s">
        <v>1908</v>
      </c>
      <c r="AA683" s="109" t="s">
        <v>1921</v>
      </c>
      <c r="AB683" s="109" t="s">
        <v>1921</v>
      </c>
      <c r="AC683" s="109" t="s">
        <v>1946</v>
      </c>
      <c r="AD683" s="166" t="s">
        <v>1119</v>
      </c>
      <c r="AE683" s="174" t="s">
        <v>48</v>
      </c>
      <c r="AF683" s="117" t="s">
        <v>48</v>
      </c>
      <c r="AG683" s="117" t="s">
        <v>1154</v>
      </c>
      <c r="AH683" s="109" t="s">
        <v>48</v>
      </c>
      <c r="AI683" s="117" t="s">
        <v>48</v>
      </c>
      <c r="AJ683" s="117" t="s">
        <v>261</v>
      </c>
      <c r="AK683" s="182" t="s">
        <v>517</v>
      </c>
      <c r="AL683" s="109" t="s">
        <v>907</v>
      </c>
      <c r="AM683" s="109" t="s">
        <v>1123</v>
      </c>
      <c r="AN683" s="109" t="s">
        <v>1948</v>
      </c>
      <c r="AO683" s="109" t="s">
        <v>1908</v>
      </c>
      <c r="AP683" s="109" t="s">
        <v>1921</v>
      </c>
      <c r="AQ683" s="109" t="s">
        <v>1921</v>
      </c>
      <c r="AR683" s="109" t="s">
        <v>1946</v>
      </c>
      <c r="AS683" s="166" t="s">
        <v>1119</v>
      </c>
      <c r="AT683" s="165" t="s">
        <v>48</v>
      </c>
      <c r="AU683" s="109" t="s">
        <v>48</v>
      </c>
      <c r="AV683" s="109" t="s">
        <v>48</v>
      </c>
      <c r="AW683" s="109" t="s">
        <v>48</v>
      </c>
      <c r="AX683" s="109" t="s">
        <v>48</v>
      </c>
      <c r="AY683" s="109" t="s">
        <v>48</v>
      </c>
      <c r="AZ683" s="166" t="s">
        <v>48</v>
      </c>
      <c r="BA683" s="162" t="s">
        <v>1243</v>
      </c>
      <c r="BB683" s="109" t="s">
        <v>82</v>
      </c>
      <c r="BC683" s="109"/>
    </row>
    <row r="684" spans="1:55" ht="75" customHeight="1">
      <c r="A684" s="109" t="s">
        <v>35</v>
      </c>
      <c r="B684" s="109" t="s">
        <v>2017</v>
      </c>
      <c r="C684" s="109" t="s">
        <v>151</v>
      </c>
      <c r="D684" s="109" t="s">
        <v>1123</v>
      </c>
      <c r="E684" s="161">
        <v>15000</v>
      </c>
      <c r="F684" s="109" t="s">
        <v>907</v>
      </c>
      <c r="G684" s="109" t="s">
        <v>907</v>
      </c>
      <c r="H684" s="109" t="s">
        <v>1916</v>
      </c>
      <c r="I684" s="109" t="s">
        <v>2091</v>
      </c>
      <c r="J684" s="109" t="s">
        <v>1904</v>
      </c>
      <c r="K684" s="109" t="s">
        <v>1904</v>
      </c>
      <c r="L684" s="109" t="s">
        <v>1917</v>
      </c>
      <c r="M684" s="166" t="s">
        <v>1905</v>
      </c>
      <c r="N684" s="162" t="s">
        <v>48</v>
      </c>
      <c r="O684" s="109" t="s">
        <v>48</v>
      </c>
      <c r="P684" s="162" t="s">
        <v>48</v>
      </c>
      <c r="Q684" s="109" t="s">
        <v>48</v>
      </c>
      <c r="R684" s="109" t="s">
        <v>48</v>
      </c>
      <c r="S684" s="109" t="s">
        <v>48</v>
      </c>
      <c r="T684" s="109" t="s">
        <v>48</v>
      </c>
      <c r="U684" s="109" t="s">
        <v>48</v>
      </c>
      <c r="V684" s="166" t="s">
        <v>48</v>
      </c>
      <c r="W684" s="109" t="s">
        <v>1318</v>
      </c>
      <c r="X684" s="109" t="s">
        <v>1123</v>
      </c>
      <c r="Y684" s="109" t="s">
        <v>1955</v>
      </c>
      <c r="Z684" s="117" t="s">
        <v>2039</v>
      </c>
      <c r="AA684" s="109" t="s">
        <v>1921</v>
      </c>
      <c r="AB684" s="109" t="s">
        <v>1921</v>
      </c>
      <c r="AC684" s="109" t="s">
        <v>1924</v>
      </c>
      <c r="AD684" s="166" t="s">
        <v>1119</v>
      </c>
      <c r="AE684" s="174" t="s">
        <v>48</v>
      </c>
      <c r="AF684" s="117" t="s">
        <v>48</v>
      </c>
      <c r="AG684" s="117" t="s">
        <v>1154</v>
      </c>
      <c r="AH684" s="109" t="s">
        <v>48</v>
      </c>
      <c r="AI684" s="117" t="s">
        <v>48</v>
      </c>
      <c r="AJ684" s="117" t="s">
        <v>261</v>
      </c>
      <c r="AK684" s="182" t="s">
        <v>517</v>
      </c>
      <c r="AL684" s="109" t="s">
        <v>1318</v>
      </c>
      <c r="AM684" s="109" t="s">
        <v>1123</v>
      </c>
      <c r="AN684" s="109" t="s">
        <v>1949</v>
      </c>
      <c r="AO684" s="109" t="s">
        <v>2039</v>
      </c>
      <c r="AP684" s="109" t="s">
        <v>1921</v>
      </c>
      <c r="AQ684" s="109" t="s">
        <v>1921</v>
      </c>
      <c r="AR684" s="109" t="s">
        <v>1924</v>
      </c>
      <c r="AS684" s="166" t="s">
        <v>1119</v>
      </c>
      <c r="AT684" s="165" t="s">
        <v>48</v>
      </c>
      <c r="AU684" s="109" t="s">
        <v>48</v>
      </c>
      <c r="AV684" s="109" t="s">
        <v>48</v>
      </c>
      <c r="AW684" s="109" t="s">
        <v>48</v>
      </c>
      <c r="AX684" s="109" t="s">
        <v>48</v>
      </c>
      <c r="AY684" s="109" t="s">
        <v>48</v>
      </c>
      <c r="AZ684" s="166" t="s">
        <v>48</v>
      </c>
      <c r="BA684" s="162" t="s">
        <v>1243</v>
      </c>
      <c r="BB684" s="109" t="s">
        <v>82</v>
      </c>
      <c r="BC684" s="109"/>
    </row>
    <row r="685" spans="1:55" ht="75" customHeight="1">
      <c r="A685" s="109" t="s">
        <v>34</v>
      </c>
      <c r="B685" s="109" t="s">
        <v>2025</v>
      </c>
      <c r="C685" s="109" t="s">
        <v>151</v>
      </c>
      <c r="D685" s="109" t="s">
        <v>1123</v>
      </c>
      <c r="E685" s="161">
        <v>15000</v>
      </c>
      <c r="F685" s="109" t="s">
        <v>1123</v>
      </c>
      <c r="G685" s="109" t="s">
        <v>1123</v>
      </c>
      <c r="H685" s="109" t="s">
        <v>48</v>
      </c>
      <c r="I685" s="109" t="s">
        <v>48</v>
      </c>
      <c r="J685" s="109" t="s">
        <v>48</v>
      </c>
      <c r="K685" s="109" t="s">
        <v>48</v>
      </c>
      <c r="L685" s="109" t="s">
        <v>48</v>
      </c>
      <c r="M685" s="166" t="s">
        <v>48</v>
      </c>
      <c r="N685" s="162" t="s">
        <v>48</v>
      </c>
      <c r="O685" s="109" t="s">
        <v>48</v>
      </c>
      <c r="P685" s="162" t="s">
        <v>48</v>
      </c>
      <c r="Q685" s="109" t="s">
        <v>48</v>
      </c>
      <c r="R685" s="109" t="s">
        <v>48</v>
      </c>
      <c r="S685" s="109" t="s">
        <v>48</v>
      </c>
      <c r="T685" s="109" t="s">
        <v>48</v>
      </c>
      <c r="U685" s="109" t="s">
        <v>48</v>
      </c>
      <c r="V685" s="166" t="s">
        <v>48</v>
      </c>
      <c r="W685" s="109" t="s">
        <v>1123</v>
      </c>
      <c r="X685" s="109" t="s">
        <v>1123</v>
      </c>
      <c r="Y685" s="109" t="s">
        <v>48</v>
      </c>
      <c r="Z685" s="109" t="s">
        <v>48</v>
      </c>
      <c r="AA685" s="109" t="s">
        <v>48</v>
      </c>
      <c r="AB685" s="109" t="s">
        <v>48</v>
      </c>
      <c r="AC685" s="109" t="s">
        <v>48</v>
      </c>
      <c r="AD685" s="166" t="s">
        <v>48</v>
      </c>
      <c r="AE685" s="174" t="s">
        <v>48</v>
      </c>
      <c r="AF685" s="117" t="s">
        <v>48</v>
      </c>
      <c r="AG685" s="117" t="s">
        <v>1154</v>
      </c>
      <c r="AH685" s="109" t="s">
        <v>48</v>
      </c>
      <c r="AI685" s="117" t="s">
        <v>48</v>
      </c>
      <c r="AJ685" s="117" t="s">
        <v>261</v>
      </c>
      <c r="AK685" s="182" t="s">
        <v>517</v>
      </c>
      <c r="AL685" s="109" t="s">
        <v>907</v>
      </c>
      <c r="AM685" s="109" t="s">
        <v>1123</v>
      </c>
      <c r="AN685" s="109" t="s">
        <v>1948</v>
      </c>
      <c r="AO685" s="109" t="s">
        <v>1908</v>
      </c>
      <c r="AP685" s="109" t="s">
        <v>1921</v>
      </c>
      <c r="AQ685" s="109" t="s">
        <v>1921</v>
      </c>
      <c r="AR685" s="109" t="s">
        <v>1946</v>
      </c>
      <c r="AS685" s="166" t="s">
        <v>1119</v>
      </c>
      <c r="AT685" s="165" t="s">
        <v>48</v>
      </c>
      <c r="AU685" s="109" t="s">
        <v>48</v>
      </c>
      <c r="AV685" s="109" t="s">
        <v>48</v>
      </c>
      <c r="AW685" s="109" t="s">
        <v>48</v>
      </c>
      <c r="AX685" s="109" t="s">
        <v>48</v>
      </c>
      <c r="AY685" s="109" t="s">
        <v>48</v>
      </c>
      <c r="AZ685" s="166" t="s">
        <v>48</v>
      </c>
      <c r="BA685" s="162" t="s">
        <v>1242</v>
      </c>
      <c r="BB685" s="109" t="s">
        <v>82</v>
      </c>
      <c r="BC685" s="109"/>
    </row>
    <row r="686" spans="1:55" ht="75" customHeight="1">
      <c r="A686" s="109" t="s">
        <v>34</v>
      </c>
      <c r="B686" s="109" t="s">
        <v>2025</v>
      </c>
      <c r="C686" s="109" t="s">
        <v>151</v>
      </c>
      <c r="D686" s="109" t="s">
        <v>1123</v>
      </c>
      <c r="E686" s="161">
        <v>15000</v>
      </c>
      <c r="F686" s="109" t="s">
        <v>1123</v>
      </c>
      <c r="G686" s="109" t="s">
        <v>1123</v>
      </c>
      <c r="H686" s="109" t="s">
        <v>48</v>
      </c>
      <c r="I686" s="109" t="s">
        <v>48</v>
      </c>
      <c r="J686" s="109" t="s">
        <v>48</v>
      </c>
      <c r="K686" s="109" t="s">
        <v>48</v>
      </c>
      <c r="L686" s="109" t="s">
        <v>48</v>
      </c>
      <c r="M686" s="166" t="s">
        <v>48</v>
      </c>
      <c r="N686" s="162" t="s">
        <v>48</v>
      </c>
      <c r="O686" s="109" t="s">
        <v>48</v>
      </c>
      <c r="P686" s="162" t="s">
        <v>48</v>
      </c>
      <c r="Q686" s="109" t="s">
        <v>48</v>
      </c>
      <c r="R686" s="109" t="s">
        <v>48</v>
      </c>
      <c r="S686" s="109" t="s">
        <v>48</v>
      </c>
      <c r="T686" s="109" t="s">
        <v>48</v>
      </c>
      <c r="U686" s="109" t="s">
        <v>48</v>
      </c>
      <c r="V686" s="166" t="s">
        <v>48</v>
      </c>
      <c r="W686" s="109" t="s">
        <v>1123</v>
      </c>
      <c r="X686" s="109" t="s">
        <v>1123</v>
      </c>
      <c r="Y686" s="109" t="s">
        <v>48</v>
      </c>
      <c r="Z686" s="109" t="s">
        <v>48</v>
      </c>
      <c r="AA686" s="109" t="s">
        <v>48</v>
      </c>
      <c r="AB686" s="109" t="s">
        <v>48</v>
      </c>
      <c r="AC686" s="109" t="s">
        <v>48</v>
      </c>
      <c r="AD686" s="166" t="s">
        <v>48</v>
      </c>
      <c r="AE686" s="174" t="s">
        <v>48</v>
      </c>
      <c r="AF686" s="117" t="s">
        <v>48</v>
      </c>
      <c r="AG686" s="117" t="s">
        <v>1154</v>
      </c>
      <c r="AH686" s="109" t="s">
        <v>48</v>
      </c>
      <c r="AI686" s="117" t="s">
        <v>48</v>
      </c>
      <c r="AJ686" s="117" t="s">
        <v>261</v>
      </c>
      <c r="AK686" s="182" t="s">
        <v>517</v>
      </c>
      <c r="AL686" s="109" t="s">
        <v>1318</v>
      </c>
      <c r="AM686" s="109" t="s">
        <v>1123</v>
      </c>
      <c r="AN686" s="109" t="s">
        <v>1949</v>
      </c>
      <c r="AO686" s="109" t="s">
        <v>2039</v>
      </c>
      <c r="AP686" s="109" t="s">
        <v>1921</v>
      </c>
      <c r="AQ686" s="109" t="s">
        <v>1921</v>
      </c>
      <c r="AR686" s="109" t="s">
        <v>1924</v>
      </c>
      <c r="AS686" s="166" t="s">
        <v>1119</v>
      </c>
      <c r="AT686" s="165" t="s">
        <v>48</v>
      </c>
      <c r="AU686" s="109" t="s">
        <v>48</v>
      </c>
      <c r="AV686" s="109" t="s">
        <v>48</v>
      </c>
      <c r="AW686" s="109" t="s">
        <v>48</v>
      </c>
      <c r="AX686" s="109" t="s">
        <v>48</v>
      </c>
      <c r="AY686" s="109" t="s">
        <v>48</v>
      </c>
      <c r="AZ686" s="166" t="s">
        <v>48</v>
      </c>
      <c r="BA686" s="162" t="s">
        <v>1242</v>
      </c>
      <c r="BB686" s="109" t="s">
        <v>82</v>
      </c>
      <c r="BC686" s="109"/>
    </row>
    <row r="687" spans="1:55" ht="75" hidden="1" customHeight="1">
      <c r="A687" s="109" t="s">
        <v>459</v>
      </c>
      <c r="B687" s="109" t="s">
        <v>459</v>
      </c>
      <c r="C687" s="109" t="s">
        <v>46</v>
      </c>
      <c r="D687" s="109" t="s">
        <v>47</v>
      </c>
      <c r="E687" s="161"/>
      <c r="F687" s="109" t="s">
        <v>47</v>
      </c>
      <c r="G687" s="109" t="str">
        <f>F687</f>
        <v>1.8.13,   2.5.19,     3.3.9</v>
      </c>
      <c r="H687" s="109" t="s">
        <v>48</v>
      </c>
      <c r="I687" s="109" t="s">
        <v>48</v>
      </c>
      <c r="J687" s="109" t="s">
        <v>48</v>
      </c>
      <c r="K687" s="109" t="s">
        <v>48</v>
      </c>
      <c r="L687" s="109" t="s">
        <v>48</v>
      </c>
      <c r="M687" s="166" t="s">
        <v>48</v>
      </c>
      <c r="N687" s="162" t="s">
        <v>48</v>
      </c>
      <c r="O687" s="109" t="s">
        <v>48</v>
      </c>
      <c r="P687" s="162" t="s">
        <v>48</v>
      </c>
      <c r="Q687" s="109" t="s">
        <v>48</v>
      </c>
      <c r="R687" s="109" t="s">
        <v>48</v>
      </c>
      <c r="S687" s="109" t="s">
        <v>48</v>
      </c>
      <c r="T687" s="109" t="s">
        <v>48</v>
      </c>
      <c r="U687" s="109" t="s">
        <v>48</v>
      </c>
      <c r="V687" s="166" t="s">
        <v>48</v>
      </c>
      <c r="W687" s="109" t="s">
        <v>47</v>
      </c>
      <c r="X687" s="109" t="str">
        <f>W687</f>
        <v>1.8.13,   2.5.19,     3.3.9</v>
      </c>
      <c r="Y687" s="109" t="s">
        <v>48</v>
      </c>
      <c r="Z687" s="109" t="s">
        <v>48</v>
      </c>
      <c r="AA687" s="109" t="s">
        <v>48</v>
      </c>
      <c r="AB687" s="109" t="s">
        <v>48</v>
      </c>
      <c r="AC687" s="109" t="s">
        <v>48</v>
      </c>
      <c r="AD687" s="166" t="s">
        <v>48</v>
      </c>
      <c r="AE687" s="165" t="s">
        <v>48</v>
      </c>
      <c r="AF687" s="109" t="s">
        <v>48</v>
      </c>
      <c r="AG687" s="109" t="s">
        <v>48</v>
      </c>
      <c r="AH687" s="109" t="s">
        <v>48</v>
      </c>
      <c r="AI687" s="109" t="s">
        <v>48</v>
      </c>
      <c r="AJ687" s="109" t="s">
        <v>48</v>
      </c>
      <c r="AK687" s="166" t="s">
        <v>48</v>
      </c>
      <c r="AL687" s="109" t="s">
        <v>47</v>
      </c>
      <c r="AM687" s="109" t="str">
        <f>AL687</f>
        <v>1.8.13,   2.5.19,     3.3.9</v>
      </c>
      <c r="AN687" s="109" t="s">
        <v>48</v>
      </c>
      <c r="AO687" s="109" t="s">
        <v>48</v>
      </c>
      <c r="AP687" s="109" t="s">
        <v>48</v>
      </c>
      <c r="AQ687" s="109" t="s">
        <v>48</v>
      </c>
      <c r="AR687" s="109" t="s">
        <v>48</v>
      </c>
      <c r="AS687" s="166" t="s">
        <v>48</v>
      </c>
      <c r="AT687" s="165" t="s">
        <v>48</v>
      </c>
      <c r="AU687" s="109" t="s">
        <v>48</v>
      </c>
      <c r="AV687" s="109" t="s">
        <v>48</v>
      </c>
      <c r="AW687" s="109" t="s">
        <v>48</v>
      </c>
      <c r="AX687" s="109" t="s">
        <v>48</v>
      </c>
      <c r="AY687" s="109" t="s">
        <v>48</v>
      </c>
      <c r="AZ687" s="166" t="s">
        <v>48</v>
      </c>
      <c r="BA687" s="162" t="s">
        <v>48</v>
      </c>
      <c r="BB687" s="109" t="s">
        <v>49</v>
      </c>
      <c r="BC687" s="79"/>
    </row>
    <row r="688" spans="1:55" ht="75" hidden="1" customHeight="1">
      <c r="A688" s="109" t="s">
        <v>6</v>
      </c>
      <c r="B688" s="109" t="s">
        <v>6</v>
      </c>
      <c r="C688" s="109">
        <v>9.1</v>
      </c>
      <c r="D688" s="109" t="s">
        <v>564</v>
      </c>
      <c r="E688" s="161">
        <v>15000</v>
      </c>
      <c r="F688" s="109" t="s">
        <v>85</v>
      </c>
      <c r="G688" s="109" t="str">
        <f>F688</f>
        <v>91.29I_M4A_0723.d</v>
      </c>
      <c r="H688" s="109" t="s">
        <v>759</v>
      </c>
      <c r="I688" s="109" t="s">
        <v>1908</v>
      </c>
      <c r="J688" s="109" t="s">
        <v>1910</v>
      </c>
      <c r="K688" s="109" t="s">
        <v>1910</v>
      </c>
      <c r="L688" s="109" t="s">
        <v>760</v>
      </c>
      <c r="M688" s="166" t="s">
        <v>795</v>
      </c>
      <c r="N688" s="162" t="s">
        <v>48</v>
      </c>
      <c r="O688" s="109" t="s">
        <v>48</v>
      </c>
      <c r="P688" s="162" t="s">
        <v>48</v>
      </c>
      <c r="Q688" s="109" t="s">
        <v>48</v>
      </c>
      <c r="R688" s="109" t="s">
        <v>48</v>
      </c>
      <c r="S688" s="109" t="s">
        <v>48</v>
      </c>
      <c r="T688" s="109" t="s">
        <v>48</v>
      </c>
      <c r="U688" s="109" t="s">
        <v>48</v>
      </c>
      <c r="V688" s="166" t="s">
        <v>48</v>
      </c>
      <c r="W688" s="109" t="s">
        <v>564</v>
      </c>
      <c r="X688" s="109" t="s">
        <v>564</v>
      </c>
      <c r="Y688" s="109" t="s">
        <v>48</v>
      </c>
      <c r="Z688" s="109" t="s">
        <v>48</v>
      </c>
      <c r="AA688" s="109" t="s">
        <v>48</v>
      </c>
      <c r="AB688" s="109" t="s">
        <v>48</v>
      </c>
      <c r="AC688" s="109" t="s">
        <v>48</v>
      </c>
      <c r="AD688" s="166" t="s">
        <v>48</v>
      </c>
      <c r="AE688" s="165" t="s">
        <v>48</v>
      </c>
      <c r="AF688" s="109" t="s">
        <v>48</v>
      </c>
      <c r="AG688" s="109" t="s">
        <v>48</v>
      </c>
      <c r="AH688" s="109" t="s">
        <v>48</v>
      </c>
      <c r="AI688" s="109" t="s">
        <v>48</v>
      </c>
      <c r="AJ688" s="109" t="s">
        <v>48</v>
      </c>
      <c r="AK688" s="166" t="s">
        <v>48</v>
      </c>
      <c r="AL688" s="109" t="s">
        <v>564</v>
      </c>
      <c r="AM688" s="109" t="s">
        <v>564</v>
      </c>
      <c r="AN688" s="109" t="s">
        <v>48</v>
      </c>
      <c r="AO688" s="109" t="s">
        <v>48</v>
      </c>
      <c r="AP688" s="109" t="s">
        <v>48</v>
      </c>
      <c r="AQ688" s="109" t="s">
        <v>48</v>
      </c>
      <c r="AR688" s="109" t="s">
        <v>48</v>
      </c>
      <c r="AS688" s="166" t="s">
        <v>48</v>
      </c>
      <c r="AT688" s="165" t="s">
        <v>48</v>
      </c>
      <c r="AU688" s="109" t="s">
        <v>48</v>
      </c>
      <c r="AV688" s="109" t="s">
        <v>48</v>
      </c>
      <c r="AW688" s="109" t="s">
        <v>48</v>
      </c>
      <c r="AX688" s="109" t="s">
        <v>48</v>
      </c>
      <c r="AY688" s="109" t="s">
        <v>48</v>
      </c>
      <c r="AZ688" s="166" t="s">
        <v>48</v>
      </c>
      <c r="BA688" s="162" t="s">
        <v>273</v>
      </c>
      <c r="BB688" s="109" t="s">
        <v>49</v>
      </c>
      <c r="BC688" s="79"/>
    </row>
    <row r="689" spans="1:55" ht="56.5" hidden="1" customHeight="1">
      <c r="A689" s="109" t="s">
        <v>6</v>
      </c>
      <c r="B689" s="109" t="s">
        <v>6</v>
      </c>
      <c r="C689" s="109">
        <v>9.1</v>
      </c>
      <c r="D689" s="109" t="s">
        <v>85</v>
      </c>
      <c r="E689" s="161">
        <v>15000</v>
      </c>
      <c r="F689" s="165" t="s">
        <v>85</v>
      </c>
      <c r="G689" s="109" t="str">
        <f>F689</f>
        <v>91.29I_M4A_0723.d</v>
      </c>
      <c r="H689" s="109" t="s">
        <v>759</v>
      </c>
      <c r="I689" s="109" t="s">
        <v>1908</v>
      </c>
      <c r="J689" s="109" t="s">
        <v>751</v>
      </c>
      <c r="K689" s="109" t="s">
        <v>751</v>
      </c>
      <c r="L689" s="109" t="s">
        <v>760</v>
      </c>
      <c r="M689" s="166" t="s">
        <v>761</v>
      </c>
      <c r="N689" s="162" t="s">
        <v>48</v>
      </c>
      <c r="O689" s="109" t="s">
        <v>48</v>
      </c>
      <c r="P689" s="162" t="s">
        <v>48</v>
      </c>
      <c r="Q689" s="109" t="s">
        <v>48</v>
      </c>
      <c r="R689" s="109" t="s">
        <v>48</v>
      </c>
      <c r="S689" s="109" t="s">
        <v>48</v>
      </c>
      <c r="T689" s="109" t="s">
        <v>48</v>
      </c>
      <c r="U689" s="109" t="s">
        <v>48</v>
      </c>
      <c r="V689" s="166" t="s">
        <v>48</v>
      </c>
      <c r="W689" s="165" t="s">
        <v>85</v>
      </c>
      <c r="X689" s="109" t="str">
        <f>W689</f>
        <v>91.29I_M4A_0723.d</v>
      </c>
      <c r="Y689" s="109" t="s">
        <v>48</v>
      </c>
      <c r="Z689" s="109" t="s">
        <v>48</v>
      </c>
      <c r="AA689" s="109" t="s">
        <v>48</v>
      </c>
      <c r="AB689" s="109" t="s">
        <v>48</v>
      </c>
      <c r="AC689" s="109" t="s">
        <v>48</v>
      </c>
      <c r="AD689" s="166" t="s">
        <v>48</v>
      </c>
      <c r="AE689" s="165" t="s">
        <v>48</v>
      </c>
      <c r="AF689" s="109" t="s">
        <v>48</v>
      </c>
      <c r="AG689" s="109" t="s">
        <v>48</v>
      </c>
      <c r="AH689" s="109" t="s">
        <v>48</v>
      </c>
      <c r="AI689" s="109" t="s">
        <v>48</v>
      </c>
      <c r="AJ689" s="109" t="s">
        <v>48</v>
      </c>
      <c r="AK689" s="166" t="s">
        <v>48</v>
      </c>
      <c r="AL689" s="165" t="s">
        <v>85</v>
      </c>
      <c r="AM689" s="109" t="str">
        <f>AL689</f>
        <v>91.29I_M4A_0723.d</v>
      </c>
      <c r="AN689" s="166" t="s">
        <v>48</v>
      </c>
      <c r="AO689" s="166" t="s">
        <v>48</v>
      </c>
      <c r="AP689" s="166" t="s">
        <v>48</v>
      </c>
      <c r="AQ689" s="166" t="s">
        <v>48</v>
      </c>
      <c r="AR689" s="166" t="s">
        <v>48</v>
      </c>
      <c r="AS689" s="166" t="s">
        <v>48</v>
      </c>
      <c r="AT689" s="165" t="s">
        <v>48</v>
      </c>
      <c r="AU689" s="109" t="s">
        <v>48</v>
      </c>
      <c r="AV689" s="109" t="s">
        <v>48</v>
      </c>
      <c r="AW689" s="109" t="s">
        <v>48</v>
      </c>
      <c r="AX689" s="109" t="s">
        <v>48</v>
      </c>
      <c r="AY689" s="109" t="s">
        <v>48</v>
      </c>
      <c r="AZ689" s="166" t="s">
        <v>48</v>
      </c>
      <c r="BA689" s="166" t="s">
        <v>749</v>
      </c>
      <c r="BB689" s="166" t="s">
        <v>49</v>
      </c>
      <c r="BC689" s="198"/>
    </row>
    <row r="690" spans="1:55" ht="75" hidden="1" customHeight="1">
      <c r="A690" s="109" t="s">
        <v>6</v>
      </c>
      <c r="B690" s="109" t="s">
        <v>6</v>
      </c>
      <c r="C690" s="109">
        <v>8.3000000000000007</v>
      </c>
      <c r="D690" s="109" t="s">
        <v>69</v>
      </c>
      <c r="E690" s="161">
        <v>15000</v>
      </c>
      <c r="F690" s="165" t="s">
        <v>69</v>
      </c>
      <c r="G690" s="109" t="str">
        <f>F690</f>
        <v>83.273Q_M5_0012.a</v>
      </c>
      <c r="H690" s="109" t="s">
        <v>48</v>
      </c>
      <c r="I690" s="109" t="s">
        <v>48</v>
      </c>
      <c r="J690" s="109" t="s">
        <v>48</v>
      </c>
      <c r="K690" s="109" t="s">
        <v>48</v>
      </c>
      <c r="L690" s="109" t="s">
        <v>48</v>
      </c>
      <c r="M690" s="166" t="s">
        <v>48</v>
      </c>
      <c r="N690" s="162" t="s">
        <v>48</v>
      </c>
      <c r="O690" s="109" t="s">
        <v>48</v>
      </c>
      <c r="P690" s="162" t="s">
        <v>48</v>
      </c>
      <c r="Q690" s="109" t="s">
        <v>48</v>
      </c>
      <c r="R690" s="109" t="s">
        <v>48</v>
      </c>
      <c r="S690" s="109" t="s">
        <v>48</v>
      </c>
      <c r="T690" s="109" t="s">
        <v>48</v>
      </c>
      <c r="U690" s="109" t="s">
        <v>48</v>
      </c>
      <c r="V690" s="166" t="s">
        <v>48</v>
      </c>
      <c r="W690" s="165" t="s">
        <v>69</v>
      </c>
      <c r="X690" s="109" t="str">
        <f>W690</f>
        <v>83.273Q_M5_0012.a</v>
      </c>
      <c r="Y690" s="109" t="s">
        <v>48</v>
      </c>
      <c r="Z690" s="109" t="s">
        <v>48</v>
      </c>
      <c r="AA690" s="109" t="s">
        <v>48</v>
      </c>
      <c r="AB690" s="109" t="s">
        <v>48</v>
      </c>
      <c r="AC690" s="109" t="s">
        <v>48</v>
      </c>
      <c r="AD690" s="166" t="s">
        <v>48</v>
      </c>
      <c r="AE690" s="165" t="s">
        <v>48</v>
      </c>
      <c r="AF690" s="109" t="s">
        <v>48</v>
      </c>
      <c r="AG690" s="109" t="s">
        <v>48</v>
      </c>
      <c r="AH690" s="109" t="s">
        <v>48</v>
      </c>
      <c r="AI690" s="109" t="s">
        <v>48</v>
      </c>
      <c r="AJ690" s="109" t="s">
        <v>48</v>
      </c>
      <c r="AK690" s="166" t="s">
        <v>48</v>
      </c>
      <c r="AL690" s="165" t="s">
        <v>69</v>
      </c>
      <c r="AM690" s="109" t="str">
        <f>AL690</f>
        <v>83.273Q_M5_0012.a</v>
      </c>
      <c r="AN690" s="109" t="s">
        <v>48</v>
      </c>
      <c r="AO690" s="109" t="s">
        <v>48</v>
      </c>
      <c r="AP690" s="109" t="s">
        <v>48</v>
      </c>
      <c r="AQ690" s="109" t="s">
        <v>48</v>
      </c>
      <c r="AR690" s="109" t="s">
        <v>48</v>
      </c>
      <c r="AS690" s="109" t="s">
        <v>48</v>
      </c>
      <c r="AT690" s="165" t="s">
        <v>48</v>
      </c>
      <c r="AU690" s="109" t="s">
        <v>48</v>
      </c>
      <c r="AV690" s="109" t="s">
        <v>48</v>
      </c>
      <c r="AW690" s="109" t="s">
        <v>48</v>
      </c>
      <c r="AX690" s="109" t="s">
        <v>48</v>
      </c>
      <c r="AY690" s="109" t="s">
        <v>48</v>
      </c>
      <c r="AZ690" s="166" t="s">
        <v>48</v>
      </c>
      <c r="BA690" s="109" t="s">
        <v>48</v>
      </c>
      <c r="BB690" s="109" t="s">
        <v>49</v>
      </c>
      <c r="BC690" s="79"/>
    </row>
    <row r="691" spans="1:55" ht="75" hidden="1" customHeight="1">
      <c r="A691" s="109" t="s">
        <v>464</v>
      </c>
      <c r="B691" s="109" t="s">
        <v>464</v>
      </c>
      <c r="C691" s="109"/>
      <c r="D691" s="109">
        <v>3.53</v>
      </c>
      <c r="E691" s="161">
        <v>15000</v>
      </c>
      <c r="F691" s="165">
        <v>3.53</v>
      </c>
      <c r="G691" s="109">
        <f>F691</f>
        <v>3.53</v>
      </c>
      <c r="H691" s="109" t="s">
        <v>48</v>
      </c>
      <c r="I691" s="109" t="s">
        <v>48</v>
      </c>
      <c r="J691" s="109" t="s">
        <v>48</v>
      </c>
      <c r="K691" s="109" t="s">
        <v>48</v>
      </c>
      <c r="L691" s="109" t="s">
        <v>48</v>
      </c>
      <c r="M691" s="166" t="s">
        <v>48</v>
      </c>
      <c r="N691" s="162" t="s">
        <v>48</v>
      </c>
      <c r="O691" s="109" t="s">
        <v>48</v>
      </c>
      <c r="P691" s="162" t="s">
        <v>48</v>
      </c>
      <c r="Q691" s="109" t="s">
        <v>48</v>
      </c>
      <c r="R691" s="109" t="s">
        <v>48</v>
      </c>
      <c r="S691" s="109" t="s">
        <v>48</v>
      </c>
      <c r="T691" s="109" t="s">
        <v>48</v>
      </c>
      <c r="U691" s="109" t="s">
        <v>48</v>
      </c>
      <c r="V691" s="166" t="s">
        <v>48</v>
      </c>
      <c r="W691" s="165">
        <v>3.53</v>
      </c>
      <c r="X691" s="109">
        <f>W691</f>
        <v>3.53</v>
      </c>
      <c r="Y691" s="109" t="s">
        <v>48</v>
      </c>
      <c r="Z691" s="109" t="s">
        <v>48</v>
      </c>
      <c r="AA691" s="109" t="s">
        <v>48</v>
      </c>
      <c r="AB691" s="109" t="s">
        <v>48</v>
      </c>
      <c r="AC691" s="109" t="s">
        <v>48</v>
      </c>
      <c r="AD691" s="166" t="s">
        <v>48</v>
      </c>
      <c r="AE691" s="165" t="s">
        <v>48</v>
      </c>
      <c r="AF691" s="109" t="s">
        <v>48</v>
      </c>
      <c r="AG691" s="109" t="s">
        <v>48</v>
      </c>
      <c r="AH691" s="109" t="s">
        <v>48</v>
      </c>
      <c r="AI691" s="109" t="s">
        <v>48</v>
      </c>
      <c r="AJ691" s="109" t="s">
        <v>48</v>
      </c>
      <c r="AK691" s="166" t="s">
        <v>48</v>
      </c>
      <c r="AL691" s="165">
        <v>3.53</v>
      </c>
      <c r="AM691" s="109">
        <f>AL691</f>
        <v>3.53</v>
      </c>
      <c r="AN691" s="109" t="s">
        <v>48</v>
      </c>
      <c r="AO691" s="109" t="s">
        <v>48</v>
      </c>
      <c r="AP691" s="109" t="s">
        <v>48</v>
      </c>
      <c r="AQ691" s="109" t="s">
        <v>48</v>
      </c>
      <c r="AR691" s="109" t="s">
        <v>48</v>
      </c>
      <c r="AS691" s="109" t="s">
        <v>48</v>
      </c>
      <c r="AT691" s="165" t="s">
        <v>48</v>
      </c>
      <c r="AU691" s="109" t="s">
        <v>48</v>
      </c>
      <c r="AV691" s="109" t="s">
        <v>48</v>
      </c>
      <c r="AW691" s="109" t="s">
        <v>48</v>
      </c>
      <c r="AX691" s="109" t="s">
        <v>48</v>
      </c>
      <c r="AY691" s="109" t="s">
        <v>48</v>
      </c>
      <c r="AZ691" s="166" t="s">
        <v>48</v>
      </c>
      <c r="BA691" s="109" t="s">
        <v>48</v>
      </c>
      <c r="BB691" s="109" t="s">
        <v>49</v>
      </c>
      <c r="BC691" s="79"/>
    </row>
    <row r="692" spans="1:55" ht="75" customHeight="1">
      <c r="A692" s="109" t="s">
        <v>2509</v>
      </c>
      <c r="B692" s="109" t="s">
        <v>2510</v>
      </c>
      <c r="C692" s="109"/>
      <c r="D692" s="109" t="s">
        <v>1169</v>
      </c>
      <c r="E692" s="161">
        <v>15000</v>
      </c>
      <c r="F692" s="165" t="s">
        <v>1169</v>
      </c>
      <c r="G692" s="109" t="s">
        <v>1169</v>
      </c>
      <c r="H692" s="109" t="s">
        <v>48</v>
      </c>
      <c r="I692" s="109" t="s">
        <v>48</v>
      </c>
      <c r="J692" s="109" t="s">
        <v>48</v>
      </c>
      <c r="K692" s="109" t="s">
        <v>48</v>
      </c>
      <c r="L692" s="109" t="s">
        <v>48</v>
      </c>
      <c r="M692" s="166" t="s">
        <v>48</v>
      </c>
      <c r="N692" s="162" t="s">
        <v>48</v>
      </c>
      <c r="O692" s="109" t="s">
        <v>48</v>
      </c>
      <c r="P692" s="162" t="s">
        <v>48</v>
      </c>
      <c r="Q692" s="109" t="s">
        <v>48</v>
      </c>
      <c r="R692" s="109" t="s">
        <v>48</v>
      </c>
      <c r="S692" s="109" t="s">
        <v>48</v>
      </c>
      <c r="T692" s="109" t="s">
        <v>48</v>
      </c>
      <c r="U692" s="109" t="s">
        <v>48</v>
      </c>
      <c r="V692" s="166" t="s">
        <v>48</v>
      </c>
      <c r="W692" s="165" t="s">
        <v>1169</v>
      </c>
      <c r="X692" s="109" t="s">
        <v>1169</v>
      </c>
      <c r="Y692" s="109" t="s">
        <v>48</v>
      </c>
      <c r="Z692" s="109" t="s">
        <v>48</v>
      </c>
      <c r="AA692" s="109" t="s">
        <v>48</v>
      </c>
      <c r="AB692" s="109" t="s">
        <v>48</v>
      </c>
      <c r="AC692" s="109" t="s">
        <v>48</v>
      </c>
      <c r="AD692" s="166" t="s">
        <v>48</v>
      </c>
      <c r="AE692" s="174" t="s">
        <v>48</v>
      </c>
      <c r="AF692" s="117" t="s">
        <v>48</v>
      </c>
      <c r="AG692" s="117" t="s">
        <v>48</v>
      </c>
      <c r="AH692" s="109" t="s">
        <v>48</v>
      </c>
      <c r="AI692" s="117" t="s">
        <v>48</v>
      </c>
      <c r="AJ692" s="117" t="s">
        <v>48</v>
      </c>
      <c r="AK692" s="182" t="s">
        <v>48</v>
      </c>
      <c r="AL692" s="165" t="s">
        <v>1117</v>
      </c>
      <c r="AM692" s="109" t="s">
        <v>1169</v>
      </c>
      <c r="AN692" s="109" t="s">
        <v>48</v>
      </c>
      <c r="AO692" s="109" t="s">
        <v>48</v>
      </c>
      <c r="AP692" s="165" t="s">
        <v>48</v>
      </c>
      <c r="AQ692" s="165" t="s">
        <v>48</v>
      </c>
      <c r="AR692" s="165" t="s">
        <v>48</v>
      </c>
      <c r="AS692" s="165" t="s">
        <v>48</v>
      </c>
      <c r="AT692" s="165" t="s">
        <v>48</v>
      </c>
      <c r="AU692" s="109" t="s">
        <v>48</v>
      </c>
      <c r="AV692" s="109" t="s">
        <v>48</v>
      </c>
      <c r="AW692" s="109" t="s">
        <v>48</v>
      </c>
      <c r="AX692" s="109" t="s">
        <v>48</v>
      </c>
      <c r="AY692" s="109" t="s">
        <v>48</v>
      </c>
      <c r="AZ692" s="166" t="s">
        <v>48</v>
      </c>
      <c r="BA692" s="162" t="s">
        <v>48</v>
      </c>
      <c r="BB692" s="109" t="s">
        <v>48</v>
      </c>
      <c r="BC692" s="109" t="s">
        <v>48</v>
      </c>
    </row>
    <row r="693" spans="1:55" ht="75" customHeight="1">
      <c r="A693" s="109" t="s">
        <v>2511</v>
      </c>
      <c r="B693" s="109" t="s">
        <v>2512</v>
      </c>
      <c r="C693" s="109"/>
      <c r="D693" s="109" t="s">
        <v>1169</v>
      </c>
      <c r="E693" s="161">
        <v>15000</v>
      </c>
      <c r="F693" s="109" t="s">
        <v>1169</v>
      </c>
      <c r="G693" s="109" t="s">
        <v>1169</v>
      </c>
      <c r="H693" s="109" t="s">
        <v>48</v>
      </c>
      <c r="I693" s="109" t="s">
        <v>48</v>
      </c>
      <c r="J693" s="109" t="s">
        <v>48</v>
      </c>
      <c r="K693" s="109" t="s">
        <v>48</v>
      </c>
      <c r="L693" s="109" t="s">
        <v>48</v>
      </c>
      <c r="M693" s="109" t="s">
        <v>48</v>
      </c>
      <c r="N693" s="109" t="s">
        <v>48</v>
      </c>
      <c r="O693" s="109" t="s">
        <v>48</v>
      </c>
      <c r="P693" s="162" t="s">
        <v>48</v>
      </c>
      <c r="Q693" s="109" t="s">
        <v>48</v>
      </c>
      <c r="R693" s="109" t="s">
        <v>48</v>
      </c>
      <c r="S693" s="109" t="s">
        <v>48</v>
      </c>
      <c r="T693" s="109" t="s">
        <v>48</v>
      </c>
      <c r="U693" s="109" t="s">
        <v>48</v>
      </c>
      <c r="V693" s="109" t="s">
        <v>48</v>
      </c>
      <c r="W693" s="109" t="s">
        <v>1169</v>
      </c>
      <c r="X693" s="109" t="s">
        <v>1169</v>
      </c>
      <c r="Y693" s="109" t="s">
        <v>48</v>
      </c>
      <c r="Z693" s="109" t="s">
        <v>48</v>
      </c>
      <c r="AA693" s="109" t="s">
        <v>48</v>
      </c>
      <c r="AB693" s="109" t="s">
        <v>48</v>
      </c>
      <c r="AC693" s="109" t="s">
        <v>48</v>
      </c>
      <c r="AD693" s="109" t="s">
        <v>48</v>
      </c>
      <c r="AE693" s="117" t="s">
        <v>48</v>
      </c>
      <c r="AF693" s="117" t="s">
        <v>48</v>
      </c>
      <c r="AG693" s="117" t="s">
        <v>48</v>
      </c>
      <c r="AH693" s="109" t="s">
        <v>48</v>
      </c>
      <c r="AI693" s="117" t="s">
        <v>48</v>
      </c>
      <c r="AJ693" s="117" t="s">
        <v>48</v>
      </c>
      <c r="AK693" s="117" t="s">
        <v>48</v>
      </c>
      <c r="AL693" s="109" t="s">
        <v>1117</v>
      </c>
      <c r="AM693" s="109" t="s">
        <v>1169</v>
      </c>
      <c r="AN693" s="109" t="s">
        <v>48</v>
      </c>
      <c r="AO693" s="109" t="s">
        <v>48</v>
      </c>
      <c r="AP693" s="109" t="s">
        <v>48</v>
      </c>
      <c r="AQ693" s="109" t="s">
        <v>48</v>
      </c>
      <c r="AR693" s="109" t="s">
        <v>48</v>
      </c>
      <c r="AS693" s="109" t="s">
        <v>48</v>
      </c>
      <c r="AT693" s="109" t="s">
        <v>48</v>
      </c>
      <c r="AU693" s="109" t="s">
        <v>48</v>
      </c>
      <c r="AV693" s="109" t="s">
        <v>48</v>
      </c>
      <c r="AW693" s="109" t="s">
        <v>48</v>
      </c>
      <c r="AX693" s="109" t="s">
        <v>48</v>
      </c>
      <c r="AY693" s="109" t="s">
        <v>48</v>
      </c>
      <c r="AZ693" s="109" t="s">
        <v>48</v>
      </c>
      <c r="BA693" s="162" t="s">
        <v>48</v>
      </c>
      <c r="BB693" s="109" t="s">
        <v>48</v>
      </c>
      <c r="BC693" s="109" t="s">
        <v>48</v>
      </c>
    </row>
    <row r="694" spans="1:55" ht="75" customHeight="1">
      <c r="A694" s="109" t="s">
        <v>2509</v>
      </c>
      <c r="B694" s="109" t="s">
        <v>2510</v>
      </c>
      <c r="C694" s="109"/>
      <c r="D694" s="109" t="s">
        <v>450</v>
      </c>
      <c r="E694" s="161">
        <v>15000</v>
      </c>
      <c r="F694" s="109" t="s">
        <v>450</v>
      </c>
      <c r="G694" s="109" t="s">
        <v>450</v>
      </c>
      <c r="H694" s="109" t="s">
        <v>48</v>
      </c>
      <c r="I694" s="109" t="s">
        <v>48</v>
      </c>
      <c r="J694" s="109" t="s">
        <v>48</v>
      </c>
      <c r="K694" s="109" t="s">
        <v>48</v>
      </c>
      <c r="L694" s="109" t="s">
        <v>48</v>
      </c>
      <c r="M694" s="109" t="s">
        <v>48</v>
      </c>
      <c r="N694" s="109" t="s">
        <v>48</v>
      </c>
      <c r="O694" s="109" t="s">
        <v>48</v>
      </c>
      <c r="P694" s="162" t="s">
        <v>48</v>
      </c>
      <c r="Q694" s="109" t="s">
        <v>48</v>
      </c>
      <c r="R694" s="109" t="s">
        <v>48</v>
      </c>
      <c r="S694" s="109" t="s">
        <v>48</v>
      </c>
      <c r="T694" s="109" t="s">
        <v>48</v>
      </c>
      <c r="U694" s="109" t="s">
        <v>48</v>
      </c>
      <c r="V694" s="109" t="s">
        <v>48</v>
      </c>
      <c r="W694" s="109" t="s">
        <v>450</v>
      </c>
      <c r="X694" s="109" t="s">
        <v>450</v>
      </c>
      <c r="Y694" s="109" t="s">
        <v>48</v>
      </c>
      <c r="Z694" s="109" t="s">
        <v>48</v>
      </c>
      <c r="AA694" s="109" t="s">
        <v>48</v>
      </c>
      <c r="AB694" s="109" t="s">
        <v>48</v>
      </c>
      <c r="AC694" s="109" t="s">
        <v>48</v>
      </c>
      <c r="AD694" s="109" t="s">
        <v>48</v>
      </c>
      <c r="AE694" s="117" t="s">
        <v>48</v>
      </c>
      <c r="AF694" s="117" t="s">
        <v>48</v>
      </c>
      <c r="AG694" s="117" t="s">
        <v>48</v>
      </c>
      <c r="AH694" s="109" t="s">
        <v>48</v>
      </c>
      <c r="AI694" s="117" t="s">
        <v>48</v>
      </c>
      <c r="AJ694" s="117" t="s">
        <v>48</v>
      </c>
      <c r="AK694" s="117" t="s">
        <v>48</v>
      </c>
      <c r="AL694" s="109" t="s">
        <v>1117</v>
      </c>
      <c r="AM694" s="109" t="s">
        <v>450</v>
      </c>
      <c r="AN694" s="109" t="s">
        <v>2522</v>
      </c>
      <c r="AO694" s="109" t="s">
        <v>2522</v>
      </c>
      <c r="AP694" s="109" t="s">
        <v>2522</v>
      </c>
      <c r="AQ694" s="109" t="s">
        <v>2522</v>
      </c>
      <c r="AR694" s="109" t="s">
        <v>2522</v>
      </c>
      <c r="AS694" s="166" t="s">
        <v>2522</v>
      </c>
      <c r="AT694" s="109" t="s">
        <v>48</v>
      </c>
      <c r="AU694" s="109" t="s">
        <v>48</v>
      </c>
      <c r="AV694" s="109" t="s">
        <v>48</v>
      </c>
      <c r="AW694" s="109" t="s">
        <v>48</v>
      </c>
      <c r="AX694" s="109" t="s">
        <v>48</v>
      </c>
      <c r="AY694" s="109" t="s">
        <v>48</v>
      </c>
      <c r="AZ694" s="109" t="s">
        <v>48</v>
      </c>
      <c r="BA694" s="162"/>
      <c r="BB694" s="109"/>
      <c r="BC694" s="109"/>
    </row>
    <row r="695" spans="1:55" ht="75" customHeight="1">
      <c r="A695" s="109" t="s">
        <v>2511</v>
      </c>
      <c r="B695" s="109" t="s">
        <v>2512</v>
      </c>
      <c r="C695" s="109"/>
      <c r="D695" s="109" t="s">
        <v>450</v>
      </c>
      <c r="E695" s="161">
        <v>15000</v>
      </c>
      <c r="F695" s="109" t="s">
        <v>450</v>
      </c>
      <c r="G695" s="109" t="s">
        <v>450</v>
      </c>
      <c r="H695" s="109" t="s">
        <v>48</v>
      </c>
      <c r="I695" s="109" t="s">
        <v>48</v>
      </c>
      <c r="J695" s="109" t="s">
        <v>48</v>
      </c>
      <c r="K695" s="109" t="s">
        <v>48</v>
      </c>
      <c r="L695" s="109" t="s">
        <v>48</v>
      </c>
      <c r="M695" s="109" t="s">
        <v>48</v>
      </c>
      <c r="N695" s="109" t="s">
        <v>48</v>
      </c>
      <c r="O695" s="109" t="s">
        <v>48</v>
      </c>
      <c r="P695" s="162" t="s">
        <v>48</v>
      </c>
      <c r="Q695" s="109" t="s">
        <v>48</v>
      </c>
      <c r="R695" s="109" t="s">
        <v>48</v>
      </c>
      <c r="S695" s="109" t="s">
        <v>48</v>
      </c>
      <c r="T695" s="109" t="s">
        <v>48</v>
      </c>
      <c r="U695" s="109" t="s">
        <v>48</v>
      </c>
      <c r="V695" s="109" t="s">
        <v>48</v>
      </c>
      <c r="W695" s="109" t="s">
        <v>450</v>
      </c>
      <c r="X695" s="109" t="s">
        <v>450</v>
      </c>
      <c r="Y695" s="109" t="s">
        <v>48</v>
      </c>
      <c r="Z695" s="109" t="s">
        <v>48</v>
      </c>
      <c r="AA695" s="109" t="s">
        <v>48</v>
      </c>
      <c r="AB695" s="109" t="s">
        <v>48</v>
      </c>
      <c r="AC695" s="109" t="s">
        <v>48</v>
      </c>
      <c r="AD695" s="109" t="s">
        <v>48</v>
      </c>
      <c r="AE695" s="117" t="s">
        <v>48</v>
      </c>
      <c r="AF695" s="117" t="s">
        <v>48</v>
      </c>
      <c r="AG695" s="117" t="s">
        <v>48</v>
      </c>
      <c r="AH695" s="109" t="s">
        <v>48</v>
      </c>
      <c r="AI695" s="117" t="s">
        <v>48</v>
      </c>
      <c r="AJ695" s="117" t="s">
        <v>48</v>
      </c>
      <c r="AK695" s="117" t="s">
        <v>48</v>
      </c>
      <c r="AL695" s="109" t="s">
        <v>1117</v>
      </c>
      <c r="AM695" s="109" t="s">
        <v>450</v>
      </c>
      <c r="AN695" s="109" t="s">
        <v>2522</v>
      </c>
      <c r="AO695" s="109" t="s">
        <v>2522</v>
      </c>
      <c r="AP695" s="109" t="s">
        <v>2522</v>
      </c>
      <c r="AQ695" s="109" t="s">
        <v>2522</v>
      </c>
      <c r="AR695" s="109" t="s">
        <v>2522</v>
      </c>
      <c r="AS695" s="166" t="s">
        <v>2522</v>
      </c>
      <c r="AT695" s="109" t="s">
        <v>48</v>
      </c>
      <c r="AU695" s="109" t="s">
        <v>48</v>
      </c>
      <c r="AV695" s="109" t="s">
        <v>48</v>
      </c>
      <c r="AW695" s="109" t="s">
        <v>48</v>
      </c>
      <c r="AX695" s="109" t="s">
        <v>48</v>
      </c>
      <c r="AY695" s="109" t="s">
        <v>48</v>
      </c>
      <c r="AZ695" s="109" t="s">
        <v>48</v>
      </c>
      <c r="BA695" s="162"/>
      <c r="BB695" s="109"/>
      <c r="BC695" s="109"/>
    </row>
    <row r="696" spans="1:55" ht="75" customHeight="1">
      <c r="A696" s="109" t="s">
        <v>2509</v>
      </c>
      <c r="B696" s="109" t="s">
        <v>2510</v>
      </c>
      <c r="C696" s="109"/>
      <c r="D696" s="109" t="s">
        <v>945</v>
      </c>
      <c r="E696" s="161">
        <v>15000</v>
      </c>
      <c r="F696" s="109" t="s">
        <v>945</v>
      </c>
      <c r="G696" s="109" t="s">
        <v>945</v>
      </c>
      <c r="H696" s="109" t="s">
        <v>48</v>
      </c>
      <c r="I696" s="109" t="s">
        <v>48</v>
      </c>
      <c r="J696" s="109" t="s">
        <v>48</v>
      </c>
      <c r="K696" s="109" t="s">
        <v>48</v>
      </c>
      <c r="L696" s="109" t="s">
        <v>48</v>
      </c>
      <c r="M696" s="109" t="s">
        <v>48</v>
      </c>
      <c r="N696" s="109" t="s">
        <v>48</v>
      </c>
      <c r="O696" s="109" t="s">
        <v>48</v>
      </c>
      <c r="P696" s="162" t="s">
        <v>48</v>
      </c>
      <c r="Q696" s="109" t="s">
        <v>48</v>
      </c>
      <c r="R696" s="109" t="s">
        <v>48</v>
      </c>
      <c r="S696" s="109" t="s">
        <v>48</v>
      </c>
      <c r="T696" s="109" t="s">
        <v>48</v>
      </c>
      <c r="U696" s="109" t="s">
        <v>48</v>
      </c>
      <c r="V696" s="109" t="s">
        <v>48</v>
      </c>
      <c r="W696" s="109" t="s">
        <v>945</v>
      </c>
      <c r="X696" s="109" t="s">
        <v>945</v>
      </c>
      <c r="Y696" s="109" t="s">
        <v>48</v>
      </c>
      <c r="Z696" s="109" t="s">
        <v>48</v>
      </c>
      <c r="AA696" s="184" t="s">
        <v>48</v>
      </c>
      <c r="AB696" s="184" t="s">
        <v>48</v>
      </c>
      <c r="AC696" s="109" t="s">
        <v>48</v>
      </c>
      <c r="AD696" s="109" t="s">
        <v>48</v>
      </c>
      <c r="AE696" s="117" t="s">
        <v>48</v>
      </c>
      <c r="AF696" s="117" t="s">
        <v>48</v>
      </c>
      <c r="AG696" s="117" t="s">
        <v>48</v>
      </c>
      <c r="AH696" s="109" t="s">
        <v>48</v>
      </c>
      <c r="AI696" s="117" t="s">
        <v>48</v>
      </c>
      <c r="AJ696" s="117" t="s">
        <v>48</v>
      </c>
      <c r="AK696" s="117" t="s">
        <v>48</v>
      </c>
      <c r="AL696" s="109" t="s">
        <v>1117</v>
      </c>
      <c r="AM696" s="109" t="s">
        <v>945</v>
      </c>
      <c r="AN696" s="109" t="s">
        <v>2522</v>
      </c>
      <c r="AO696" s="109" t="s">
        <v>2522</v>
      </c>
      <c r="AP696" s="109" t="s">
        <v>48</v>
      </c>
      <c r="AQ696" s="109" t="s">
        <v>48</v>
      </c>
      <c r="AR696" s="109" t="s">
        <v>48</v>
      </c>
      <c r="AS696" s="166" t="s">
        <v>48</v>
      </c>
      <c r="AT696" s="109" t="s">
        <v>48</v>
      </c>
      <c r="AU696" s="109" t="s">
        <v>48</v>
      </c>
      <c r="AV696" s="109" t="s">
        <v>48</v>
      </c>
      <c r="AW696" s="109" t="s">
        <v>48</v>
      </c>
      <c r="AX696" s="109" t="s">
        <v>48</v>
      </c>
      <c r="AY696" s="109" t="s">
        <v>48</v>
      </c>
      <c r="AZ696" s="109" t="s">
        <v>48</v>
      </c>
      <c r="BA696" s="162"/>
      <c r="BB696" s="109"/>
      <c r="BC696" s="109"/>
    </row>
    <row r="697" spans="1:55" ht="75" hidden="1" customHeight="1">
      <c r="A697" s="109" t="s">
        <v>2546</v>
      </c>
      <c r="B697" s="109" t="s">
        <v>2545</v>
      </c>
      <c r="C697" s="109" t="s">
        <v>2550</v>
      </c>
      <c r="D697" s="109" t="s">
        <v>2551</v>
      </c>
      <c r="E697" s="161">
        <v>15000</v>
      </c>
      <c r="F697" s="109" t="s">
        <v>2551</v>
      </c>
      <c r="G697" s="109" t="s">
        <v>2551</v>
      </c>
      <c r="H697" s="109" t="s">
        <v>48</v>
      </c>
      <c r="I697" s="109" t="s">
        <v>48</v>
      </c>
      <c r="J697" s="109" t="s">
        <v>48</v>
      </c>
      <c r="K697" s="109" t="s">
        <v>48</v>
      </c>
      <c r="L697" s="109" t="s">
        <v>48</v>
      </c>
      <c r="M697" s="166" t="s">
        <v>48</v>
      </c>
      <c r="N697" s="162" t="s">
        <v>48</v>
      </c>
      <c r="O697" s="109" t="s">
        <v>48</v>
      </c>
      <c r="P697" s="162" t="s">
        <v>48</v>
      </c>
      <c r="Q697" s="109" t="s">
        <v>48</v>
      </c>
      <c r="R697" s="109" t="s">
        <v>48</v>
      </c>
      <c r="S697" s="109" t="s">
        <v>48</v>
      </c>
      <c r="T697" s="109" t="s">
        <v>48</v>
      </c>
      <c r="U697" s="109" t="s">
        <v>48</v>
      </c>
      <c r="V697" s="166" t="s">
        <v>48</v>
      </c>
      <c r="W697" s="109" t="s">
        <v>2551</v>
      </c>
      <c r="X697" s="109" t="s">
        <v>2551</v>
      </c>
      <c r="Y697" s="109" t="s">
        <v>48</v>
      </c>
      <c r="Z697" s="109" t="s">
        <v>48</v>
      </c>
      <c r="AA697" s="109" t="s">
        <v>48</v>
      </c>
      <c r="AB697" s="109" t="s">
        <v>48</v>
      </c>
      <c r="AC697" s="109" t="s">
        <v>48</v>
      </c>
      <c r="AD697" s="166" t="s">
        <v>48</v>
      </c>
      <c r="AE697" s="165" t="s">
        <v>48</v>
      </c>
      <c r="AF697" s="109" t="s">
        <v>48</v>
      </c>
      <c r="AG697" s="109" t="s">
        <v>48</v>
      </c>
      <c r="AH697" s="109" t="s">
        <v>48</v>
      </c>
      <c r="AI697" s="109" t="s">
        <v>48</v>
      </c>
      <c r="AJ697" s="109" t="s">
        <v>48</v>
      </c>
      <c r="AK697" s="166" t="s">
        <v>48</v>
      </c>
      <c r="AL697" s="109" t="s">
        <v>2551</v>
      </c>
      <c r="AM697" s="109" t="s">
        <v>2551</v>
      </c>
      <c r="AN697" s="109" t="s">
        <v>48</v>
      </c>
      <c r="AO697" s="109" t="s">
        <v>48</v>
      </c>
      <c r="AP697" s="109" t="s">
        <v>48</v>
      </c>
      <c r="AQ697" s="109" t="s">
        <v>48</v>
      </c>
      <c r="AR697" s="109" t="s">
        <v>48</v>
      </c>
      <c r="AS697" s="166" t="s">
        <v>48</v>
      </c>
      <c r="AT697" s="165" t="s">
        <v>676</v>
      </c>
      <c r="AU697" s="109" t="s">
        <v>676</v>
      </c>
      <c r="AV697" s="109" t="s">
        <v>676</v>
      </c>
      <c r="AW697" s="109" t="s">
        <v>676</v>
      </c>
      <c r="AX697" s="109" t="s">
        <v>676</v>
      </c>
      <c r="AY697" s="109" t="s">
        <v>676</v>
      </c>
      <c r="AZ697" s="166" t="s">
        <v>676</v>
      </c>
      <c r="BA697" s="162" t="s">
        <v>676</v>
      </c>
      <c r="BB697" s="109" t="s">
        <v>82</v>
      </c>
      <c r="BC697" s="109" t="s">
        <v>2552</v>
      </c>
    </row>
    <row r="698" spans="1:55" s="244" customFormat="1" ht="75" customHeight="1">
      <c r="A698" s="4" t="s">
        <v>2484</v>
      </c>
      <c r="B698" s="115" t="s">
        <v>2803</v>
      </c>
      <c r="C698" s="7" t="s">
        <v>2870</v>
      </c>
      <c r="D698" s="7" t="s">
        <v>2868</v>
      </c>
      <c r="E698" s="240">
        <v>30000</v>
      </c>
      <c r="F698" s="7" t="s">
        <v>2868</v>
      </c>
      <c r="G698" s="7" t="s">
        <v>2868</v>
      </c>
      <c r="H698" s="7" t="s">
        <v>48</v>
      </c>
      <c r="I698" s="7" t="s">
        <v>48</v>
      </c>
      <c r="J698" s="7" t="s">
        <v>48</v>
      </c>
      <c r="K698" s="7" t="s">
        <v>48</v>
      </c>
      <c r="L698" s="7" t="s">
        <v>48</v>
      </c>
      <c r="M698" s="242" t="s">
        <v>48</v>
      </c>
      <c r="N698" s="241" t="s">
        <v>48</v>
      </c>
      <c r="O698" s="7" t="s">
        <v>48</v>
      </c>
      <c r="P698" s="241" t="s">
        <v>48</v>
      </c>
      <c r="Q698" s="7" t="s">
        <v>48</v>
      </c>
      <c r="R698" s="7" t="s">
        <v>48</v>
      </c>
      <c r="S698" s="7" t="s">
        <v>48</v>
      </c>
      <c r="T698" s="7" t="s">
        <v>48</v>
      </c>
      <c r="U698" s="7" t="s">
        <v>48</v>
      </c>
      <c r="V698" s="242" t="s">
        <v>48</v>
      </c>
      <c r="W698" s="7" t="s">
        <v>2487</v>
      </c>
      <c r="X698" s="7" t="s">
        <v>2487</v>
      </c>
      <c r="Y698" s="7" t="s">
        <v>48</v>
      </c>
      <c r="Z698" s="7" t="s">
        <v>48</v>
      </c>
      <c r="AA698" s="7" t="s">
        <v>48</v>
      </c>
      <c r="AB698" s="7" t="s">
        <v>48</v>
      </c>
      <c r="AC698" s="7" t="s">
        <v>48</v>
      </c>
      <c r="AD698" s="242" t="s">
        <v>48</v>
      </c>
      <c r="AE698" s="243" t="s">
        <v>48</v>
      </c>
      <c r="AF698" s="7" t="s">
        <v>48</v>
      </c>
      <c r="AG698" s="7" t="s">
        <v>48</v>
      </c>
      <c r="AH698" s="7" t="s">
        <v>48</v>
      </c>
      <c r="AI698" s="7" t="s">
        <v>48</v>
      </c>
      <c r="AJ698" s="7" t="s">
        <v>48</v>
      </c>
      <c r="AK698" s="242" t="s">
        <v>48</v>
      </c>
      <c r="AL698" s="7" t="s">
        <v>2868</v>
      </c>
      <c r="AM698" s="7" t="s">
        <v>2868</v>
      </c>
      <c r="AN698" s="7" t="s">
        <v>48</v>
      </c>
      <c r="AO698" s="7" t="s">
        <v>48</v>
      </c>
      <c r="AP698" s="7" t="s">
        <v>48</v>
      </c>
      <c r="AQ698" s="7" t="s">
        <v>48</v>
      </c>
      <c r="AR698" s="7" t="s">
        <v>48</v>
      </c>
      <c r="AS698" s="242" t="s">
        <v>48</v>
      </c>
      <c r="AT698" s="243" t="s">
        <v>676</v>
      </c>
      <c r="AU698" s="7" t="s">
        <v>676</v>
      </c>
      <c r="AV698" s="7" t="s">
        <v>676</v>
      </c>
      <c r="AW698" s="7" t="s">
        <v>676</v>
      </c>
      <c r="AX698" s="7" t="s">
        <v>676</v>
      </c>
      <c r="AY698" s="7" t="s">
        <v>676</v>
      </c>
      <c r="AZ698" s="242" t="s">
        <v>676</v>
      </c>
      <c r="BA698" s="241" t="s">
        <v>2554</v>
      </c>
      <c r="BB698" s="7" t="s">
        <v>2491</v>
      </c>
      <c r="BC698" s="7" t="s">
        <v>2886</v>
      </c>
    </row>
    <row r="699" spans="1:55" ht="75" hidden="1" customHeight="1">
      <c r="A699" s="1" t="s">
        <v>2340</v>
      </c>
      <c r="B699" s="109" t="s">
        <v>2561</v>
      </c>
      <c r="C699" s="109" t="s">
        <v>2492</v>
      </c>
      <c r="D699" s="109" t="s">
        <v>2488</v>
      </c>
      <c r="E699" s="161">
        <v>30000</v>
      </c>
      <c r="F699" s="165" t="s">
        <v>2488</v>
      </c>
      <c r="G699" s="109" t="s">
        <v>2488</v>
      </c>
      <c r="H699" s="109" t="s">
        <v>48</v>
      </c>
      <c r="I699" s="109" t="s">
        <v>48</v>
      </c>
      <c r="J699" s="109" t="s">
        <v>48</v>
      </c>
      <c r="K699" s="109" t="s">
        <v>48</v>
      </c>
      <c r="L699" s="109" t="s">
        <v>48</v>
      </c>
      <c r="M699" s="166" t="s">
        <v>48</v>
      </c>
      <c r="N699" s="162" t="s">
        <v>48</v>
      </c>
      <c r="O699" s="109" t="s">
        <v>48</v>
      </c>
      <c r="P699" s="162" t="s">
        <v>48</v>
      </c>
      <c r="Q699" s="109" t="s">
        <v>48</v>
      </c>
      <c r="R699" s="109" t="s">
        <v>48</v>
      </c>
      <c r="S699" s="109" t="s">
        <v>48</v>
      </c>
      <c r="T699" s="109" t="s">
        <v>48</v>
      </c>
      <c r="U699" s="109" t="s">
        <v>48</v>
      </c>
      <c r="V699" s="166" t="s">
        <v>48</v>
      </c>
      <c r="W699" s="165" t="s">
        <v>2488</v>
      </c>
      <c r="X699" s="109" t="s">
        <v>2488</v>
      </c>
      <c r="Y699" s="109" t="s">
        <v>48</v>
      </c>
      <c r="Z699" s="109" t="s">
        <v>48</v>
      </c>
      <c r="AA699" s="109" t="s">
        <v>48</v>
      </c>
      <c r="AB699" s="109" t="s">
        <v>48</v>
      </c>
      <c r="AC699" s="109" t="s">
        <v>48</v>
      </c>
      <c r="AD699" s="166" t="s">
        <v>48</v>
      </c>
      <c r="AE699" s="165" t="s">
        <v>48</v>
      </c>
      <c r="AF699" s="109" t="s">
        <v>48</v>
      </c>
      <c r="AG699" s="109" t="s">
        <v>48</v>
      </c>
      <c r="AH699" s="109" t="s">
        <v>48</v>
      </c>
      <c r="AI699" s="109" t="s">
        <v>48</v>
      </c>
      <c r="AJ699" s="109" t="s">
        <v>48</v>
      </c>
      <c r="AK699" s="166" t="s">
        <v>48</v>
      </c>
      <c r="AL699" s="165" t="s">
        <v>2488</v>
      </c>
      <c r="AM699" s="109" t="s">
        <v>2488</v>
      </c>
      <c r="AN699" s="109" t="s">
        <v>48</v>
      </c>
      <c r="AO699" s="109" t="s">
        <v>48</v>
      </c>
      <c r="AP699" s="109" t="s">
        <v>48</v>
      </c>
      <c r="AQ699" s="109" t="s">
        <v>48</v>
      </c>
      <c r="AR699" s="109" t="s">
        <v>48</v>
      </c>
      <c r="AS699" s="166" t="s">
        <v>48</v>
      </c>
      <c r="AT699" s="165" t="s">
        <v>676</v>
      </c>
      <c r="AU699" s="109" t="s">
        <v>676</v>
      </c>
      <c r="AV699" s="109" t="s">
        <v>676</v>
      </c>
      <c r="AW699" s="109" t="s">
        <v>676</v>
      </c>
      <c r="AX699" s="109" t="s">
        <v>676</v>
      </c>
      <c r="AY699" s="109" t="s">
        <v>676</v>
      </c>
      <c r="AZ699" s="166" t="s">
        <v>676</v>
      </c>
      <c r="BA699" s="162" t="s">
        <v>2554</v>
      </c>
      <c r="BB699" s="109" t="s">
        <v>2491</v>
      </c>
      <c r="BC699" s="109" t="s">
        <v>2490</v>
      </c>
    </row>
    <row r="700" spans="1:55" ht="75" hidden="1" customHeight="1">
      <c r="A700" s="1" t="s">
        <v>2562</v>
      </c>
      <c r="B700" s="109" t="s">
        <v>2563</v>
      </c>
      <c r="C700" s="109" t="s">
        <v>2492</v>
      </c>
      <c r="D700" s="109" t="s">
        <v>2488</v>
      </c>
      <c r="E700" s="161">
        <v>30000</v>
      </c>
      <c r="F700" s="165" t="s">
        <v>2488</v>
      </c>
      <c r="G700" s="109" t="s">
        <v>2488</v>
      </c>
      <c r="H700" s="109" t="s">
        <v>48</v>
      </c>
      <c r="I700" s="109" t="s">
        <v>48</v>
      </c>
      <c r="J700" s="109" t="s">
        <v>48</v>
      </c>
      <c r="K700" s="109" t="s">
        <v>48</v>
      </c>
      <c r="L700" s="109" t="s">
        <v>48</v>
      </c>
      <c r="M700" s="166" t="s">
        <v>48</v>
      </c>
      <c r="N700" s="162" t="s">
        <v>48</v>
      </c>
      <c r="O700" s="109" t="s">
        <v>48</v>
      </c>
      <c r="P700" s="162" t="s">
        <v>48</v>
      </c>
      <c r="Q700" s="109" t="s">
        <v>48</v>
      </c>
      <c r="R700" s="109" t="s">
        <v>48</v>
      </c>
      <c r="S700" s="109" t="s">
        <v>48</v>
      </c>
      <c r="T700" s="109" t="s">
        <v>48</v>
      </c>
      <c r="U700" s="109" t="s">
        <v>48</v>
      </c>
      <c r="V700" s="166" t="s">
        <v>48</v>
      </c>
      <c r="W700" s="165" t="s">
        <v>2488</v>
      </c>
      <c r="X700" s="109" t="s">
        <v>2488</v>
      </c>
      <c r="Y700" s="109" t="s">
        <v>48</v>
      </c>
      <c r="Z700" s="109" t="s">
        <v>48</v>
      </c>
      <c r="AA700" s="109" t="s">
        <v>48</v>
      </c>
      <c r="AB700" s="109" t="s">
        <v>48</v>
      </c>
      <c r="AC700" s="109" t="s">
        <v>48</v>
      </c>
      <c r="AD700" s="166" t="s">
        <v>48</v>
      </c>
      <c r="AE700" s="165" t="s">
        <v>48</v>
      </c>
      <c r="AF700" s="109" t="s">
        <v>48</v>
      </c>
      <c r="AG700" s="109" t="s">
        <v>48</v>
      </c>
      <c r="AH700" s="109" t="s">
        <v>48</v>
      </c>
      <c r="AI700" s="109" t="s">
        <v>48</v>
      </c>
      <c r="AJ700" s="109" t="s">
        <v>48</v>
      </c>
      <c r="AK700" s="166" t="s">
        <v>48</v>
      </c>
      <c r="AL700" s="165" t="s">
        <v>2488</v>
      </c>
      <c r="AM700" s="109" t="s">
        <v>2488</v>
      </c>
      <c r="AN700" s="109" t="s">
        <v>48</v>
      </c>
      <c r="AO700" s="109" t="s">
        <v>48</v>
      </c>
      <c r="AP700" s="109" t="s">
        <v>48</v>
      </c>
      <c r="AQ700" s="109" t="s">
        <v>48</v>
      </c>
      <c r="AR700" s="109" t="s">
        <v>48</v>
      </c>
      <c r="AS700" s="166" t="s">
        <v>48</v>
      </c>
      <c r="AT700" s="165" t="s">
        <v>676</v>
      </c>
      <c r="AU700" s="109" t="s">
        <v>676</v>
      </c>
      <c r="AV700" s="109" t="s">
        <v>676</v>
      </c>
      <c r="AW700" s="109" t="s">
        <v>676</v>
      </c>
      <c r="AX700" s="109" t="s">
        <v>676</v>
      </c>
      <c r="AY700" s="109" t="s">
        <v>676</v>
      </c>
      <c r="AZ700" s="166" t="s">
        <v>676</v>
      </c>
      <c r="BA700" s="162" t="s">
        <v>2554</v>
      </c>
      <c r="BB700" s="109" t="s">
        <v>2491</v>
      </c>
      <c r="BC700" s="109" t="s">
        <v>2490</v>
      </c>
    </row>
    <row r="701" spans="1:55" ht="75" hidden="1" customHeight="1">
      <c r="A701" s="1" t="s">
        <v>2564</v>
      </c>
      <c r="B701" s="109" t="s">
        <v>2565</v>
      </c>
      <c r="C701" s="109" t="s">
        <v>2492</v>
      </c>
      <c r="D701" s="109" t="s">
        <v>2488</v>
      </c>
      <c r="E701" s="161">
        <v>30000</v>
      </c>
      <c r="F701" s="165" t="s">
        <v>2488</v>
      </c>
      <c r="G701" s="109" t="s">
        <v>2488</v>
      </c>
      <c r="H701" s="109" t="s">
        <v>48</v>
      </c>
      <c r="I701" s="109" t="s">
        <v>48</v>
      </c>
      <c r="J701" s="109" t="s">
        <v>48</v>
      </c>
      <c r="K701" s="109" t="s">
        <v>48</v>
      </c>
      <c r="L701" s="109" t="s">
        <v>48</v>
      </c>
      <c r="M701" s="166" t="s">
        <v>48</v>
      </c>
      <c r="N701" s="162" t="s">
        <v>48</v>
      </c>
      <c r="O701" s="109" t="s">
        <v>48</v>
      </c>
      <c r="P701" s="162" t="s">
        <v>48</v>
      </c>
      <c r="Q701" s="109" t="s">
        <v>48</v>
      </c>
      <c r="R701" s="109" t="s">
        <v>48</v>
      </c>
      <c r="S701" s="109" t="s">
        <v>48</v>
      </c>
      <c r="T701" s="109" t="s">
        <v>48</v>
      </c>
      <c r="U701" s="109" t="s">
        <v>48</v>
      </c>
      <c r="V701" s="166" t="s">
        <v>48</v>
      </c>
      <c r="W701" s="165" t="s">
        <v>2488</v>
      </c>
      <c r="X701" s="109" t="s">
        <v>2488</v>
      </c>
      <c r="Y701" s="109" t="s">
        <v>48</v>
      </c>
      <c r="Z701" s="109" t="s">
        <v>48</v>
      </c>
      <c r="AA701" s="109" t="s">
        <v>48</v>
      </c>
      <c r="AB701" s="109" t="s">
        <v>48</v>
      </c>
      <c r="AC701" s="109" t="s">
        <v>48</v>
      </c>
      <c r="AD701" s="166" t="s">
        <v>48</v>
      </c>
      <c r="AE701" s="165" t="s">
        <v>48</v>
      </c>
      <c r="AF701" s="109" t="s">
        <v>48</v>
      </c>
      <c r="AG701" s="109" t="s">
        <v>48</v>
      </c>
      <c r="AH701" s="109" t="s">
        <v>48</v>
      </c>
      <c r="AI701" s="109" t="s">
        <v>48</v>
      </c>
      <c r="AJ701" s="109" t="s">
        <v>48</v>
      </c>
      <c r="AK701" s="166" t="s">
        <v>48</v>
      </c>
      <c r="AL701" s="165" t="s">
        <v>2488</v>
      </c>
      <c r="AM701" s="109" t="s">
        <v>2488</v>
      </c>
      <c r="AN701" s="109" t="s">
        <v>48</v>
      </c>
      <c r="AO701" s="109" t="s">
        <v>48</v>
      </c>
      <c r="AP701" s="109" t="s">
        <v>48</v>
      </c>
      <c r="AQ701" s="109" t="s">
        <v>48</v>
      </c>
      <c r="AR701" s="109" t="s">
        <v>48</v>
      </c>
      <c r="AS701" s="166" t="s">
        <v>48</v>
      </c>
      <c r="AT701" s="165" t="s">
        <v>676</v>
      </c>
      <c r="AU701" s="109" t="s">
        <v>676</v>
      </c>
      <c r="AV701" s="109" t="s">
        <v>676</v>
      </c>
      <c r="AW701" s="109" t="s">
        <v>676</v>
      </c>
      <c r="AX701" s="109" t="s">
        <v>676</v>
      </c>
      <c r="AY701" s="109" t="s">
        <v>676</v>
      </c>
      <c r="AZ701" s="166" t="s">
        <v>676</v>
      </c>
      <c r="BA701" s="162" t="s">
        <v>2554</v>
      </c>
      <c r="BB701" s="109" t="s">
        <v>2491</v>
      </c>
      <c r="BC701" s="109" t="s">
        <v>2490</v>
      </c>
    </row>
    <row r="702" spans="1:55" ht="75" hidden="1" customHeight="1">
      <c r="A702" s="1" t="s">
        <v>2564</v>
      </c>
      <c r="B702" s="109" t="s">
        <v>2566</v>
      </c>
      <c r="C702" s="109" t="s">
        <v>2492</v>
      </c>
      <c r="D702" s="109" t="s">
        <v>2488</v>
      </c>
      <c r="E702" s="161">
        <v>30000</v>
      </c>
      <c r="F702" s="165" t="s">
        <v>2488</v>
      </c>
      <c r="G702" s="109" t="s">
        <v>2488</v>
      </c>
      <c r="H702" s="109" t="s">
        <v>48</v>
      </c>
      <c r="I702" s="109" t="s">
        <v>48</v>
      </c>
      <c r="J702" s="109" t="s">
        <v>48</v>
      </c>
      <c r="K702" s="109" t="s">
        <v>48</v>
      </c>
      <c r="L702" s="109" t="s">
        <v>48</v>
      </c>
      <c r="M702" s="166" t="s">
        <v>48</v>
      </c>
      <c r="N702" s="162" t="s">
        <v>48</v>
      </c>
      <c r="O702" s="109" t="s">
        <v>48</v>
      </c>
      <c r="P702" s="162" t="s">
        <v>48</v>
      </c>
      <c r="Q702" s="109" t="s">
        <v>48</v>
      </c>
      <c r="R702" s="109" t="s">
        <v>48</v>
      </c>
      <c r="S702" s="109" t="s">
        <v>48</v>
      </c>
      <c r="T702" s="109" t="s">
        <v>48</v>
      </c>
      <c r="U702" s="109" t="s">
        <v>48</v>
      </c>
      <c r="V702" s="166" t="s">
        <v>48</v>
      </c>
      <c r="W702" s="165" t="s">
        <v>2488</v>
      </c>
      <c r="X702" s="109" t="s">
        <v>2488</v>
      </c>
      <c r="Y702" s="109" t="s">
        <v>48</v>
      </c>
      <c r="Z702" s="109" t="s">
        <v>48</v>
      </c>
      <c r="AA702" s="109" t="s">
        <v>48</v>
      </c>
      <c r="AB702" s="109" t="s">
        <v>48</v>
      </c>
      <c r="AC702" s="109" t="s">
        <v>48</v>
      </c>
      <c r="AD702" s="166" t="s">
        <v>48</v>
      </c>
      <c r="AE702" s="165" t="s">
        <v>48</v>
      </c>
      <c r="AF702" s="109" t="s">
        <v>48</v>
      </c>
      <c r="AG702" s="109" t="s">
        <v>48</v>
      </c>
      <c r="AH702" s="109" t="s">
        <v>48</v>
      </c>
      <c r="AI702" s="109" t="s">
        <v>48</v>
      </c>
      <c r="AJ702" s="109" t="s">
        <v>48</v>
      </c>
      <c r="AK702" s="166" t="s">
        <v>48</v>
      </c>
      <c r="AL702" s="165" t="s">
        <v>2488</v>
      </c>
      <c r="AM702" s="109" t="s">
        <v>2488</v>
      </c>
      <c r="AN702" s="109" t="s">
        <v>48</v>
      </c>
      <c r="AO702" s="109" t="s">
        <v>48</v>
      </c>
      <c r="AP702" s="109" t="s">
        <v>48</v>
      </c>
      <c r="AQ702" s="109" t="s">
        <v>48</v>
      </c>
      <c r="AR702" s="109" t="s">
        <v>48</v>
      </c>
      <c r="AS702" s="166" t="s">
        <v>48</v>
      </c>
      <c r="AT702" s="165" t="s">
        <v>676</v>
      </c>
      <c r="AU702" s="109" t="s">
        <v>676</v>
      </c>
      <c r="AV702" s="109" t="s">
        <v>676</v>
      </c>
      <c r="AW702" s="109" t="s">
        <v>676</v>
      </c>
      <c r="AX702" s="109" t="s">
        <v>676</v>
      </c>
      <c r="AY702" s="109" t="s">
        <v>676</v>
      </c>
      <c r="AZ702" s="166" t="s">
        <v>676</v>
      </c>
      <c r="BA702" s="162" t="s">
        <v>2554</v>
      </c>
      <c r="BB702" s="109" t="s">
        <v>2491</v>
      </c>
      <c r="BC702" s="109" t="s">
        <v>2490</v>
      </c>
    </row>
    <row r="703" spans="1:55" ht="75" hidden="1" customHeight="1">
      <c r="A703" s="1" t="s">
        <v>2568</v>
      </c>
      <c r="B703" s="109" t="s">
        <v>2569</v>
      </c>
      <c r="C703" s="109" t="s">
        <v>2492</v>
      </c>
      <c r="D703" s="109" t="s">
        <v>2488</v>
      </c>
      <c r="E703" s="161">
        <v>30000</v>
      </c>
      <c r="F703" s="165" t="s">
        <v>2488</v>
      </c>
      <c r="G703" s="109" t="s">
        <v>2488</v>
      </c>
      <c r="H703" s="109" t="s">
        <v>48</v>
      </c>
      <c r="I703" s="109" t="s">
        <v>48</v>
      </c>
      <c r="J703" s="109" t="s">
        <v>48</v>
      </c>
      <c r="K703" s="109" t="s">
        <v>48</v>
      </c>
      <c r="L703" s="109" t="s">
        <v>48</v>
      </c>
      <c r="M703" s="166" t="s">
        <v>48</v>
      </c>
      <c r="N703" s="162" t="s">
        <v>48</v>
      </c>
      <c r="O703" s="109" t="s">
        <v>48</v>
      </c>
      <c r="P703" s="162" t="s">
        <v>48</v>
      </c>
      <c r="Q703" s="109" t="s">
        <v>48</v>
      </c>
      <c r="R703" s="109" t="s">
        <v>48</v>
      </c>
      <c r="S703" s="109" t="s">
        <v>48</v>
      </c>
      <c r="T703" s="109" t="s">
        <v>48</v>
      </c>
      <c r="U703" s="109" t="s">
        <v>48</v>
      </c>
      <c r="V703" s="166" t="s">
        <v>48</v>
      </c>
      <c r="W703" s="165" t="s">
        <v>2488</v>
      </c>
      <c r="X703" s="109" t="s">
        <v>2488</v>
      </c>
      <c r="Y703" s="109" t="s">
        <v>48</v>
      </c>
      <c r="Z703" s="109" t="s">
        <v>48</v>
      </c>
      <c r="AA703" s="109" t="s">
        <v>48</v>
      </c>
      <c r="AB703" s="109" t="s">
        <v>48</v>
      </c>
      <c r="AC703" s="109" t="s">
        <v>48</v>
      </c>
      <c r="AD703" s="166" t="s">
        <v>48</v>
      </c>
      <c r="AE703" s="165" t="s">
        <v>48</v>
      </c>
      <c r="AF703" s="109" t="s">
        <v>48</v>
      </c>
      <c r="AG703" s="109" t="s">
        <v>48</v>
      </c>
      <c r="AH703" s="109" t="s">
        <v>48</v>
      </c>
      <c r="AI703" s="109" t="s">
        <v>48</v>
      </c>
      <c r="AJ703" s="109" t="s">
        <v>48</v>
      </c>
      <c r="AK703" s="166" t="s">
        <v>48</v>
      </c>
      <c r="AL703" s="165" t="s">
        <v>2488</v>
      </c>
      <c r="AM703" s="109" t="s">
        <v>2488</v>
      </c>
      <c r="AN703" s="109" t="s">
        <v>48</v>
      </c>
      <c r="AO703" s="109" t="s">
        <v>48</v>
      </c>
      <c r="AP703" s="109" t="s">
        <v>48</v>
      </c>
      <c r="AQ703" s="109" t="s">
        <v>48</v>
      </c>
      <c r="AR703" s="109" t="s">
        <v>48</v>
      </c>
      <c r="AS703" s="166" t="s">
        <v>48</v>
      </c>
      <c r="AT703" s="165" t="s">
        <v>676</v>
      </c>
      <c r="AU703" s="109" t="s">
        <v>676</v>
      </c>
      <c r="AV703" s="109" t="s">
        <v>676</v>
      </c>
      <c r="AW703" s="109" t="s">
        <v>676</v>
      </c>
      <c r="AX703" s="109" t="s">
        <v>676</v>
      </c>
      <c r="AY703" s="109" t="s">
        <v>676</v>
      </c>
      <c r="AZ703" s="166" t="s">
        <v>676</v>
      </c>
      <c r="BA703" s="162" t="s">
        <v>2554</v>
      </c>
      <c r="BB703" s="109" t="s">
        <v>2491</v>
      </c>
      <c r="BC703" s="109" t="s">
        <v>2490</v>
      </c>
    </row>
    <row r="704" spans="1:55" ht="75" hidden="1" customHeight="1">
      <c r="A704" s="1" t="s">
        <v>2568</v>
      </c>
      <c r="B704" s="109" t="s">
        <v>2570</v>
      </c>
      <c r="C704" s="109" t="s">
        <v>2492</v>
      </c>
      <c r="D704" s="109" t="s">
        <v>2488</v>
      </c>
      <c r="E704" s="161">
        <v>30000</v>
      </c>
      <c r="F704" s="165" t="s">
        <v>2488</v>
      </c>
      <c r="G704" s="109" t="s">
        <v>2488</v>
      </c>
      <c r="H704" s="109" t="s">
        <v>48</v>
      </c>
      <c r="I704" s="109" t="s">
        <v>48</v>
      </c>
      <c r="J704" s="109" t="s">
        <v>48</v>
      </c>
      <c r="K704" s="109" t="s">
        <v>48</v>
      </c>
      <c r="L704" s="109" t="s">
        <v>48</v>
      </c>
      <c r="M704" s="166" t="s">
        <v>48</v>
      </c>
      <c r="N704" s="162" t="s">
        <v>48</v>
      </c>
      <c r="O704" s="109" t="s">
        <v>48</v>
      </c>
      <c r="P704" s="162" t="s">
        <v>48</v>
      </c>
      <c r="Q704" s="109" t="s">
        <v>48</v>
      </c>
      <c r="R704" s="109" t="s">
        <v>48</v>
      </c>
      <c r="S704" s="109" t="s">
        <v>48</v>
      </c>
      <c r="T704" s="109" t="s">
        <v>48</v>
      </c>
      <c r="U704" s="109" t="s">
        <v>48</v>
      </c>
      <c r="V704" s="166" t="s">
        <v>48</v>
      </c>
      <c r="W704" s="165" t="s">
        <v>2488</v>
      </c>
      <c r="X704" s="109" t="s">
        <v>2488</v>
      </c>
      <c r="Y704" s="109" t="s">
        <v>48</v>
      </c>
      <c r="Z704" s="109" t="s">
        <v>48</v>
      </c>
      <c r="AA704" s="109" t="s">
        <v>48</v>
      </c>
      <c r="AB704" s="109" t="s">
        <v>48</v>
      </c>
      <c r="AC704" s="109" t="s">
        <v>48</v>
      </c>
      <c r="AD704" s="166" t="s">
        <v>48</v>
      </c>
      <c r="AE704" s="165" t="s">
        <v>48</v>
      </c>
      <c r="AF704" s="109" t="s">
        <v>48</v>
      </c>
      <c r="AG704" s="109" t="s">
        <v>48</v>
      </c>
      <c r="AH704" s="109" t="s">
        <v>48</v>
      </c>
      <c r="AI704" s="109" t="s">
        <v>48</v>
      </c>
      <c r="AJ704" s="109" t="s">
        <v>48</v>
      </c>
      <c r="AK704" s="166" t="s">
        <v>48</v>
      </c>
      <c r="AL704" s="165" t="s">
        <v>2488</v>
      </c>
      <c r="AM704" s="109" t="s">
        <v>2488</v>
      </c>
      <c r="AN704" s="109" t="s">
        <v>48</v>
      </c>
      <c r="AO704" s="109" t="s">
        <v>48</v>
      </c>
      <c r="AP704" s="109" t="s">
        <v>48</v>
      </c>
      <c r="AQ704" s="109" t="s">
        <v>48</v>
      </c>
      <c r="AR704" s="109" t="s">
        <v>48</v>
      </c>
      <c r="AS704" s="166" t="s">
        <v>48</v>
      </c>
      <c r="AT704" s="165" t="s">
        <v>676</v>
      </c>
      <c r="AU704" s="109" t="s">
        <v>676</v>
      </c>
      <c r="AV704" s="109" t="s">
        <v>676</v>
      </c>
      <c r="AW704" s="109" t="s">
        <v>676</v>
      </c>
      <c r="AX704" s="109" t="s">
        <v>676</v>
      </c>
      <c r="AY704" s="109" t="s">
        <v>676</v>
      </c>
      <c r="AZ704" s="166" t="s">
        <v>676</v>
      </c>
      <c r="BA704" s="162" t="s">
        <v>2554</v>
      </c>
      <c r="BB704" s="109" t="s">
        <v>2491</v>
      </c>
      <c r="BC704" s="109" t="s">
        <v>2490</v>
      </c>
    </row>
    <row r="705" spans="1:55" ht="75" hidden="1" customHeight="1">
      <c r="A705" s="1" t="s">
        <v>2573</v>
      </c>
      <c r="B705" s="109" t="s">
        <v>2574</v>
      </c>
      <c r="C705" s="109" t="s">
        <v>2492</v>
      </c>
      <c r="D705" s="109" t="s">
        <v>2488</v>
      </c>
      <c r="E705" s="161">
        <v>30000</v>
      </c>
      <c r="F705" s="165" t="s">
        <v>2488</v>
      </c>
      <c r="G705" s="109" t="s">
        <v>2488</v>
      </c>
      <c r="H705" s="109" t="s">
        <v>48</v>
      </c>
      <c r="I705" s="109" t="s">
        <v>48</v>
      </c>
      <c r="J705" s="109" t="s">
        <v>48</v>
      </c>
      <c r="K705" s="109" t="s">
        <v>48</v>
      </c>
      <c r="L705" s="109" t="s">
        <v>48</v>
      </c>
      <c r="M705" s="166" t="s">
        <v>48</v>
      </c>
      <c r="N705" s="162" t="s">
        <v>48</v>
      </c>
      <c r="O705" s="109" t="s">
        <v>48</v>
      </c>
      <c r="P705" s="162" t="s">
        <v>48</v>
      </c>
      <c r="Q705" s="109" t="s">
        <v>48</v>
      </c>
      <c r="R705" s="109" t="s">
        <v>48</v>
      </c>
      <c r="S705" s="109" t="s">
        <v>48</v>
      </c>
      <c r="T705" s="109" t="s">
        <v>48</v>
      </c>
      <c r="U705" s="109" t="s">
        <v>48</v>
      </c>
      <c r="V705" s="166" t="s">
        <v>48</v>
      </c>
      <c r="W705" s="165" t="s">
        <v>2488</v>
      </c>
      <c r="X705" s="109" t="s">
        <v>2488</v>
      </c>
      <c r="Y705" s="109" t="s">
        <v>48</v>
      </c>
      <c r="Z705" s="109" t="s">
        <v>48</v>
      </c>
      <c r="AA705" s="109" t="s">
        <v>48</v>
      </c>
      <c r="AB705" s="109" t="s">
        <v>48</v>
      </c>
      <c r="AC705" s="109" t="s">
        <v>48</v>
      </c>
      <c r="AD705" s="166" t="s">
        <v>48</v>
      </c>
      <c r="AE705" s="165" t="s">
        <v>48</v>
      </c>
      <c r="AF705" s="109" t="s">
        <v>48</v>
      </c>
      <c r="AG705" s="109" t="s">
        <v>48</v>
      </c>
      <c r="AH705" s="109" t="s">
        <v>48</v>
      </c>
      <c r="AI705" s="109" t="s">
        <v>48</v>
      </c>
      <c r="AJ705" s="109" t="s">
        <v>48</v>
      </c>
      <c r="AK705" s="166" t="s">
        <v>48</v>
      </c>
      <c r="AL705" s="165" t="s">
        <v>2488</v>
      </c>
      <c r="AM705" s="109" t="s">
        <v>2488</v>
      </c>
      <c r="AN705" s="109" t="s">
        <v>48</v>
      </c>
      <c r="AO705" s="109" t="s">
        <v>48</v>
      </c>
      <c r="AP705" s="109" t="s">
        <v>48</v>
      </c>
      <c r="AQ705" s="109" t="s">
        <v>48</v>
      </c>
      <c r="AR705" s="109" t="s">
        <v>48</v>
      </c>
      <c r="AS705" s="166" t="s">
        <v>48</v>
      </c>
      <c r="AT705" s="165" t="s">
        <v>676</v>
      </c>
      <c r="AU705" s="109" t="s">
        <v>676</v>
      </c>
      <c r="AV705" s="109" t="s">
        <v>676</v>
      </c>
      <c r="AW705" s="109" t="s">
        <v>676</v>
      </c>
      <c r="AX705" s="109" t="s">
        <v>676</v>
      </c>
      <c r="AY705" s="109" t="s">
        <v>676</v>
      </c>
      <c r="AZ705" s="166" t="s">
        <v>676</v>
      </c>
      <c r="BA705" s="162" t="s">
        <v>2553</v>
      </c>
      <c r="BB705" s="109" t="s">
        <v>2491</v>
      </c>
      <c r="BC705" s="109" t="s">
        <v>2490</v>
      </c>
    </row>
    <row r="706" spans="1:55" ht="75" hidden="1" customHeight="1">
      <c r="A706" s="1" t="s">
        <v>2575</v>
      </c>
      <c r="B706" s="109" t="s">
        <v>2576</v>
      </c>
      <c r="C706" s="109" t="s">
        <v>2492</v>
      </c>
      <c r="D706" s="109" t="s">
        <v>2488</v>
      </c>
      <c r="E706" s="161">
        <v>30000</v>
      </c>
      <c r="F706" s="165" t="s">
        <v>2488</v>
      </c>
      <c r="G706" s="109" t="s">
        <v>2488</v>
      </c>
      <c r="H706" s="109" t="s">
        <v>48</v>
      </c>
      <c r="I706" s="109" t="s">
        <v>48</v>
      </c>
      <c r="J706" s="109" t="s">
        <v>48</v>
      </c>
      <c r="K706" s="109" t="s">
        <v>48</v>
      </c>
      <c r="L706" s="109" t="s">
        <v>48</v>
      </c>
      <c r="M706" s="166" t="s">
        <v>48</v>
      </c>
      <c r="N706" s="162" t="s">
        <v>48</v>
      </c>
      <c r="O706" s="109" t="s">
        <v>48</v>
      </c>
      <c r="P706" s="162" t="s">
        <v>48</v>
      </c>
      <c r="Q706" s="109" t="s">
        <v>48</v>
      </c>
      <c r="R706" s="109" t="s">
        <v>48</v>
      </c>
      <c r="S706" s="109" t="s">
        <v>48</v>
      </c>
      <c r="T706" s="109" t="s">
        <v>48</v>
      </c>
      <c r="U706" s="109" t="s">
        <v>48</v>
      </c>
      <c r="V706" s="166" t="s">
        <v>48</v>
      </c>
      <c r="W706" s="165" t="s">
        <v>2488</v>
      </c>
      <c r="X706" s="109" t="s">
        <v>2488</v>
      </c>
      <c r="Y706" s="109" t="s">
        <v>48</v>
      </c>
      <c r="Z706" s="109" t="s">
        <v>48</v>
      </c>
      <c r="AA706" s="109" t="s">
        <v>48</v>
      </c>
      <c r="AB706" s="109" t="s">
        <v>48</v>
      </c>
      <c r="AC706" s="109" t="s">
        <v>48</v>
      </c>
      <c r="AD706" s="166" t="s">
        <v>48</v>
      </c>
      <c r="AE706" s="165" t="s">
        <v>48</v>
      </c>
      <c r="AF706" s="109" t="s">
        <v>48</v>
      </c>
      <c r="AG706" s="109" t="s">
        <v>48</v>
      </c>
      <c r="AH706" s="109" t="s">
        <v>48</v>
      </c>
      <c r="AI706" s="109" t="s">
        <v>48</v>
      </c>
      <c r="AJ706" s="109" t="s">
        <v>48</v>
      </c>
      <c r="AK706" s="166" t="s">
        <v>48</v>
      </c>
      <c r="AL706" s="165" t="s">
        <v>2488</v>
      </c>
      <c r="AM706" s="109" t="s">
        <v>2488</v>
      </c>
      <c r="AN706" s="109" t="s">
        <v>48</v>
      </c>
      <c r="AO706" s="109" t="s">
        <v>48</v>
      </c>
      <c r="AP706" s="109" t="s">
        <v>48</v>
      </c>
      <c r="AQ706" s="109" t="s">
        <v>48</v>
      </c>
      <c r="AR706" s="109" t="s">
        <v>48</v>
      </c>
      <c r="AS706" s="109" t="s">
        <v>48</v>
      </c>
      <c r="AT706" s="109" t="s">
        <v>48</v>
      </c>
      <c r="AU706" s="109" t="s">
        <v>48</v>
      </c>
      <c r="AV706" s="109" t="s">
        <v>48</v>
      </c>
      <c r="AW706" s="109" t="s">
        <v>48</v>
      </c>
      <c r="AX706" s="109" t="s">
        <v>48</v>
      </c>
      <c r="AY706" s="109" t="s">
        <v>48</v>
      </c>
      <c r="AZ706" s="109" t="s">
        <v>48</v>
      </c>
      <c r="BA706" s="162" t="s">
        <v>2553</v>
      </c>
      <c r="BB706" s="109" t="s">
        <v>2491</v>
      </c>
      <c r="BC706" s="109" t="s">
        <v>2490</v>
      </c>
    </row>
    <row r="707" spans="1:55" ht="75" customHeight="1">
      <c r="A707" s="1" t="s">
        <v>1578</v>
      </c>
      <c r="B707" s="109" t="s">
        <v>2047</v>
      </c>
      <c r="C707" s="109" t="s">
        <v>2595</v>
      </c>
      <c r="D707" s="109" t="s">
        <v>2593</v>
      </c>
      <c r="E707" s="161">
        <v>15000</v>
      </c>
      <c r="F707" s="109" t="s">
        <v>2593</v>
      </c>
      <c r="G707" s="109" t="s">
        <v>2593</v>
      </c>
      <c r="H707" s="109" t="s">
        <v>48</v>
      </c>
      <c r="I707" s="109" t="s">
        <v>2039</v>
      </c>
      <c r="J707" s="109" t="s">
        <v>48</v>
      </c>
      <c r="K707" s="109" t="s">
        <v>48</v>
      </c>
      <c r="L707" s="109" t="s">
        <v>48</v>
      </c>
      <c r="M707" s="109" t="s">
        <v>48</v>
      </c>
      <c r="N707" s="109" t="s">
        <v>48</v>
      </c>
      <c r="O707" s="109" t="s">
        <v>48</v>
      </c>
      <c r="P707" s="162" t="s">
        <v>48</v>
      </c>
      <c r="Q707" s="109" t="s">
        <v>48</v>
      </c>
      <c r="R707" s="109" t="s">
        <v>48</v>
      </c>
      <c r="S707" s="109" t="s">
        <v>48</v>
      </c>
      <c r="T707" s="109" t="s">
        <v>48</v>
      </c>
      <c r="U707" s="109" t="s">
        <v>48</v>
      </c>
      <c r="V707" s="109" t="s">
        <v>48</v>
      </c>
      <c r="W707" s="109" t="s">
        <v>2593</v>
      </c>
      <c r="X707" s="109" t="s">
        <v>2593</v>
      </c>
      <c r="Y707" s="109" t="s">
        <v>48</v>
      </c>
      <c r="Z707" s="109" t="s">
        <v>48</v>
      </c>
      <c r="AA707" s="109" t="s">
        <v>48</v>
      </c>
      <c r="AB707" s="109" t="s">
        <v>48</v>
      </c>
      <c r="AC707" s="109" t="s">
        <v>48</v>
      </c>
      <c r="AD707" s="109" t="s">
        <v>48</v>
      </c>
      <c r="AE707" s="109" t="s">
        <v>48</v>
      </c>
      <c r="AF707" s="109" t="s">
        <v>48</v>
      </c>
      <c r="AG707" s="109" t="s">
        <v>48</v>
      </c>
      <c r="AH707" s="109" t="s">
        <v>48</v>
      </c>
      <c r="AI707" s="109" t="s">
        <v>48</v>
      </c>
      <c r="AJ707" s="109" t="s">
        <v>48</v>
      </c>
      <c r="AK707" s="109" t="s">
        <v>48</v>
      </c>
      <c r="AL707" s="109" t="s">
        <v>2593</v>
      </c>
      <c r="AM707" s="109" t="s">
        <v>2593</v>
      </c>
      <c r="AN707" s="109" t="s">
        <v>48</v>
      </c>
      <c r="AO707" s="109" t="s">
        <v>48</v>
      </c>
      <c r="AP707" s="109" t="s">
        <v>48</v>
      </c>
      <c r="AQ707" s="109" t="s">
        <v>48</v>
      </c>
      <c r="AR707" s="109" t="s">
        <v>48</v>
      </c>
      <c r="AS707" s="109" t="s">
        <v>48</v>
      </c>
      <c r="AT707" s="109" t="s">
        <v>48</v>
      </c>
      <c r="AU707" s="109" t="s">
        <v>48</v>
      </c>
      <c r="AV707" s="109" t="s">
        <v>48</v>
      </c>
      <c r="AW707" s="109" t="s">
        <v>48</v>
      </c>
      <c r="AX707" s="109" t="s">
        <v>48</v>
      </c>
      <c r="AY707" s="109" t="s">
        <v>48</v>
      </c>
      <c r="AZ707" s="109" t="s">
        <v>48</v>
      </c>
      <c r="BA707" s="109" t="s">
        <v>48</v>
      </c>
      <c r="BB707" s="109" t="s">
        <v>82</v>
      </c>
      <c r="BC707" s="109" t="s">
        <v>2596</v>
      </c>
    </row>
    <row r="708" spans="1:55" ht="75" customHeight="1">
      <c r="A708" s="109" t="s">
        <v>1578</v>
      </c>
      <c r="B708" s="109" t="s">
        <v>2605</v>
      </c>
      <c r="C708" s="117" t="s">
        <v>1581</v>
      </c>
      <c r="D708" s="109" t="s">
        <v>2603</v>
      </c>
      <c r="E708" s="161">
        <v>15000</v>
      </c>
      <c r="F708" s="109" t="s">
        <v>2603</v>
      </c>
      <c r="G708" s="109" t="s">
        <v>2603</v>
      </c>
      <c r="H708" s="109" t="s">
        <v>48</v>
      </c>
      <c r="I708" s="109" t="s">
        <v>1908</v>
      </c>
      <c r="J708" s="109" t="s">
        <v>48</v>
      </c>
      <c r="K708" s="109" t="s">
        <v>48</v>
      </c>
      <c r="L708" s="109" t="s">
        <v>48</v>
      </c>
      <c r="M708" s="109" t="s">
        <v>48</v>
      </c>
      <c r="N708" s="162" t="s">
        <v>48</v>
      </c>
      <c r="O708" s="109" t="s">
        <v>48</v>
      </c>
      <c r="P708" s="162" t="s">
        <v>48</v>
      </c>
      <c r="Q708" s="109" t="s">
        <v>48</v>
      </c>
      <c r="R708" s="109" t="s">
        <v>48</v>
      </c>
      <c r="S708" s="109" t="s">
        <v>48</v>
      </c>
      <c r="T708" s="109" t="s">
        <v>48</v>
      </c>
      <c r="U708" s="109" t="s">
        <v>48</v>
      </c>
      <c r="V708" s="166" t="s">
        <v>48</v>
      </c>
      <c r="W708" s="109" t="s">
        <v>2815</v>
      </c>
      <c r="X708" s="109" t="s">
        <v>2603</v>
      </c>
      <c r="Y708" s="109" t="s">
        <v>2847</v>
      </c>
      <c r="Z708" s="109" t="s">
        <v>1908</v>
      </c>
      <c r="AA708" s="7" t="s">
        <v>2849</v>
      </c>
      <c r="AB708" s="109" t="s">
        <v>48</v>
      </c>
      <c r="AC708" s="109" t="s">
        <v>2846</v>
      </c>
      <c r="AD708" s="109" t="s">
        <v>2841</v>
      </c>
      <c r="AE708" s="174" t="s">
        <v>48</v>
      </c>
      <c r="AF708" s="117" t="s">
        <v>48</v>
      </c>
      <c r="AG708" s="117" t="s">
        <v>48</v>
      </c>
      <c r="AH708" s="109" t="s">
        <v>48</v>
      </c>
      <c r="AI708" s="117" t="s">
        <v>48</v>
      </c>
      <c r="AJ708" s="117" t="s">
        <v>48</v>
      </c>
      <c r="AK708" s="182" t="s">
        <v>48</v>
      </c>
      <c r="AL708" s="109" t="s">
        <v>2603</v>
      </c>
      <c r="AM708" s="109" t="s">
        <v>2603</v>
      </c>
      <c r="AN708" s="109" t="s">
        <v>48</v>
      </c>
      <c r="AO708" s="109" t="s">
        <v>48</v>
      </c>
      <c r="AP708" s="109" t="s">
        <v>48</v>
      </c>
      <c r="AQ708" s="109" t="s">
        <v>48</v>
      </c>
      <c r="AR708" s="109" t="s">
        <v>48</v>
      </c>
      <c r="AS708" s="109" t="s">
        <v>48</v>
      </c>
      <c r="AT708" s="165" t="s">
        <v>48</v>
      </c>
      <c r="AU708" s="109" t="s">
        <v>48</v>
      </c>
      <c r="AV708" s="109" t="s">
        <v>48</v>
      </c>
      <c r="AW708" s="109" t="s">
        <v>48</v>
      </c>
      <c r="AX708" s="109" t="s">
        <v>48</v>
      </c>
      <c r="AY708" s="109" t="s">
        <v>48</v>
      </c>
      <c r="AZ708" s="166" t="s">
        <v>48</v>
      </c>
      <c r="BA708" s="162" t="s">
        <v>48</v>
      </c>
      <c r="BB708" s="109" t="s">
        <v>82</v>
      </c>
      <c r="BC708" s="109" t="s">
        <v>1612</v>
      </c>
    </row>
    <row r="709" spans="1:55" ht="75" customHeight="1">
      <c r="A709" s="109" t="s">
        <v>1578</v>
      </c>
      <c r="B709" s="109" t="s">
        <v>2605</v>
      </c>
      <c r="C709" s="109" t="s">
        <v>1581</v>
      </c>
      <c r="D709" s="109" t="s">
        <v>2708</v>
      </c>
      <c r="E709" s="161">
        <v>15000</v>
      </c>
      <c r="F709" s="109" t="s">
        <v>2708</v>
      </c>
      <c r="G709" s="109" t="s">
        <v>2708</v>
      </c>
      <c r="H709" s="109" t="s">
        <v>48</v>
      </c>
      <c r="I709" s="109" t="s">
        <v>1908</v>
      </c>
      <c r="J709" s="109" t="s">
        <v>48</v>
      </c>
      <c r="K709" s="109" t="s">
        <v>48</v>
      </c>
      <c r="L709" s="109" t="s">
        <v>48</v>
      </c>
      <c r="M709" s="109" t="s">
        <v>48</v>
      </c>
      <c r="N709" s="162" t="s">
        <v>48</v>
      </c>
      <c r="O709" s="109" t="s">
        <v>48</v>
      </c>
      <c r="P709" s="162" t="s">
        <v>48</v>
      </c>
      <c r="Q709" s="109" t="s">
        <v>48</v>
      </c>
      <c r="R709" s="109" t="s">
        <v>48</v>
      </c>
      <c r="S709" s="109" t="s">
        <v>48</v>
      </c>
      <c r="T709" s="109" t="s">
        <v>48</v>
      </c>
      <c r="U709" s="109" t="s">
        <v>48</v>
      </c>
      <c r="V709" s="166" t="s">
        <v>48</v>
      </c>
      <c r="W709" s="109" t="s">
        <v>2815</v>
      </c>
      <c r="X709" s="109" t="s">
        <v>2708</v>
      </c>
      <c r="Y709" s="109" t="s">
        <v>2847</v>
      </c>
      <c r="Z709" s="109" t="s">
        <v>1908</v>
      </c>
      <c r="AA709" s="7" t="s">
        <v>2849</v>
      </c>
      <c r="AB709" s="109" t="s">
        <v>48</v>
      </c>
      <c r="AC709" s="109" t="s">
        <v>2846</v>
      </c>
      <c r="AD709" s="109" t="s">
        <v>2841</v>
      </c>
      <c r="AE709" s="165" t="s">
        <v>48</v>
      </c>
      <c r="AF709" s="109" t="s">
        <v>48</v>
      </c>
      <c r="AG709" s="109" t="s">
        <v>48</v>
      </c>
      <c r="AH709" s="109" t="s">
        <v>48</v>
      </c>
      <c r="AI709" s="109" t="s">
        <v>48</v>
      </c>
      <c r="AJ709" s="109" t="s">
        <v>48</v>
      </c>
      <c r="AK709" s="166" t="s">
        <v>48</v>
      </c>
      <c r="AL709" s="109" t="s">
        <v>2708</v>
      </c>
      <c r="AM709" s="109" t="s">
        <v>2708</v>
      </c>
      <c r="AN709" s="109" t="s">
        <v>48</v>
      </c>
      <c r="AO709" s="109" t="s">
        <v>48</v>
      </c>
      <c r="AP709" s="109" t="s">
        <v>48</v>
      </c>
      <c r="AQ709" s="109" t="s">
        <v>48</v>
      </c>
      <c r="AR709" s="109" t="s">
        <v>48</v>
      </c>
      <c r="AS709" s="109" t="s">
        <v>48</v>
      </c>
      <c r="AT709" s="165" t="s">
        <v>48</v>
      </c>
      <c r="AU709" s="109" t="s">
        <v>48</v>
      </c>
      <c r="AV709" s="109" t="s">
        <v>48</v>
      </c>
      <c r="AW709" s="109" t="s">
        <v>48</v>
      </c>
      <c r="AX709" s="109" t="s">
        <v>48</v>
      </c>
      <c r="AY709" s="109" t="s">
        <v>48</v>
      </c>
      <c r="AZ709" s="166" t="s">
        <v>48</v>
      </c>
      <c r="BA709" s="162" t="s">
        <v>48</v>
      </c>
      <c r="BB709" s="109" t="s">
        <v>82</v>
      </c>
      <c r="BC709" s="109" t="s">
        <v>2707</v>
      </c>
    </row>
    <row r="710" spans="1:55" ht="75" customHeight="1">
      <c r="A710" s="1" t="s">
        <v>1578</v>
      </c>
      <c r="B710" s="109" t="s">
        <v>2605</v>
      </c>
      <c r="C710" s="109" t="s">
        <v>2595</v>
      </c>
      <c r="D710" s="109" t="s">
        <v>2604</v>
      </c>
      <c r="E710" s="161">
        <v>15000</v>
      </c>
      <c r="F710" s="109" t="s">
        <v>2604</v>
      </c>
      <c r="G710" s="109" t="s">
        <v>2604</v>
      </c>
      <c r="H710" s="109" t="s">
        <v>48</v>
      </c>
      <c r="I710" s="109" t="s">
        <v>1908</v>
      </c>
      <c r="J710" s="109" t="s">
        <v>48</v>
      </c>
      <c r="K710" s="109" t="s">
        <v>48</v>
      </c>
      <c r="L710" s="109" t="s">
        <v>48</v>
      </c>
      <c r="M710" s="109" t="s">
        <v>48</v>
      </c>
      <c r="N710" s="109" t="s">
        <v>48</v>
      </c>
      <c r="O710" s="109" t="s">
        <v>48</v>
      </c>
      <c r="P710" s="162" t="s">
        <v>48</v>
      </c>
      <c r="Q710" s="109" t="s">
        <v>48</v>
      </c>
      <c r="R710" s="109" t="s">
        <v>48</v>
      </c>
      <c r="S710" s="109" t="s">
        <v>48</v>
      </c>
      <c r="T710" s="109" t="s">
        <v>48</v>
      </c>
      <c r="U710" s="109" t="s">
        <v>48</v>
      </c>
      <c r="V710" s="109" t="s">
        <v>48</v>
      </c>
      <c r="W710" s="109" t="s">
        <v>2815</v>
      </c>
      <c r="X710" s="109" t="s">
        <v>2604</v>
      </c>
      <c r="Y710" s="109" t="s">
        <v>2847</v>
      </c>
      <c r="Z710" s="109" t="s">
        <v>1908</v>
      </c>
      <c r="AA710" s="7" t="s">
        <v>2849</v>
      </c>
      <c r="AB710" s="109" t="s">
        <v>48</v>
      </c>
      <c r="AC710" s="109" t="s">
        <v>2846</v>
      </c>
      <c r="AD710" s="109" t="s">
        <v>2841</v>
      </c>
      <c r="AE710" s="109" t="s">
        <v>48</v>
      </c>
      <c r="AF710" s="109" t="s">
        <v>48</v>
      </c>
      <c r="AG710" s="109" t="s">
        <v>48</v>
      </c>
      <c r="AH710" s="109" t="s">
        <v>48</v>
      </c>
      <c r="AI710" s="109" t="s">
        <v>48</v>
      </c>
      <c r="AJ710" s="109" t="s">
        <v>48</v>
      </c>
      <c r="AK710" s="109" t="s">
        <v>48</v>
      </c>
      <c r="AL710" s="109" t="s">
        <v>2604</v>
      </c>
      <c r="AM710" s="109" t="s">
        <v>2604</v>
      </c>
      <c r="AN710" s="109" t="s">
        <v>48</v>
      </c>
      <c r="AO710" s="109" t="s">
        <v>48</v>
      </c>
      <c r="AP710" s="109" t="s">
        <v>48</v>
      </c>
      <c r="AQ710" s="109" t="s">
        <v>48</v>
      </c>
      <c r="AR710" s="109" t="s">
        <v>48</v>
      </c>
      <c r="AS710" s="109" t="s">
        <v>48</v>
      </c>
      <c r="AT710" s="109" t="s">
        <v>48</v>
      </c>
      <c r="AU710" s="109" t="s">
        <v>48</v>
      </c>
      <c r="AV710" s="109" t="s">
        <v>48</v>
      </c>
      <c r="AW710" s="109" t="s">
        <v>48</v>
      </c>
      <c r="AX710" s="109" t="s">
        <v>48</v>
      </c>
      <c r="AY710" s="109" t="s">
        <v>48</v>
      </c>
      <c r="AZ710" s="109" t="s">
        <v>48</v>
      </c>
      <c r="BA710" s="109" t="s">
        <v>48</v>
      </c>
      <c r="BB710" s="109" t="s">
        <v>82</v>
      </c>
      <c r="BC710" s="109" t="s">
        <v>2596</v>
      </c>
    </row>
    <row r="711" spans="1:55" ht="75" hidden="1" customHeight="1">
      <c r="A711" s="109" t="s">
        <v>41</v>
      </c>
      <c r="B711" s="117" t="s">
        <v>2548</v>
      </c>
      <c r="C711" s="109" t="s">
        <v>1707</v>
      </c>
      <c r="D711" s="109" t="s">
        <v>1691</v>
      </c>
      <c r="E711" s="161">
        <v>15000</v>
      </c>
      <c r="F711" s="165" t="s">
        <v>1691</v>
      </c>
      <c r="G711" s="109" t="s">
        <v>1691</v>
      </c>
      <c r="H711" s="109" t="s">
        <v>48</v>
      </c>
      <c r="I711" s="109" t="s">
        <v>48</v>
      </c>
      <c r="J711" s="109" t="s">
        <v>48</v>
      </c>
      <c r="K711" s="109" t="s">
        <v>48</v>
      </c>
      <c r="L711" s="109" t="s">
        <v>48</v>
      </c>
      <c r="M711" s="166" t="s">
        <v>1687</v>
      </c>
      <c r="N711" s="162" t="s">
        <v>48</v>
      </c>
      <c r="O711" s="109" t="s">
        <v>48</v>
      </c>
      <c r="P711" s="162" t="s">
        <v>48</v>
      </c>
      <c r="Q711" s="109" t="s">
        <v>48</v>
      </c>
      <c r="R711" s="109" t="s">
        <v>48</v>
      </c>
      <c r="S711" s="109" t="s">
        <v>48</v>
      </c>
      <c r="T711" s="109" t="s">
        <v>48</v>
      </c>
      <c r="U711" s="109" t="s">
        <v>48</v>
      </c>
      <c r="V711" s="166" t="s">
        <v>48</v>
      </c>
      <c r="W711" s="165" t="s">
        <v>1691</v>
      </c>
      <c r="X711" s="109" t="s">
        <v>1691</v>
      </c>
      <c r="Y711" s="109" t="s">
        <v>48</v>
      </c>
      <c r="Z711" s="109" t="s">
        <v>48</v>
      </c>
      <c r="AA711" s="109" t="s">
        <v>48</v>
      </c>
      <c r="AB711" s="109" t="s">
        <v>48</v>
      </c>
      <c r="AC711" s="109" t="s">
        <v>48</v>
      </c>
      <c r="AD711" s="166" t="s">
        <v>48</v>
      </c>
      <c r="AE711" s="165" t="s">
        <v>48</v>
      </c>
      <c r="AF711" s="109" t="s">
        <v>48</v>
      </c>
      <c r="AG711" s="109" t="s">
        <v>48</v>
      </c>
      <c r="AH711" s="109" t="s">
        <v>48</v>
      </c>
      <c r="AI711" s="109" t="s">
        <v>48</v>
      </c>
      <c r="AJ711" s="109" t="s">
        <v>48</v>
      </c>
      <c r="AK711" s="166" t="s">
        <v>48</v>
      </c>
      <c r="AL711" s="165" t="s">
        <v>1691</v>
      </c>
      <c r="AM711" s="109" t="s">
        <v>1691</v>
      </c>
      <c r="AN711" s="109" t="s">
        <v>48</v>
      </c>
      <c r="AO711" s="109" t="s">
        <v>48</v>
      </c>
      <c r="AP711" s="109" t="s">
        <v>48</v>
      </c>
      <c r="AQ711" s="109" t="s">
        <v>48</v>
      </c>
      <c r="AR711" s="109" t="s">
        <v>48</v>
      </c>
      <c r="AS711" s="166" t="s">
        <v>1687</v>
      </c>
      <c r="AT711" s="165" t="s">
        <v>48</v>
      </c>
      <c r="AU711" s="109" t="s">
        <v>48</v>
      </c>
      <c r="AV711" s="109" t="s">
        <v>48</v>
      </c>
      <c r="AW711" s="109" t="s">
        <v>48</v>
      </c>
      <c r="AX711" s="109" t="s">
        <v>48</v>
      </c>
      <c r="AY711" s="109" t="s">
        <v>48</v>
      </c>
      <c r="AZ711" s="166" t="s">
        <v>48</v>
      </c>
      <c r="BA711" s="162" t="s">
        <v>48</v>
      </c>
      <c r="BB711" s="109" t="s">
        <v>49</v>
      </c>
      <c r="BC711" s="109" t="s">
        <v>1692</v>
      </c>
    </row>
    <row r="712" spans="1:55" ht="75" hidden="1" customHeight="1">
      <c r="A712" s="109" t="s">
        <v>41</v>
      </c>
      <c r="B712" s="117" t="s">
        <v>2548</v>
      </c>
      <c r="C712" s="109" t="s">
        <v>1030</v>
      </c>
      <c r="D712" s="109" t="s">
        <v>1011</v>
      </c>
      <c r="E712" s="161">
        <v>15000</v>
      </c>
      <c r="F712" s="165" t="s">
        <v>1691</v>
      </c>
      <c r="G712" s="109" t="s">
        <v>1691</v>
      </c>
      <c r="H712" s="109" t="s">
        <v>1942</v>
      </c>
      <c r="I712" s="109" t="s">
        <v>1908</v>
      </c>
      <c r="J712" s="109" t="s">
        <v>1708</v>
      </c>
      <c r="K712" s="109" t="s">
        <v>1708</v>
      </c>
      <c r="L712" s="109" t="s">
        <v>1975</v>
      </c>
      <c r="M712" s="166" t="s">
        <v>1687</v>
      </c>
      <c r="N712" s="162" t="s">
        <v>48</v>
      </c>
      <c r="O712" s="109" t="s">
        <v>48</v>
      </c>
      <c r="P712" s="162" t="s">
        <v>48</v>
      </c>
      <c r="Q712" s="109" t="s">
        <v>48</v>
      </c>
      <c r="R712" s="109" t="s">
        <v>48</v>
      </c>
      <c r="S712" s="109" t="s">
        <v>48</v>
      </c>
      <c r="T712" s="109" t="s">
        <v>48</v>
      </c>
      <c r="U712" s="109" t="s">
        <v>48</v>
      </c>
      <c r="V712" s="166" t="s">
        <v>48</v>
      </c>
      <c r="W712" s="165" t="s">
        <v>1011</v>
      </c>
      <c r="X712" s="109" t="s">
        <v>1011</v>
      </c>
      <c r="Y712" s="109" t="s">
        <v>48</v>
      </c>
      <c r="Z712" s="109" t="s">
        <v>48</v>
      </c>
      <c r="AA712" s="109" t="s">
        <v>48</v>
      </c>
      <c r="AB712" s="109" t="s">
        <v>48</v>
      </c>
      <c r="AC712" s="109" t="s">
        <v>48</v>
      </c>
      <c r="AD712" s="166" t="s">
        <v>48</v>
      </c>
      <c r="AE712" s="174" t="s">
        <v>80</v>
      </c>
      <c r="AF712" s="117" t="s">
        <v>1382</v>
      </c>
      <c r="AG712" s="117" t="s">
        <v>1383</v>
      </c>
      <c r="AH712" s="109" t="s">
        <v>1908</v>
      </c>
      <c r="AI712" s="117" t="s">
        <v>1384</v>
      </c>
      <c r="AJ712" s="117" t="s">
        <v>1385</v>
      </c>
      <c r="AK712" s="182" t="s">
        <v>1386</v>
      </c>
      <c r="AL712" s="165" t="s">
        <v>1011</v>
      </c>
      <c r="AM712" s="109" t="s">
        <v>1011</v>
      </c>
      <c r="AN712" s="109" t="s">
        <v>48</v>
      </c>
      <c r="AO712" s="109" t="s">
        <v>48</v>
      </c>
      <c r="AP712" s="109" t="s">
        <v>48</v>
      </c>
      <c r="AQ712" s="109" t="s">
        <v>48</v>
      </c>
      <c r="AR712" s="109" t="s">
        <v>48</v>
      </c>
      <c r="AS712" s="166" t="s">
        <v>48</v>
      </c>
      <c r="AT712" s="165" t="s">
        <v>48</v>
      </c>
      <c r="AU712" s="109" t="s">
        <v>48</v>
      </c>
      <c r="AV712" s="109" t="s">
        <v>48</v>
      </c>
      <c r="AW712" s="109" t="s">
        <v>48</v>
      </c>
      <c r="AX712" s="109" t="s">
        <v>48</v>
      </c>
      <c r="AY712" s="109" t="s">
        <v>48</v>
      </c>
      <c r="AZ712" s="166" t="s">
        <v>48</v>
      </c>
      <c r="BA712" s="162" t="s">
        <v>1710</v>
      </c>
      <c r="BB712" s="109" t="s">
        <v>49</v>
      </c>
      <c r="BC712" s="120" t="s">
        <v>1692</v>
      </c>
    </row>
    <row r="713" spans="1:55" ht="75" hidden="1" customHeight="1">
      <c r="A713" s="109" t="s">
        <v>41</v>
      </c>
      <c r="B713" s="117" t="s">
        <v>2548</v>
      </c>
      <c r="C713" s="109" t="s">
        <v>647</v>
      </c>
      <c r="D713" s="109" t="s">
        <v>646</v>
      </c>
      <c r="E713" s="161">
        <v>15000</v>
      </c>
      <c r="F713" s="165" t="s">
        <v>1691</v>
      </c>
      <c r="G713" s="109" t="s">
        <v>1691</v>
      </c>
      <c r="H713" s="109" t="s">
        <v>1942</v>
      </c>
      <c r="I713" s="109" t="s">
        <v>1908</v>
      </c>
      <c r="J713" s="109" t="s">
        <v>1708</v>
      </c>
      <c r="K713" s="109" t="s">
        <v>1708</v>
      </c>
      <c r="L713" s="109" t="s">
        <v>1975</v>
      </c>
      <c r="M713" s="166" t="s">
        <v>1687</v>
      </c>
      <c r="N713" s="162" t="s">
        <v>48</v>
      </c>
      <c r="O713" s="109" t="s">
        <v>48</v>
      </c>
      <c r="P713" s="162" t="s">
        <v>48</v>
      </c>
      <c r="Q713" s="109" t="s">
        <v>48</v>
      </c>
      <c r="R713" s="109" t="s">
        <v>48</v>
      </c>
      <c r="S713" s="109" t="s">
        <v>48</v>
      </c>
      <c r="T713" s="109" t="s">
        <v>48</v>
      </c>
      <c r="U713" s="109" t="s">
        <v>48</v>
      </c>
      <c r="V713" s="166" t="s">
        <v>48</v>
      </c>
      <c r="W713" s="165" t="s">
        <v>646</v>
      </c>
      <c r="X713" s="109" t="s">
        <v>646</v>
      </c>
      <c r="Y713" s="109" t="s">
        <v>48</v>
      </c>
      <c r="Z713" s="109" t="s">
        <v>48</v>
      </c>
      <c r="AA713" s="109" t="s">
        <v>48</v>
      </c>
      <c r="AB713" s="109" t="s">
        <v>48</v>
      </c>
      <c r="AC713" s="109" t="s">
        <v>48</v>
      </c>
      <c r="AD713" s="166" t="s">
        <v>48</v>
      </c>
      <c r="AE713" s="165" t="s">
        <v>80</v>
      </c>
      <c r="AF713" s="109" t="s">
        <v>744</v>
      </c>
      <c r="AG713" s="109" t="s">
        <v>747</v>
      </c>
      <c r="AH713" s="109" t="s">
        <v>1908</v>
      </c>
      <c r="AI713" s="109" t="s">
        <v>745</v>
      </c>
      <c r="AJ713" s="109">
        <v>5815499</v>
      </c>
      <c r="AK713" s="166" t="s">
        <v>746</v>
      </c>
      <c r="AL713" s="165" t="s">
        <v>646</v>
      </c>
      <c r="AM713" s="109" t="s">
        <v>646</v>
      </c>
      <c r="AN713" s="109" t="s">
        <v>48</v>
      </c>
      <c r="AO713" s="109" t="s">
        <v>48</v>
      </c>
      <c r="AP713" s="109" t="s">
        <v>48</v>
      </c>
      <c r="AQ713" s="109" t="s">
        <v>48</v>
      </c>
      <c r="AR713" s="109" t="s">
        <v>48</v>
      </c>
      <c r="AS713" s="166" t="s">
        <v>48</v>
      </c>
      <c r="AT713" s="165" t="s">
        <v>48</v>
      </c>
      <c r="AU713" s="109" t="s">
        <v>48</v>
      </c>
      <c r="AV713" s="109" t="s">
        <v>48</v>
      </c>
      <c r="AW713" s="109" t="s">
        <v>48</v>
      </c>
      <c r="AX713" s="109" t="s">
        <v>48</v>
      </c>
      <c r="AY713" s="109" t="s">
        <v>48</v>
      </c>
      <c r="AZ713" s="166" t="s">
        <v>48</v>
      </c>
      <c r="BA713" s="162" t="s">
        <v>1710</v>
      </c>
      <c r="BB713" s="109" t="s">
        <v>49</v>
      </c>
      <c r="BC713" s="120" t="s">
        <v>1692</v>
      </c>
    </row>
    <row r="714" spans="1:55" ht="75" hidden="1" customHeight="1">
      <c r="A714" s="109" t="s">
        <v>41</v>
      </c>
      <c r="B714" s="117" t="s">
        <v>2548</v>
      </c>
      <c r="C714" s="117" t="s">
        <v>249</v>
      </c>
      <c r="D714" s="109" t="s">
        <v>237</v>
      </c>
      <c r="E714" s="161">
        <v>15000</v>
      </c>
      <c r="F714" s="165" t="s">
        <v>1691</v>
      </c>
      <c r="G714" s="109" t="s">
        <v>1691</v>
      </c>
      <c r="H714" s="109" t="s">
        <v>1942</v>
      </c>
      <c r="I714" s="109" t="s">
        <v>1908</v>
      </c>
      <c r="J714" s="109" t="s">
        <v>1708</v>
      </c>
      <c r="K714" s="109" t="s">
        <v>1708</v>
      </c>
      <c r="L714" s="109" t="s">
        <v>1975</v>
      </c>
      <c r="M714" s="166" t="s">
        <v>1687</v>
      </c>
      <c r="N714" s="162" t="s">
        <v>48</v>
      </c>
      <c r="O714" s="109" t="s">
        <v>48</v>
      </c>
      <c r="P714" s="162" t="s">
        <v>48</v>
      </c>
      <c r="Q714" s="109" t="s">
        <v>48</v>
      </c>
      <c r="R714" s="109" t="s">
        <v>48</v>
      </c>
      <c r="S714" s="109" t="s">
        <v>48</v>
      </c>
      <c r="T714" s="109" t="s">
        <v>48</v>
      </c>
      <c r="U714" s="109" t="s">
        <v>48</v>
      </c>
      <c r="V714" s="166" t="s">
        <v>48</v>
      </c>
      <c r="W714" s="165" t="s">
        <v>237</v>
      </c>
      <c r="X714" s="109" t="s">
        <v>237</v>
      </c>
      <c r="Y714" s="109" t="s">
        <v>48</v>
      </c>
      <c r="Z714" s="109" t="s">
        <v>48</v>
      </c>
      <c r="AA714" s="109" t="s">
        <v>48</v>
      </c>
      <c r="AB714" s="109" t="s">
        <v>48</v>
      </c>
      <c r="AC714" s="109" t="s">
        <v>48</v>
      </c>
      <c r="AD714" s="166" t="s">
        <v>48</v>
      </c>
      <c r="AE714" s="174" t="s">
        <v>48</v>
      </c>
      <c r="AF714" s="109" t="s">
        <v>48</v>
      </c>
      <c r="AG714" s="117" t="s">
        <v>48</v>
      </c>
      <c r="AH714" s="109" t="s">
        <v>48</v>
      </c>
      <c r="AI714" s="109" t="s">
        <v>48</v>
      </c>
      <c r="AJ714" s="109" t="s">
        <v>48</v>
      </c>
      <c r="AK714" s="166" t="s">
        <v>48</v>
      </c>
      <c r="AL714" s="109" t="s">
        <v>237</v>
      </c>
      <c r="AM714" s="109" t="s">
        <v>237</v>
      </c>
      <c r="AN714" s="109" t="s">
        <v>48</v>
      </c>
      <c r="AO714" s="109" t="s">
        <v>48</v>
      </c>
      <c r="AP714" s="109" t="s">
        <v>48</v>
      </c>
      <c r="AQ714" s="109" t="s">
        <v>48</v>
      </c>
      <c r="AR714" s="109" t="s">
        <v>48</v>
      </c>
      <c r="AS714" s="166" t="s">
        <v>48</v>
      </c>
      <c r="AT714" s="166" t="s">
        <v>48</v>
      </c>
      <c r="AU714" s="109" t="s">
        <v>48</v>
      </c>
      <c r="AV714" s="109" t="s">
        <v>48</v>
      </c>
      <c r="AW714" s="109" t="s">
        <v>48</v>
      </c>
      <c r="AX714" s="109" t="s">
        <v>48</v>
      </c>
      <c r="AY714" s="109" t="s">
        <v>48</v>
      </c>
      <c r="AZ714" s="166" t="s">
        <v>48</v>
      </c>
      <c r="BA714" s="162" t="s">
        <v>1710</v>
      </c>
      <c r="BB714" s="117" t="s">
        <v>49</v>
      </c>
      <c r="BC714" s="120" t="s">
        <v>1692</v>
      </c>
    </row>
    <row r="715" spans="1:55" ht="75" hidden="1" customHeight="1">
      <c r="A715" s="109" t="s">
        <v>41</v>
      </c>
      <c r="B715" s="117" t="s">
        <v>2548</v>
      </c>
      <c r="C715" s="117" t="s">
        <v>223</v>
      </c>
      <c r="D715" s="109" t="s">
        <v>236</v>
      </c>
      <c r="E715" s="161">
        <v>15000</v>
      </c>
      <c r="F715" s="165" t="s">
        <v>1691</v>
      </c>
      <c r="G715" s="109" t="s">
        <v>1691</v>
      </c>
      <c r="H715" s="109" t="s">
        <v>1942</v>
      </c>
      <c r="I715" s="109" t="s">
        <v>1908</v>
      </c>
      <c r="J715" s="109" t="s">
        <v>1708</v>
      </c>
      <c r="K715" s="109" t="s">
        <v>1708</v>
      </c>
      <c r="L715" s="109" t="s">
        <v>1975</v>
      </c>
      <c r="M715" s="166" t="s">
        <v>1687</v>
      </c>
      <c r="N715" s="162" t="s">
        <v>48</v>
      </c>
      <c r="O715" s="109" t="s">
        <v>48</v>
      </c>
      <c r="P715" s="162" t="s">
        <v>48</v>
      </c>
      <c r="Q715" s="109" t="s">
        <v>48</v>
      </c>
      <c r="R715" s="109" t="s">
        <v>48</v>
      </c>
      <c r="S715" s="109" t="s">
        <v>48</v>
      </c>
      <c r="T715" s="109" t="s">
        <v>48</v>
      </c>
      <c r="U715" s="109" t="s">
        <v>48</v>
      </c>
      <c r="V715" s="166" t="s">
        <v>48</v>
      </c>
      <c r="W715" s="165" t="s">
        <v>236</v>
      </c>
      <c r="X715" s="109" t="s">
        <v>236</v>
      </c>
      <c r="Y715" s="109" t="s">
        <v>48</v>
      </c>
      <c r="Z715" s="109" t="s">
        <v>48</v>
      </c>
      <c r="AA715" s="109" t="s">
        <v>48</v>
      </c>
      <c r="AB715" s="109" t="s">
        <v>48</v>
      </c>
      <c r="AC715" s="109" t="s">
        <v>48</v>
      </c>
      <c r="AD715" s="166" t="s">
        <v>48</v>
      </c>
      <c r="AE715" s="174" t="s">
        <v>442</v>
      </c>
      <c r="AF715" s="117" t="s">
        <v>224</v>
      </c>
      <c r="AG715" s="117" t="s">
        <v>490</v>
      </c>
      <c r="AH715" s="109" t="s">
        <v>1908</v>
      </c>
      <c r="AI715" s="117" t="s">
        <v>616</v>
      </c>
      <c r="AJ715" s="109" t="s">
        <v>492</v>
      </c>
      <c r="AK715" s="166" t="s">
        <v>493</v>
      </c>
      <c r="AL715" s="165" t="s">
        <v>236</v>
      </c>
      <c r="AM715" s="109" t="s">
        <v>236</v>
      </c>
      <c r="AN715" s="109" t="s">
        <v>48</v>
      </c>
      <c r="AO715" s="109" t="s">
        <v>48</v>
      </c>
      <c r="AP715" s="109" t="s">
        <v>48</v>
      </c>
      <c r="AQ715" s="109" t="s">
        <v>48</v>
      </c>
      <c r="AR715" s="109" t="s">
        <v>48</v>
      </c>
      <c r="AS715" s="166" t="s">
        <v>48</v>
      </c>
      <c r="AT715" s="165" t="s">
        <v>48</v>
      </c>
      <c r="AU715" s="109" t="s">
        <v>48</v>
      </c>
      <c r="AV715" s="109" t="s">
        <v>48</v>
      </c>
      <c r="AW715" s="109" t="s">
        <v>48</v>
      </c>
      <c r="AX715" s="109" t="s">
        <v>48</v>
      </c>
      <c r="AY715" s="109" t="s">
        <v>48</v>
      </c>
      <c r="AZ715" s="166" t="s">
        <v>48</v>
      </c>
      <c r="BA715" s="162" t="s">
        <v>1710</v>
      </c>
      <c r="BB715" s="117" t="s">
        <v>49</v>
      </c>
      <c r="BC715" s="120" t="s">
        <v>1692</v>
      </c>
    </row>
    <row r="716" spans="1:55" ht="64.150000000000006" hidden="1" customHeight="1">
      <c r="A716" s="109" t="s">
        <v>41</v>
      </c>
      <c r="B716" s="117" t="s">
        <v>2548</v>
      </c>
      <c r="C716" s="117" t="s">
        <v>222</v>
      </c>
      <c r="D716" s="109" t="s">
        <v>238</v>
      </c>
      <c r="E716" s="161">
        <v>15000</v>
      </c>
      <c r="F716" s="165" t="s">
        <v>1691</v>
      </c>
      <c r="G716" s="109" t="s">
        <v>1691</v>
      </c>
      <c r="H716" s="109" t="s">
        <v>1942</v>
      </c>
      <c r="I716" s="109" t="s">
        <v>1908</v>
      </c>
      <c r="J716" s="109" t="s">
        <v>1708</v>
      </c>
      <c r="K716" s="109" t="s">
        <v>1708</v>
      </c>
      <c r="L716" s="109" t="s">
        <v>1975</v>
      </c>
      <c r="M716" s="166" t="s">
        <v>1687</v>
      </c>
      <c r="N716" s="162" t="s">
        <v>48</v>
      </c>
      <c r="O716" s="109" t="s">
        <v>48</v>
      </c>
      <c r="P716" s="162" t="s">
        <v>48</v>
      </c>
      <c r="Q716" s="109" t="s">
        <v>48</v>
      </c>
      <c r="R716" s="109" t="s">
        <v>48</v>
      </c>
      <c r="S716" s="109" t="s">
        <v>48</v>
      </c>
      <c r="T716" s="109" t="s">
        <v>48</v>
      </c>
      <c r="U716" s="109" t="s">
        <v>48</v>
      </c>
      <c r="V716" s="166" t="s">
        <v>48</v>
      </c>
      <c r="W716" s="165" t="s">
        <v>238</v>
      </c>
      <c r="X716" s="109" t="s">
        <v>238</v>
      </c>
      <c r="Y716" s="109" t="s">
        <v>48</v>
      </c>
      <c r="Z716" s="109" t="s">
        <v>48</v>
      </c>
      <c r="AA716" s="109" t="s">
        <v>48</v>
      </c>
      <c r="AB716" s="109" t="s">
        <v>48</v>
      </c>
      <c r="AC716" s="109" t="s">
        <v>48</v>
      </c>
      <c r="AD716" s="166" t="s">
        <v>48</v>
      </c>
      <c r="AE716" s="174" t="s">
        <v>48</v>
      </c>
      <c r="AF716" s="109" t="s">
        <v>48</v>
      </c>
      <c r="AG716" s="117" t="s">
        <v>48</v>
      </c>
      <c r="AH716" s="109" t="s">
        <v>48</v>
      </c>
      <c r="AI716" s="109" t="s">
        <v>48</v>
      </c>
      <c r="AJ716" s="109" t="s">
        <v>48</v>
      </c>
      <c r="AK716" s="166" t="s">
        <v>48</v>
      </c>
      <c r="AL716" s="165" t="s">
        <v>238</v>
      </c>
      <c r="AM716" s="109" t="s">
        <v>238</v>
      </c>
      <c r="AN716" s="109" t="s">
        <v>48</v>
      </c>
      <c r="AO716" s="109" t="s">
        <v>48</v>
      </c>
      <c r="AP716" s="109" t="s">
        <v>48</v>
      </c>
      <c r="AQ716" s="109" t="s">
        <v>48</v>
      </c>
      <c r="AR716" s="109" t="s">
        <v>48</v>
      </c>
      <c r="AS716" s="166" t="s">
        <v>48</v>
      </c>
      <c r="AT716" s="165" t="s">
        <v>48</v>
      </c>
      <c r="AU716" s="109" t="s">
        <v>48</v>
      </c>
      <c r="AV716" s="109" t="s">
        <v>48</v>
      </c>
      <c r="AW716" s="109" t="s">
        <v>48</v>
      </c>
      <c r="AX716" s="109" t="s">
        <v>48</v>
      </c>
      <c r="AY716" s="109" t="s">
        <v>48</v>
      </c>
      <c r="AZ716" s="166" t="s">
        <v>48</v>
      </c>
      <c r="BA716" s="162" t="s">
        <v>1710</v>
      </c>
      <c r="BB716" s="117" t="s">
        <v>49</v>
      </c>
      <c r="BC716" s="120" t="s">
        <v>1692</v>
      </c>
    </row>
    <row r="717" spans="1:55" ht="75" hidden="1" customHeight="1">
      <c r="A717" s="109" t="s">
        <v>41</v>
      </c>
      <c r="B717" s="117" t="s">
        <v>2548</v>
      </c>
      <c r="C717" s="109" t="s">
        <v>891</v>
      </c>
      <c r="D717" s="109" t="s">
        <v>2598</v>
      </c>
      <c r="E717" s="161">
        <v>15000</v>
      </c>
      <c r="F717" s="165" t="s">
        <v>1691</v>
      </c>
      <c r="G717" s="109" t="s">
        <v>1691</v>
      </c>
      <c r="H717" s="109" t="s">
        <v>1942</v>
      </c>
      <c r="I717" s="109" t="s">
        <v>1908</v>
      </c>
      <c r="J717" s="109" t="s">
        <v>1708</v>
      </c>
      <c r="K717" s="109" t="s">
        <v>1708</v>
      </c>
      <c r="L717" s="109" t="s">
        <v>1975</v>
      </c>
      <c r="M717" s="166" t="s">
        <v>1687</v>
      </c>
      <c r="N717" s="162" t="s">
        <v>48</v>
      </c>
      <c r="O717" s="109" t="s">
        <v>48</v>
      </c>
      <c r="P717" s="162" t="s">
        <v>48</v>
      </c>
      <c r="Q717" s="109" t="s">
        <v>48</v>
      </c>
      <c r="R717" s="109" t="s">
        <v>48</v>
      </c>
      <c r="S717" s="109" t="s">
        <v>48</v>
      </c>
      <c r="T717" s="109" t="s">
        <v>48</v>
      </c>
      <c r="U717" s="109" t="s">
        <v>48</v>
      </c>
      <c r="V717" s="166" t="s">
        <v>48</v>
      </c>
      <c r="W717" s="165" t="s">
        <v>890</v>
      </c>
      <c r="X717" s="109" t="s">
        <v>890</v>
      </c>
      <c r="Y717" s="109" t="s">
        <v>48</v>
      </c>
      <c r="Z717" s="109" t="s">
        <v>48</v>
      </c>
      <c r="AA717" s="109" t="s">
        <v>48</v>
      </c>
      <c r="AB717" s="109" t="s">
        <v>48</v>
      </c>
      <c r="AC717" s="109" t="s">
        <v>48</v>
      </c>
      <c r="AD717" s="166" t="s">
        <v>48</v>
      </c>
      <c r="AE717" s="174" t="s">
        <v>80</v>
      </c>
      <c r="AF717" s="109" t="s">
        <v>923</v>
      </c>
      <c r="AG717" s="130" t="s">
        <v>922</v>
      </c>
      <c r="AH717" s="109" t="s">
        <v>1908</v>
      </c>
      <c r="AI717" s="109" t="s">
        <v>1082</v>
      </c>
      <c r="AJ717" s="109" t="s">
        <v>921</v>
      </c>
      <c r="AK717" s="166" t="s">
        <v>924</v>
      </c>
      <c r="AL717" s="165" t="s">
        <v>890</v>
      </c>
      <c r="AM717" s="109" t="s">
        <v>890</v>
      </c>
      <c r="AN717" s="109" t="s">
        <v>48</v>
      </c>
      <c r="AO717" s="109" t="s">
        <v>48</v>
      </c>
      <c r="AP717" s="109" t="s">
        <v>48</v>
      </c>
      <c r="AQ717" s="109" t="s">
        <v>48</v>
      </c>
      <c r="AR717" s="109" t="s">
        <v>48</v>
      </c>
      <c r="AS717" s="166" t="s">
        <v>48</v>
      </c>
      <c r="AT717" s="165" t="s">
        <v>48</v>
      </c>
      <c r="AU717" s="109" t="s">
        <v>48</v>
      </c>
      <c r="AV717" s="109" t="s">
        <v>48</v>
      </c>
      <c r="AW717" s="109" t="s">
        <v>48</v>
      </c>
      <c r="AX717" s="109" t="s">
        <v>48</v>
      </c>
      <c r="AY717" s="109" t="s">
        <v>48</v>
      </c>
      <c r="AZ717" s="166" t="s">
        <v>48</v>
      </c>
      <c r="BA717" s="162" t="s">
        <v>1710</v>
      </c>
      <c r="BB717" s="109" t="s">
        <v>82</v>
      </c>
      <c r="BC717" s="120" t="s">
        <v>1692</v>
      </c>
    </row>
    <row r="718" spans="1:55" ht="75" hidden="1" customHeight="1">
      <c r="A718" s="109" t="s">
        <v>40</v>
      </c>
      <c r="B718" s="117" t="s">
        <v>2599</v>
      </c>
      <c r="C718" s="109" t="s">
        <v>1707</v>
      </c>
      <c r="D718" s="109" t="s">
        <v>1691</v>
      </c>
      <c r="E718" s="161">
        <v>30000</v>
      </c>
      <c r="F718" s="165" t="s">
        <v>1691</v>
      </c>
      <c r="G718" s="109" t="s">
        <v>1691</v>
      </c>
      <c r="H718" s="109" t="s">
        <v>48</v>
      </c>
      <c r="I718" s="109" t="s">
        <v>48</v>
      </c>
      <c r="J718" s="109" t="s">
        <v>48</v>
      </c>
      <c r="K718" s="109" t="s">
        <v>48</v>
      </c>
      <c r="L718" s="109" t="s">
        <v>48</v>
      </c>
      <c r="M718" s="166" t="s">
        <v>1687</v>
      </c>
      <c r="N718" s="162" t="s">
        <v>48</v>
      </c>
      <c r="O718" s="109" t="s">
        <v>48</v>
      </c>
      <c r="P718" s="162" t="s">
        <v>48</v>
      </c>
      <c r="Q718" s="109" t="s">
        <v>48</v>
      </c>
      <c r="R718" s="109" t="s">
        <v>48</v>
      </c>
      <c r="S718" s="109" t="s">
        <v>48</v>
      </c>
      <c r="T718" s="109" t="s">
        <v>48</v>
      </c>
      <c r="U718" s="109" t="s">
        <v>48</v>
      </c>
      <c r="V718" s="166" t="s">
        <v>48</v>
      </c>
      <c r="W718" s="165" t="s">
        <v>1691</v>
      </c>
      <c r="X718" s="109" t="s">
        <v>1691</v>
      </c>
      <c r="Y718" s="109" t="s">
        <v>48</v>
      </c>
      <c r="Z718" s="109" t="s">
        <v>48</v>
      </c>
      <c r="AA718" s="109" t="s">
        <v>48</v>
      </c>
      <c r="AB718" s="109" t="s">
        <v>48</v>
      </c>
      <c r="AC718" s="109" t="s">
        <v>48</v>
      </c>
      <c r="AD718" s="166" t="s">
        <v>48</v>
      </c>
      <c r="AE718" s="165" t="s">
        <v>48</v>
      </c>
      <c r="AF718" s="109" t="s">
        <v>48</v>
      </c>
      <c r="AG718" s="109" t="s">
        <v>48</v>
      </c>
      <c r="AH718" s="109" t="s">
        <v>48</v>
      </c>
      <c r="AI718" s="109" t="s">
        <v>48</v>
      </c>
      <c r="AJ718" s="109" t="s">
        <v>48</v>
      </c>
      <c r="AK718" s="166" t="s">
        <v>48</v>
      </c>
      <c r="AL718" s="165" t="s">
        <v>1691</v>
      </c>
      <c r="AM718" s="109" t="s">
        <v>1691</v>
      </c>
      <c r="AN718" s="109" t="s">
        <v>48</v>
      </c>
      <c r="AO718" s="109" t="s">
        <v>48</v>
      </c>
      <c r="AP718" s="109" t="s">
        <v>48</v>
      </c>
      <c r="AQ718" s="109" t="s">
        <v>48</v>
      </c>
      <c r="AR718" s="109" t="s">
        <v>48</v>
      </c>
      <c r="AS718" s="166" t="s">
        <v>48</v>
      </c>
      <c r="AT718" s="165" t="s">
        <v>48</v>
      </c>
      <c r="AU718" s="109" t="s">
        <v>48</v>
      </c>
      <c r="AV718" s="109" t="s">
        <v>48</v>
      </c>
      <c r="AW718" s="109" t="s">
        <v>48</v>
      </c>
      <c r="AX718" s="109" t="s">
        <v>48</v>
      </c>
      <c r="AY718" s="109" t="s">
        <v>48</v>
      </c>
      <c r="AZ718" s="166" t="s">
        <v>48</v>
      </c>
      <c r="BA718" s="162" t="s">
        <v>48</v>
      </c>
      <c r="BB718" s="109" t="s">
        <v>49</v>
      </c>
      <c r="BC718" s="109" t="s">
        <v>1692</v>
      </c>
    </row>
    <row r="719" spans="1:55" ht="75" hidden="1" customHeight="1">
      <c r="A719" s="109" t="s">
        <v>40</v>
      </c>
      <c r="B719" s="117" t="s">
        <v>2599</v>
      </c>
      <c r="C719" s="109" t="s">
        <v>1030</v>
      </c>
      <c r="D719" s="109" t="s">
        <v>1011</v>
      </c>
      <c r="E719" s="161">
        <v>30000</v>
      </c>
      <c r="F719" s="165" t="s">
        <v>1691</v>
      </c>
      <c r="G719" s="109" t="s">
        <v>1691</v>
      </c>
      <c r="H719" s="109" t="s">
        <v>1942</v>
      </c>
      <c r="I719" s="109" t="s">
        <v>1908</v>
      </c>
      <c r="J719" s="109" t="s">
        <v>1708</v>
      </c>
      <c r="K719" s="109" t="s">
        <v>1708</v>
      </c>
      <c r="L719" s="109" t="s">
        <v>1975</v>
      </c>
      <c r="M719" s="166" t="s">
        <v>1687</v>
      </c>
      <c r="N719" s="162" t="s">
        <v>48</v>
      </c>
      <c r="O719" s="109" t="s">
        <v>48</v>
      </c>
      <c r="P719" s="162" t="s">
        <v>48</v>
      </c>
      <c r="Q719" s="109" t="s">
        <v>48</v>
      </c>
      <c r="R719" s="109" t="s">
        <v>48</v>
      </c>
      <c r="S719" s="109" t="s">
        <v>48</v>
      </c>
      <c r="T719" s="109" t="s">
        <v>48</v>
      </c>
      <c r="U719" s="109" t="s">
        <v>48</v>
      </c>
      <c r="V719" s="166" t="s">
        <v>48</v>
      </c>
      <c r="W719" s="165" t="s">
        <v>1011</v>
      </c>
      <c r="X719" s="109" t="s">
        <v>1011</v>
      </c>
      <c r="Y719" s="109" t="s">
        <v>48</v>
      </c>
      <c r="Z719" s="109" t="s">
        <v>48</v>
      </c>
      <c r="AA719" s="109" t="s">
        <v>48</v>
      </c>
      <c r="AB719" s="109" t="s">
        <v>48</v>
      </c>
      <c r="AC719" s="109" t="s">
        <v>48</v>
      </c>
      <c r="AD719" s="166" t="s">
        <v>48</v>
      </c>
      <c r="AE719" s="174" t="s">
        <v>80</v>
      </c>
      <c r="AF719" s="117" t="s">
        <v>1382</v>
      </c>
      <c r="AG719" s="117" t="s">
        <v>1383</v>
      </c>
      <c r="AH719" s="109" t="s">
        <v>1908</v>
      </c>
      <c r="AI719" s="117" t="s">
        <v>1384</v>
      </c>
      <c r="AJ719" s="117" t="s">
        <v>1385</v>
      </c>
      <c r="AK719" s="182" t="s">
        <v>1386</v>
      </c>
      <c r="AL719" s="165" t="s">
        <v>1011</v>
      </c>
      <c r="AM719" s="109" t="s">
        <v>1011</v>
      </c>
      <c r="AN719" s="109" t="s">
        <v>48</v>
      </c>
      <c r="AO719" s="109" t="s">
        <v>48</v>
      </c>
      <c r="AP719" s="109" t="s">
        <v>48</v>
      </c>
      <c r="AQ719" s="109" t="s">
        <v>48</v>
      </c>
      <c r="AR719" s="109" t="s">
        <v>48</v>
      </c>
      <c r="AS719" s="166" t="s">
        <v>48</v>
      </c>
      <c r="AT719" s="165" t="s">
        <v>48</v>
      </c>
      <c r="AU719" s="109" t="s">
        <v>48</v>
      </c>
      <c r="AV719" s="109" t="s">
        <v>48</v>
      </c>
      <c r="AW719" s="109" t="s">
        <v>48</v>
      </c>
      <c r="AX719" s="109" t="s">
        <v>48</v>
      </c>
      <c r="AY719" s="109" t="s">
        <v>48</v>
      </c>
      <c r="AZ719" s="166" t="s">
        <v>48</v>
      </c>
      <c r="BA719" s="162" t="s">
        <v>1710</v>
      </c>
      <c r="BB719" s="109" t="s">
        <v>49</v>
      </c>
      <c r="BC719" s="120" t="s">
        <v>1692</v>
      </c>
    </row>
    <row r="720" spans="1:55" ht="75" hidden="1" customHeight="1">
      <c r="A720" s="109" t="s">
        <v>40</v>
      </c>
      <c r="B720" s="117" t="s">
        <v>2599</v>
      </c>
      <c r="C720" s="109" t="s">
        <v>647</v>
      </c>
      <c r="D720" s="109" t="s">
        <v>646</v>
      </c>
      <c r="E720" s="161">
        <v>30000</v>
      </c>
      <c r="F720" s="165" t="s">
        <v>1691</v>
      </c>
      <c r="G720" s="109" t="s">
        <v>1691</v>
      </c>
      <c r="H720" s="109" t="s">
        <v>1942</v>
      </c>
      <c r="I720" s="109" t="s">
        <v>1908</v>
      </c>
      <c r="J720" s="109" t="s">
        <v>1708</v>
      </c>
      <c r="K720" s="109" t="s">
        <v>1708</v>
      </c>
      <c r="L720" s="109" t="s">
        <v>1975</v>
      </c>
      <c r="M720" s="166" t="s">
        <v>1687</v>
      </c>
      <c r="N720" s="162" t="s">
        <v>48</v>
      </c>
      <c r="O720" s="109" t="s">
        <v>48</v>
      </c>
      <c r="P720" s="162" t="s">
        <v>48</v>
      </c>
      <c r="Q720" s="109" t="s">
        <v>48</v>
      </c>
      <c r="R720" s="109" t="s">
        <v>48</v>
      </c>
      <c r="S720" s="109" t="s">
        <v>48</v>
      </c>
      <c r="T720" s="109" t="s">
        <v>48</v>
      </c>
      <c r="U720" s="109" t="s">
        <v>48</v>
      </c>
      <c r="V720" s="166" t="s">
        <v>48</v>
      </c>
      <c r="W720" s="165" t="s">
        <v>646</v>
      </c>
      <c r="X720" s="109" t="s">
        <v>646</v>
      </c>
      <c r="Y720" s="109" t="s">
        <v>48</v>
      </c>
      <c r="Z720" s="109" t="s">
        <v>48</v>
      </c>
      <c r="AA720" s="109" t="s">
        <v>48</v>
      </c>
      <c r="AB720" s="109" t="s">
        <v>48</v>
      </c>
      <c r="AC720" s="109" t="s">
        <v>48</v>
      </c>
      <c r="AD720" s="166" t="s">
        <v>48</v>
      </c>
      <c r="AE720" s="165" t="s">
        <v>80</v>
      </c>
      <c r="AF720" s="109" t="s">
        <v>744</v>
      </c>
      <c r="AG720" s="109" t="s">
        <v>747</v>
      </c>
      <c r="AH720" s="109" t="s">
        <v>1908</v>
      </c>
      <c r="AI720" s="109" t="s">
        <v>745</v>
      </c>
      <c r="AJ720" s="109">
        <v>5815499</v>
      </c>
      <c r="AK720" s="166" t="s">
        <v>746</v>
      </c>
      <c r="AL720" s="165" t="s">
        <v>646</v>
      </c>
      <c r="AM720" s="109" t="s">
        <v>646</v>
      </c>
      <c r="AN720" s="109" t="s">
        <v>48</v>
      </c>
      <c r="AO720" s="109" t="s">
        <v>48</v>
      </c>
      <c r="AP720" s="109" t="s">
        <v>48</v>
      </c>
      <c r="AQ720" s="109" t="s">
        <v>48</v>
      </c>
      <c r="AR720" s="109" t="s">
        <v>48</v>
      </c>
      <c r="AS720" s="166" t="s">
        <v>48</v>
      </c>
      <c r="AT720" s="165" t="s">
        <v>48</v>
      </c>
      <c r="AU720" s="109" t="s">
        <v>48</v>
      </c>
      <c r="AV720" s="109" t="s">
        <v>48</v>
      </c>
      <c r="AW720" s="109" t="s">
        <v>48</v>
      </c>
      <c r="AX720" s="109" t="s">
        <v>48</v>
      </c>
      <c r="AY720" s="109" t="s">
        <v>48</v>
      </c>
      <c r="AZ720" s="166" t="s">
        <v>48</v>
      </c>
      <c r="BA720" s="162" t="s">
        <v>1710</v>
      </c>
      <c r="BB720" s="109" t="s">
        <v>49</v>
      </c>
      <c r="BC720" s="120" t="s">
        <v>1692</v>
      </c>
    </row>
    <row r="721" spans="1:55" ht="75" hidden="1" customHeight="1">
      <c r="A721" s="109" t="s">
        <v>40</v>
      </c>
      <c r="B721" s="117" t="s">
        <v>2599</v>
      </c>
      <c r="C721" s="117" t="s">
        <v>249</v>
      </c>
      <c r="D721" s="109" t="s">
        <v>237</v>
      </c>
      <c r="E721" s="161">
        <v>30000</v>
      </c>
      <c r="F721" s="165" t="s">
        <v>1691</v>
      </c>
      <c r="G721" s="109" t="s">
        <v>1691</v>
      </c>
      <c r="H721" s="109" t="s">
        <v>1942</v>
      </c>
      <c r="I721" s="109" t="s">
        <v>1908</v>
      </c>
      <c r="J721" s="109" t="s">
        <v>1708</v>
      </c>
      <c r="K721" s="109" t="s">
        <v>1708</v>
      </c>
      <c r="L721" s="109" t="s">
        <v>1975</v>
      </c>
      <c r="M721" s="166" t="s">
        <v>1687</v>
      </c>
      <c r="N721" s="162" t="s">
        <v>48</v>
      </c>
      <c r="O721" s="109" t="s">
        <v>48</v>
      </c>
      <c r="P721" s="162" t="s">
        <v>48</v>
      </c>
      <c r="Q721" s="109" t="s">
        <v>48</v>
      </c>
      <c r="R721" s="109" t="s">
        <v>48</v>
      </c>
      <c r="S721" s="109" t="s">
        <v>48</v>
      </c>
      <c r="T721" s="109" t="s">
        <v>48</v>
      </c>
      <c r="U721" s="109" t="s">
        <v>48</v>
      </c>
      <c r="V721" s="166" t="s">
        <v>48</v>
      </c>
      <c r="W721" s="165" t="s">
        <v>237</v>
      </c>
      <c r="X721" s="109" t="s">
        <v>237</v>
      </c>
      <c r="Y721" s="109" t="s">
        <v>48</v>
      </c>
      <c r="Z721" s="109" t="s">
        <v>48</v>
      </c>
      <c r="AA721" s="109" t="s">
        <v>48</v>
      </c>
      <c r="AB721" s="109" t="s">
        <v>48</v>
      </c>
      <c r="AC721" s="109" t="s">
        <v>48</v>
      </c>
      <c r="AD721" s="166" t="s">
        <v>48</v>
      </c>
      <c r="AE721" s="174" t="s">
        <v>48</v>
      </c>
      <c r="AF721" s="109" t="s">
        <v>48</v>
      </c>
      <c r="AG721" s="117" t="s">
        <v>48</v>
      </c>
      <c r="AH721" s="109" t="s">
        <v>48</v>
      </c>
      <c r="AI721" s="109" t="s">
        <v>48</v>
      </c>
      <c r="AJ721" s="109" t="s">
        <v>48</v>
      </c>
      <c r="AK721" s="166" t="s">
        <v>48</v>
      </c>
      <c r="AL721" s="165" t="s">
        <v>237</v>
      </c>
      <c r="AM721" s="109" t="s">
        <v>237</v>
      </c>
      <c r="AN721" s="109" t="s">
        <v>48</v>
      </c>
      <c r="AO721" s="109" t="s">
        <v>48</v>
      </c>
      <c r="AP721" s="109" t="s">
        <v>48</v>
      </c>
      <c r="AQ721" s="109" t="s">
        <v>48</v>
      </c>
      <c r="AR721" s="109" t="s">
        <v>48</v>
      </c>
      <c r="AS721" s="166" t="s">
        <v>48</v>
      </c>
      <c r="AT721" s="165" t="s">
        <v>48</v>
      </c>
      <c r="AU721" s="109" t="s">
        <v>48</v>
      </c>
      <c r="AV721" s="109" t="s">
        <v>48</v>
      </c>
      <c r="AW721" s="109" t="s">
        <v>48</v>
      </c>
      <c r="AX721" s="109" t="s">
        <v>48</v>
      </c>
      <c r="AY721" s="109" t="s">
        <v>48</v>
      </c>
      <c r="AZ721" s="166" t="s">
        <v>48</v>
      </c>
      <c r="BA721" s="162" t="s">
        <v>1710</v>
      </c>
      <c r="BB721" s="117" t="s">
        <v>49</v>
      </c>
      <c r="BC721" s="120" t="s">
        <v>1692</v>
      </c>
    </row>
    <row r="722" spans="1:55" ht="75" hidden="1" customHeight="1">
      <c r="A722" s="109" t="s">
        <v>40</v>
      </c>
      <c r="B722" s="117" t="s">
        <v>2599</v>
      </c>
      <c r="C722" s="117" t="s">
        <v>223</v>
      </c>
      <c r="D722" s="109" t="s">
        <v>236</v>
      </c>
      <c r="E722" s="161">
        <v>30000</v>
      </c>
      <c r="F722" s="165" t="s">
        <v>1691</v>
      </c>
      <c r="G722" s="109" t="s">
        <v>1691</v>
      </c>
      <c r="H722" s="109" t="s">
        <v>1942</v>
      </c>
      <c r="I722" s="109" t="s">
        <v>1908</v>
      </c>
      <c r="J722" s="109" t="s">
        <v>1708</v>
      </c>
      <c r="K722" s="109" t="s">
        <v>1708</v>
      </c>
      <c r="L722" s="109" t="s">
        <v>1975</v>
      </c>
      <c r="M722" s="166" t="s">
        <v>1687</v>
      </c>
      <c r="N722" s="162" t="s">
        <v>48</v>
      </c>
      <c r="O722" s="109" t="s">
        <v>48</v>
      </c>
      <c r="P722" s="162" t="s">
        <v>48</v>
      </c>
      <c r="Q722" s="109" t="s">
        <v>48</v>
      </c>
      <c r="R722" s="109" t="s">
        <v>48</v>
      </c>
      <c r="S722" s="109" t="s">
        <v>48</v>
      </c>
      <c r="T722" s="109" t="s">
        <v>48</v>
      </c>
      <c r="U722" s="109" t="s">
        <v>48</v>
      </c>
      <c r="V722" s="166" t="s">
        <v>48</v>
      </c>
      <c r="W722" s="165" t="s">
        <v>236</v>
      </c>
      <c r="X722" s="109" t="s">
        <v>236</v>
      </c>
      <c r="Y722" s="109" t="s">
        <v>48</v>
      </c>
      <c r="Z722" s="109" t="s">
        <v>48</v>
      </c>
      <c r="AA722" s="109" t="s">
        <v>48</v>
      </c>
      <c r="AB722" s="109" t="s">
        <v>48</v>
      </c>
      <c r="AC722" s="109" t="s">
        <v>48</v>
      </c>
      <c r="AD722" s="166" t="s">
        <v>48</v>
      </c>
      <c r="AE722" s="174" t="s">
        <v>442</v>
      </c>
      <c r="AF722" s="117" t="s">
        <v>224</v>
      </c>
      <c r="AG722" s="117" t="s">
        <v>490</v>
      </c>
      <c r="AH722" s="109" t="s">
        <v>1908</v>
      </c>
      <c r="AI722" s="117" t="s">
        <v>616</v>
      </c>
      <c r="AJ722" s="109" t="s">
        <v>492</v>
      </c>
      <c r="AK722" s="166" t="s">
        <v>493</v>
      </c>
      <c r="AL722" s="165" t="s">
        <v>236</v>
      </c>
      <c r="AM722" s="109" t="s">
        <v>236</v>
      </c>
      <c r="AN722" s="109" t="s">
        <v>48</v>
      </c>
      <c r="AO722" s="109" t="s">
        <v>48</v>
      </c>
      <c r="AP722" s="109" t="s">
        <v>48</v>
      </c>
      <c r="AQ722" s="109" t="s">
        <v>48</v>
      </c>
      <c r="AR722" s="109" t="s">
        <v>48</v>
      </c>
      <c r="AS722" s="166" t="s">
        <v>48</v>
      </c>
      <c r="AT722" s="165" t="s">
        <v>48</v>
      </c>
      <c r="AU722" s="109" t="s">
        <v>48</v>
      </c>
      <c r="AV722" s="109" t="s">
        <v>48</v>
      </c>
      <c r="AW722" s="109" t="s">
        <v>48</v>
      </c>
      <c r="AX722" s="109" t="s">
        <v>48</v>
      </c>
      <c r="AY722" s="109" t="s">
        <v>48</v>
      </c>
      <c r="AZ722" s="166" t="s">
        <v>48</v>
      </c>
      <c r="BA722" s="162" t="s">
        <v>1710</v>
      </c>
      <c r="BB722" s="117" t="s">
        <v>49</v>
      </c>
      <c r="BC722" s="120" t="s">
        <v>1692</v>
      </c>
    </row>
    <row r="723" spans="1:55" ht="64.150000000000006" hidden="1" customHeight="1">
      <c r="A723" s="109" t="s">
        <v>40</v>
      </c>
      <c r="B723" s="117" t="s">
        <v>2599</v>
      </c>
      <c r="C723" s="117" t="s">
        <v>220</v>
      </c>
      <c r="D723" s="109" t="s">
        <v>418</v>
      </c>
      <c r="E723" s="161">
        <v>30000</v>
      </c>
      <c r="F723" s="165" t="s">
        <v>1691</v>
      </c>
      <c r="G723" s="109" t="s">
        <v>1691</v>
      </c>
      <c r="H723" s="109" t="s">
        <v>1942</v>
      </c>
      <c r="I723" s="109" t="s">
        <v>1908</v>
      </c>
      <c r="J723" s="109" t="s">
        <v>1708</v>
      </c>
      <c r="K723" s="109" t="s">
        <v>1708</v>
      </c>
      <c r="L723" s="109" t="s">
        <v>1975</v>
      </c>
      <c r="M723" s="166" t="s">
        <v>1687</v>
      </c>
      <c r="N723" s="162" t="s">
        <v>48</v>
      </c>
      <c r="O723" s="109" t="s">
        <v>48</v>
      </c>
      <c r="P723" s="162" t="s">
        <v>48</v>
      </c>
      <c r="Q723" s="109" t="s">
        <v>48</v>
      </c>
      <c r="R723" s="109" t="s">
        <v>48</v>
      </c>
      <c r="S723" s="109" t="s">
        <v>48</v>
      </c>
      <c r="T723" s="109" t="s">
        <v>48</v>
      </c>
      <c r="U723" s="109" t="s">
        <v>48</v>
      </c>
      <c r="V723" s="166" t="s">
        <v>48</v>
      </c>
      <c r="W723" s="165" t="s">
        <v>418</v>
      </c>
      <c r="X723" s="109" t="s">
        <v>418</v>
      </c>
      <c r="Y723" s="109" t="s">
        <v>48</v>
      </c>
      <c r="Z723" s="109" t="s">
        <v>48</v>
      </c>
      <c r="AA723" s="109" t="s">
        <v>48</v>
      </c>
      <c r="AB723" s="109" t="s">
        <v>48</v>
      </c>
      <c r="AC723" s="109" t="s">
        <v>48</v>
      </c>
      <c r="AD723" s="166" t="s">
        <v>48</v>
      </c>
      <c r="AE723" s="174" t="s">
        <v>48</v>
      </c>
      <c r="AF723" s="117" t="s">
        <v>48</v>
      </c>
      <c r="AG723" s="117" t="s">
        <v>48</v>
      </c>
      <c r="AH723" s="109" t="s">
        <v>48</v>
      </c>
      <c r="AI723" s="109" t="s">
        <v>48</v>
      </c>
      <c r="AJ723" s="117" t="s">
        <v>48</v>
      </c>
      <c r="AK723" s="166" t="s">
        <v>48</v>
      </c>
      <c r="AL723" s="165" t="s">
        <v>418</v>
      </c>
      <c r="AM723" s="109" t="s">
        <v>418</v>
      </c>
      <c r="AN723" s="109" t="s">
        <v>48</v>
      </c>
      <c r="AO723" s="109" t="s">
        <v>48</v>
      </c>
      <c r="AP723" s="109" t="s">
        <v>48</v>
      </c>
      <c r="AQ723" s="109" t="s">
        <v>48</v>
      </c>
      <c r="AR723" s="109" t="s">
        <v>48</v>
      </c>
      <c r="AS723" s="166" t="s">
        <v>48</v>
      </c>
      <c r="AT723" s="174" t="s">
        <v>48</v>
      </c>
      <c r="AU723" s="117" t="s">
        <v>48</v>
      </c>
      <c r="AV723" s="117" t="s">
        <v>48</v>
      </c>
      <c r="AW723" s="117" t="s">
        <v>48</v>
      </c>
      <c r="AX723" s="117" t="s">
        <v>48</v>
      </c>
      <c r="AY723" s="117" t="s">
        <v>48</v>
      </c>
      <c r="AZ723" s="166" t="s">
        <v>48</v>
      </c>
      <c r="BA723" s="162" t="s">
        <v>1710</v>
      </c>
      <c r="BB723" s="117" t="s">
        <v>49</v>
      </c>
      <c r="BC723" s="120" t="s">
        <v>1692</v>
      </c>
    </row>
    <row r="724" spans="1:55" ht="75" hidden="1" customHeight="1">
      <c r="A724" s="109" t="s">
        <v>40</v>
      </c>
      <c r="B724" s="117" t="s">
        <v>2599</v>
      </c>
      <c r="C724" s="109" t="s">
        <v>891</v>
      </c>
      <c r="D724" s="109" t="s">
        <v>890</v>
      </c>
      <c r="E724" s="161">
        <v>30000</v>
      </c>
      <c r="F724" s="165" t="s">
        <v>1691</v>
      </c>
      <c r="G724" s="109" t="s">
        <v>1691</v>
      </c>
      <c r="H724" s="109" t="s">
        <v>1942</v>
      </c>
      <c r="I724" s="109" t="s">
        <v>1908</v>
      </c>
      <c r="J724" s="109" t="s">
        <v>1708</v>
      </c>
      <c r="K724" s="109" t="s">
        <v>1708</v>
      </c>
      <c r="L724" s="109" t="s">
        <v>1975</v>
      </c>
      <c r="M724" s="166" t="s">
        <v>1687</v>
      </c>
      <c r="N724" s="162" t="s">
        <v>48</v>
      </c>
      <c r="O724" s="109" t="s">
        <v>48</v>
      </c>
      <c r="P724" s="162" t="s">
        <v>48</v>
      </c>
      <c r="Q724" s="109" t="s">
        <v>48</v>
      </c>
      <c r="R724" s="109" t="s">
        <v>48</v>
      </c>
      <c r="S724" s="109" t="s">
        <v>48</v>
      </c>
      <c r="T724" s="109" t="s">
        <v>48</v>
      </c>
      <c r="U724" s="109" t="s">
        <v>48</v>
      </c>
      <c r="V724" s="166" t="s">
        <v>48</v>
      </c>
      <c r="W724" s="165" t="s">
        <v>890</v>
      </c>
      <c r="X724" s="109" t="s">
        <v>890</v>
      </c>
      <c r="Y724" s="109" t="s">
        <v>48</v>
      </c>
      <c r="Z724" s="109" t="s">
        <v>48</v>
      </c>
      <c r="AA724" s="109" t="s">
        <v>48</v>
      </c>
      <c r="AB724" s="109" t="s">
        <v>48</v>
      </c>
      <c r="AC724" s="109" t="s">
        <v>48</v>
      </c>
      <c r="AD724" s="166" t="s">
        <v>48</v>
      </c>
      <c r="AE724" s="174" t="s">
        <v>80</v>
      </c>
      <c r="AF724" s="109" t="s">
        <v>923</v>
      </c>
      <c r="AG724" s="130" t="s">
        <v>922</v>
      </c>
      <c r="AH724" s="109" t="s">
        <v>1908</v>
      </c>
      <c r="AI724" s="109" t="s">
        <v>1082</v>
      </c>
      <c r="AJ724" s="109" t="s">
        <v>921</v>
      </c>
      <c r="AK724" s="166" t="s">
        <v>924</v>
      </c>
      <c r="AL724" s="165" t="s">
        <v>890</v>
      </c>
      <c r="AM724" s="109" t="s">
        <v>890</v>
      </c>
      <c r="AN724" s="109" t="s">
        <v>48</v>
      </c>
      <c r="AO724" s="109" t="s">
        <v>48</v>
      </c>
      <c r="AP724" s="109" t="s">
        <v>48</v>
      </c>
      <c r="AQ724" s="109" t="s">
        <v>48</v>
      </c>
      <c r="AR724" s="109" t="s">
        <v>48</v>
      </c>
      <c r="AS724" s="166" t="s">
        <v>48</v>
      </c>
      <c r="AT724" s="165" t="s">
        <v>48</v>
      </c>
      <c r="AU724" s="109" t="s">
        <v>48</v>
      </c>
      <c r="AV724" s="109" t="s">
        <v>48</v>
      </c>
      <c r="AW724" s="109" t="s">
        <v>48</v>
      </c>
      <c r="AX724" s="109" t="s">
        <v>48</v>
      </c>
      <c r="AY724" s="109" t="s">
        <v>48</v>
      </c>
      <c r="AZ724" s="166" t="s">
        <v>48</v>
      </c>
      <c r="BA724" s="162" t="s">
        <v>1710</v>
      </c>
      <c r="BB724" s="109" t="s">
        <v>82</v>
      </c>
      <c r="BC724" s="120" t="s">
        <v>1692</v>
      </c>
    </row>
    <row r="725" spans="1:55" ht="75" hidden="1" customHeight="1">
      <c r="A725" s="109" t="s">
        <v>40</v>
      </c>
      <c r="B725" s="117" t="s">
        <v>2467</v>
      </c>
      <c r="C725" s="109" t="s">
        <v>1395</v>
      </c>
      <c r="D725" s="109" t="s">
        <v>1758</v>
      </c>
      <c r="E725" s="161">
        <v>30000</v>
      </c>
      <c r="F725" s="165" t="s">
        <v>1753</v>
      </c>
      <c r="G725" s="109" t="s">
        <v>1753</v>
      </c>
      <c r="H725" s="109" t="s">
        <v>1972</v>
      </c>
      <c r="I725" s="109" t="s">
        <v>2039</v>
      </c>
      <c r="J725" s="109" t="s">
        <v>1708</v>
      </c>
      <c r="K725" s="109" t="s">
        <v>1708</v>
      </c>
      <c r="L725" s="109" t="s">
        <v>2008</v>
      </c>
      <c r="M725" s="166" t="s">
        <v>1687</v>
      </c>
      <c r="N725" s="162" t="s">
        <v>48</v>
      </c>
      <c r="O725" s="109" t="s">
        <v>48</v>
      </c>
      <c r="P725" s="162" t="s">
        <v>48</v>
      </c>
      <c r="Q725" s="109" t="s">
        <v>48</v>
      </c>
      <c r="R725" s="109" t="s">
        <v>48</v>
      </c>
      <c r="S725" s="109" t="s">
        <v>48</v>
      </c>
      <c r="T725" s="109" t="s">
        <v>48</v>
      </c>
      <c r="U725" s="109" t="s">
        <v>48</v>
      </c>
      <c r="V725" s="166" t="s">
        <v>48</v>
      </c>
      <c r="W725" s="165" t="s">
        <v>1758</v>
      </c>
      <c r="X725" s="109" t="s">
        <v>1758</v>
      </c>
      <c r="Y725" s="109" t="s">
        <v>48</v>
      </c>
      <c r="Z725" s="109" t="s">
        <v>48</v>
      </c>
      <c r="AA725" s="109" t="s">
        <v>48</v>
      </c>
      <c r="AB725" s="109" t="s">
        <v>48</v>
      </c>
      <c r="AC725" s="109" t="s">
        <v>48</v>
      </c>
      <c r="AD725" s="166" t="s">
        <v>48</v>
      </c>
      <c r="AE725" s="174" t="s">
        <v>48</v>
      </c>
      <c r="AF725" s="117" t="s">
        <v>48</v>
      </c>
      <c r="AG725" s="117" t="s">
        <v>48</v>
      </c>
      <c r="AH725" s="109" t="s">
        <v>48</v>
      </c>
      <c r="AI725" s="117" t="s">
        <v>48</v>
      </c>
      <c r="AJ725" s="117" t="s">
        <v>48</v>
      </c>
      <c r="AK725" s="182" t="s">
        <v>48</v>
      </c>
      <c r="AL725" s="165" t="s">
        <v>1758</v>
      </c>
      <c r="AM725" s="109" t="s">
        <v>1758</v>
      </c>
      <c r="AN725" s="109" t="s">
        <v>48</v>
      </c>
      <c r="AO725" s="109" t="s">
        <v>48</v>
      </c>
      <c r="AP725" s="109" t="s">
        <v>48</v>
      </c>
      <c r="AQ725" s="109" t="s">
        <v>48</v>
      </c>
      <c r="AR725" s="109" t="s">
        <v>48</v>
      </c>
      <c r="AS725" s="166" t="s">
        <v>48</v>
      </c>
      <c r="AT725" s="165" t="s">
        <v>48</v>
      </c>
      <c r="AU725" s="109" t="s">
        <v>48</v>
      </c>
      <c r="AV725" s="109" t="s">
        <v>48</v>
      </c>
      <c r="AW725" s="109" t="s">
        <v>48</v>
      </c>
      <c r="AX725" s="109" t="s">
        <v>48</v>
      </c>
      <c r="AY725" s="109" t="s">
        <v>48</v>
      </c>
      <c r="AZ725" s="166" t="s">
        <v>48</v>
      </c>
      <c r="BA725" s="162" t="s">
        <v>1711</v>
      </c>
      <c r="BB725" s="109" t="s">
        <v>49</v>
      </c>
      <c r="BC725" s="109"/>
    </row>
    <row r="726" spans="1:55" ht="75" hidden="1" customHeight="1">
      <c r="A726" s="109" t="s">
        <v>40</v>
      </c>
      <c r="B726" s="117" t="s">
        <v>2467</v>
      </c>
      <c r="C726" s="109" t="s">
        <v>1001</v>
      </c>
      <c r="D726" s="109" t="s">
        <v>1757</v>
      </c>
      <c r="E726" s="161">
        <v>30000</v>
      </c>
      <c r="F726" s="165" t="s">
        <v>1753</v>
      </c>
      <c r="G726" s="109" t="s">
        <v>1753</v>
      </c>
      <c r="H726" s="109" t="s">
        <v>1972</v>
      </c>
      <c r="I726" s="109" t="s">
        <v>2039</v>
      </c>
      <c r="J726" s="109" t="s">
        <v>1708</v>
      </c>
      <c r="K726" s="109" t="s">
        <v>1708</v>
      </c>
      <c r="L726" s="109" t="s">
        <v>2008</v>
      </c>
      <c r="M726" s="166" t="s">
        <v>1687</v>
      </c>
      <c r="N726" s="162" t="s">
        <v>48</v>
      </c>
      <c r="O726" s="109" t="s">
        <v>48</v>
      </c>
      <c r="P726" s="162" t="s">
        <v>48</v>
      </c>
      <c r="Q726" s="109" t="s">
        <v>48</v>
      </c>
      <c r="R726" s="109" t="s">
        <v>48</v>
      </c>
      <c r="S726" s="109" t="s">
        <v>48</v>
      </c>
      <c r="T726" s="109" t="s">
        <v>48</v>
      </c>
      <c r="U726" s="109" t="s">
        <v>48</v>
      </c>
      <c r="V726" s="166" t="s">
        <v>48</v>
      </c>
      <c r="W726" s="165" t="s">
        <v>1757</v>
      </c>
      <c r="X726" s="109" t="s">
        <v>1757</v>
      </c>
      <c r="Y726" s="109" t="s">
        <v>48</v>
      </c>
      <c r="Z726" s="109" t="s">
        <v>48</v>
      </c>
      <c r="AA726" s="109" t="s">
        <v>48</v>
      </c>
      <c r="AB726" s="109" t="s">
        <v>48</v>
      </c>
      <c r="AC726" s="109" t="s">
        <v>48</v>
      </c>
      <c r="AD726" s="166" t="s">
        <v>48</v>
      </c>
      <c r="AE726" s="174" t="s">
        <v>48</v>
      </c>
      <c r="AF726" s="117" t="s">
        <v>48</v>
      </c>
      <c r="AG726" s="117" t="s">
        <v>48</v>
      </c>
      <c r="AH726" s="109" t="s">
        <v>48</v>
      </c>
      <c r="AI726" s="117" t="s">
        <v>48</v>
      </c>
      <c r="AJ726" s="117" t="s">
        <v>48</v>
      </c>
      <c r="AK726" s="182" t="s">
        <v>48</v>
      </c>
      <c r="AL726" s="165" t="s">
        <v>1757</v>
      </c>
      <c r="AM726" s="109" t="s">
        <v>1757</v>
      </c>
      <c r="AN726" s="109" t="s">
        <v>48</v>
      </c>
      <c r="AO726" s="109" t="s">
        <v>48</v>
      </c>
      <c r="AP726" s="109" t="s">
        <v>48</v>
      </c>
      <c r="AQ726" s="109" t="s">
        <v>48</v>
      </c>
      <c r="AR726" s="109" t="s">
        <v>48</v>
      </c>
      <c r="AS726" s="166" t="s">
        <v>48</v>
      </c>
      <c r="AT726" s="165" t="s">
        <v>48</v>
      </c>
      <c r="AU726" s="109" t="s">
        <v>48</v>
      </c>
      <c r="AV726" s="109" t="s">
        <v>48</v>
      </c>
      <c r="AW726" s="109" t="s">
        <v>48</v>
      </c>
      <c r="AX726" s="109" t="s">
        <v>48</v>
      </c>
      <c r="AY726" s="109" t="s">
        <v>48</v>
      </c>
      <c r="AZ726" s="166" t="s">
        <v>48</v>
      </c>
      <c r="BA726" s="162" t="s">
        <v>1711</v>
      </c>
      <c r="BB726" s="109" t="s">
        <v>49</v>
      </c>
      <c r="BC726" s="109"/>
    </row>
    <row r="727" spans="1:55" ht="75.75" hidden="1" customHeight="1">
      <c r="A727" s="109" t="s">
        <v>40</v>
      </c>
      <c r="B727" s="117" t="s">
        <v>2467</v>
      </c>
      <c r="C727" s="109" t="s">
        <v>943</v>
      </c>
      <c r="D727" s="109" t="s">
        <v>1755</v>
      </c>
      <c r="E727" s="161">
        <v>30000</v>
      </c>
      <c r="F727" s="165" t="s">
        <v>1753</v>
      </c>
      <c r="G727" s="109" t="s">
        <v>1753</v>
      </c>
      <c r="H727" s="109" t="s">
        <v>1972</v>
      </c>
      <c r="I727" s="109" t="s">
        <v>2039</v>
      </c>
      <c r="J727" s="109" t="s">
        <v>1708</v>
      </c>
      <c r="K727" s="109" t="s">
        <v>1708</v>
      </c>
      <c r="L727" s="109" t="s">
        <v>2008</v>
      </c>
      <c r="M727" s="166" t="s">
        <v>1687</v>
      </c>
      <c r="N727" s="162" t="s">
        <v>48</v>
      </c>
      <c r="O727" s="109" t="s">
        <v>48</v>
      </c>
      <c r="P727" s="162" t="s">
        <v>48</v>
      </c>
      <c r="Q727" s="109" t="s">
        <v>48</v>
      </c>
      <c r="R727" s="109" t="s">
        <v>48</v>
      </c>
      <c r="S727" s="109" t="s">
        <v>48</v>
      </c>
      <c r="T727" s="109" t="s">
        <v>48</v>
      </c>
      <c r="U727" s="109" t="s">
        <v>48</v>
      </c>
      <c r="V727" s="166" t="s">
        <v>48</v>
      </c>
      <c r="W727" s="165" t="s">
        <v>1755</v>
      </c>
      <c r="X727" s="109" t="s">
        <v>1755</v>
      </c>
      <c r="Y727" s="109" t="s">
        <v>48</v>
      </c>
      <c r="Z727" s="109" t="s">
        <v>48</v>
      </c>
      <c r="AA727" s="109" t="s">
        <v>48</v>
      </c>
      <c r="AB727" s="109" t="s">
        <v>48</v>
      </c>
      <c r="AC727" s="109" t="s">
        <v>48</v>
      </c>
      <c r="AD727" s="166" t="s">
        <v>48</v>
      </c>
      <c r="AE727" s="174" t="s">
        <v>48</v>
      </c>
      <c r="AF727" s="117" t="s">
        <v>48</v>
      </c>
      <c r="AG727" s="117" t="s">
        <v>48</v>
      </c>
      <c r="AH727" s="109" t="s">
        <v>48</v>
      </c>
      <c r="AI727" s="117" t="s">
        <v>48</v>
      </c>
      <c r="AJ727" s="117" t="s">
        <v>48</v>
      </c>
      <c r="AK727" s="182" t="s">
        <v>48</v>
      </c>
      <c r="AL727" s="165" t="s">
        <v>1755</v>
      </c>
      <c r="AM727" s="109" t="s">
        <v>1755</v>
      </c>
      <c r="AN727" s="109" t="s">
        <v>48</v>
      </c>
      <c r="AO727" s="109" t="s">
        <v>48</v>
      </c>
      <c r="AP727" s="109" t="s">
        <v>48</v>
      </c>
      <c r="AQ727" s="109" t="s">
        <v>48</v>
      </c>
      <c r="AR727" s="109" t="s">
        <v>48</v>
      </c>
      <c r="AS727" s="166" t="s">
        <v>48</v>
      </c>
      <c r="AT727" s="165" t="s">
        <v>48</v>
      </c>
      <c r="AU727" s="109" t="s">
        <v>48</v>
      </c>
      <c r="AV727" s="109" t="s">
        <v>48</v>
      </c>
      <c r="AW727" s="109" t="s">
        <v>48</v>
      </c>
      <c r="AX727" s="109" t="s">
        <v>48</v>
      </c>
      <c r="AY727" s="109" t="s">
        <v>48</v>
      </c>
      <c r="AZ727" s="166" t="s">
        <v>48</v>
      </c>
      <c r="BA727" s="162" t="s">
        <v>1711</v>
      </c>
      <c r="BB727" s="109" t="s">
        <v>49</v>
      </c>
      <c r="BC727" s="109"/>
    </row>
    <row r="728" spans="1:55" ht="75" hidden="1" customHeight="1">
      <c r="A728" s="109" t="s">
        <v>40</v>
      </c>
      <c r="B728" s="117" t="s">
        <v>2467</v>
      </c>
      <c r="C728" s="109" t="s">
        <v>866</v>
      </c>
      <c r="D728" s="109" t="s">
        <v>1754</v>
      </c>
      <c r="E728" s="161">
        <v>30000</v>
      </c>
      <c r="F728" s="165" t="s">
        <v>1753</v>
      </c>
      <c r="G728" s="109" t="s">
        <v>1753</v>
      </c>
      <c r="H728" s="109" t="s">
        <v>1972</v>
      </c>
      <c r="I728" s="109" t="s">
        <v>2039</v>
      </c>
      <c r="J728" s="109" t="s">
        <v>1708</v>
      </c>
      <c r="K728" s="109" t="s">
        <v>1708</v>
      </c>
      <c r="L728" s="109" t="s">
        <v>2008</v>
      </c>
      <c r="M728" s="166" t="s">
        <v>1687</v>
      </c>
      <c r="N728" s="162" t="s">
        <v>48</v>
      </c>
      <c r="O728" s="109" t="s">
        <v>48</v>
      </c>
      <c r="P728" s="162" t="s">
        <v>48</v>
      </c>
      <c r="Q728" s="109" t="s">
        <v>48</v>
      </c>
      <c r="R728" s="109" t="s">
        <v>48</v>
      </c>
      <c r="S728" s="109" t="s">
        <v>48</v>
      </c>
      <c r="T728" s="109" t="s">
        <v>48</v>
      </c>
      <c r="U728" s="109" t="s">
        <v>48</v>
      </c>
      <c r="V728" s="166" t="s">
        <v>48</v>
      </c>
      <c r="W728" s="165" t="s">
        <v>1754</v>
      </c>
      <c r="X728" s="109" t="s">
        <v>1754</v>
      </c>
      <c r="Y728" s="109" t="s">
        <v>48</v>
      </c>
      <c r="Z728" s="109" t="s">
        <v>48</v>
      </c>
      <c r="AA728" s="109" t="s">
        <v>48</v>
      </c>
      <c r="AB728" s="109" t="s">
        <v>48</v>
      </c>
      <c r="AC728" s="109" t="s">
        <v>48</v>
      </c>
      <c r="AD728" s="166" t="s">
        <v>48</v>
      </c>
      <c r="AE728" s="174" t="s">
        <v>48</v>
      </c>
      <c r="AF728" s="117" t="s">
        <v>48</v>
      </c>
      <c r="AG728" s="117" t="s">
        <v>48</v>
      </c>
      <c r="AH728" s="109" t="s">
        <v>48</v>
      </c>
      <c r="AI728" s="117" t="s">
        <v>48</v>
      </c>
      <c r="AJ728" s="117" t="s">
        <v>48</v>
      </c>
      <c r="AK728" s="182" t="s">
        <v>48</v>
      </c>
      <c r="AL728" s="165" t="s">
        <v>1754</v>
      </c>
      <c r="AM728" s="109" t="s">
        <v>1754</v>
      </c>
      <c r="AN728" s="109" t="s">
        <v>48</v>
      </c>
      <c r="AO728" s="109" t="s">
        <v>48</v>
      </c>
      <c r="AP728" s="109" t="s">
        <v>48</v>
      </c>
      <c r="AQ728" s="109" t="s">
        <v>48</v>
      </c>
      <c r="AR728" s="109" t="s">
        <v>48</v>
      </c>
      <c r="AS728" s="166" t="s">
        <v>48</v>
      </c>
      <c r="AT728" s="165" t="s">
        <v>48</v>
      </c>
      <c r="AU728" s="109" t="s">
        <v>48</v>
      </c>
      <c r="AV728" s="109" t="s">
        <v>48</v>
      </c>
      <c r="AW728" s="109" t="s">
        <v>48</v>
      </c>
      <c r="AX728" s="109" t="s">
        <v>48</v>
      </c>
      <c r="AY728" s="109" t="s">
        <v>48</v>
      </c>
      <c r="AZ728" s="166" t="s">
        <v>48</v>
      </c>
      <c r="BA728" s="162" t="s">
        <v>1711</v>
      </c>
      <c r="BB728" s="109" t="s">
        <v>49</v>
      </c>
      <c r="BC728" s="109"/>
    </row>
    <row r="729" spans="1:55" ht="75" hidden="1" customHeight="1">
      <c r="A729" s="109" t="s">
        <v>40</v>
      </c>
      <c r="B729" s="117" t="s">
        <v>2467</v>
      </c>
      <c r="C729" s="109" t="s">
        <v>968</v>
      </c>
      <c r="D729" s="109" t="s">
        <v>1756</v>
      </c>
      <c r="E729" s="161">
        <v>30000</v>
      </c>
      <c r="F729" s="165" t="s">
        <v>1753</v>
      </c>
      <c r="G729" s="109" t="s">
        <v>1753</v>
      </c>
      <c r="H729" s="109" t="s">
        <v>1972</v>
      </c>
      <c r="I729" s="109" t="s">
        <v>2039</v>
      </c>
      <c r="J729" s="109" t="s">
        <v>1708</v>
      </c>
      <c r="K729" s="109" t="s">
        <v>1708</v>
      </c>
      <c r="L729" s="109" t="s">
        <v>2008</v>
      </c>
      <c r="M729" s="166" t="s">
        <v>1687</v>
      </c>
      <c r="N729" s="162" t="s">
        <v>48</v>
      </c>
      <c r="O729" s="109" t="s">
        <v>48</v>
      </c>
      <c r="P729" s="162" t="s">
        <v>48</v>
      </c>
      <c r="Q729" s="109" t="s">
        <v>48</v>
      </c>
      <c r="R729" s="109" t="s">
        <v>48</v>
      </c>
      <c r="S729" s="109" t="s">
        <v>48</v>
      </c>
      <c r="T729" s="109" t="s">
        <v>48</v>
      </c>
      <c r="U729" s="109" t="s">
        <v>48</v>
      </c>
      <c r="V729" s="166" t="s">
        <v>48</v>
      </c>
      <c r="W729" s="165" t="s">
        <v>1756</v>
      </c>
      <c r="X729" s="109" t="s">
        <v>1756</v>
      </c>
      <c r="Y729" s="109" t="s">
        <v>48</v>
      </c>
      <c r="Z729" s="109" t="s">
        <v>48</v>
      </c>
      <c r="AA729" s="109" t="s">
        <v>48</v>
      </c>
      <c r="AB729" s="109" t="s">
        <v>48</v>
      </c>
      <c r="AC729" s="109" t="s">
        <v>48</v>
      </c>
      <c r="AD729" s="166" t="s">
        <v>48</v>
      </c>
      <c r="AE729" s="174" t="s">
        <v>48</v>
      </c>
      <c r="AF729" s="117" t="s">
        <v>48</v>
      </c>
      <c r="AG729" s="117" t="s">
        <v>48</v>
      </c>
      <c r="AH729" s="109" t="s">
        <v>48</v>
      </c>
      <c r="AI729" s="117" t="s">
        <v>48</v>
      </c>
      <c r="AJ729" s="117" t="s">
        <v>48</v>
      </c>
      <c r="AK729" s="182" t="s">
        <v>48</v>
      </c>
      <c r="AL729" s="165" t="s">
        <v>1756</v>
      </c>
      <c r="AM729" s="109" t="s">
        <v>1756</v>
      </c>
      <c r="AN729" s="109" t="s">
        <v>48</v>
      </c>
      <c r="AO729" s="109" t="s">
        <v>48</v>
      </c>
      <c r="AP729" s="109" t="s">
        <v>48</v>
      </c>
      <c r="AQ729" s="109" t="s">
        <v>48</v>
      </c>
      <c r="AR729" s="109" t="s">
        <v>48</v>
      </c>
      <c r="AS729" s="166" t="s">
        <v>48</v>
      </c>
      <c r="AT729" s="165" t="s">
        <v>48</v>
      </c>
      <c r="AU729" s="109" t="s">
        <v>48</v>
      </c>
      <c r="AV729" s="109" t="s">
        <v>48</v>
      </c>
      <c r="AW729" s="109" t="s">
        <v>48</v>
      </c>
      <c r="AX729" s="109" t="s">
        <v>48</v>
      </c>
      <c r="AY729" s="109" t="s">
        <v>48</v>
      </c>
      <c r="AZ729" s="166" t="s">
        <v>48</v>
      </c>
      <c r="BA729" s="162" t="s">
        <v>1711</v>
      </c>
      <c r="BB729" s="109" t="s">
        <v>49</v>
      </c>
      <c r="BC729" s="109"/>
    </row>
    <row r="730" spans="1:55" ht="75" hidden="1" customHeight="1">
      <c r="A730" s="109" t="s">
        <v>40</v>
      </c>
      <c r="B730" s="117" t="s">
        <v>2467</v>
      </c>
      <c r="C730" s="109" t="s">
        <v>1712</v>
      </c>
      <c r="D730" s="109" t="s">
        <v>1753</v>
      </c>
      <c r="E730" s="161">
        <v>30000</v>
      </c>
      <c r="F730" s="165" t="s">
        <v>1753</v>
      </c>
      <c r="G730" s="109" t="s">
        <v>1753</v>
      </c>
      <c r="H730" s="109" t="s">
        <v>48</v>
      </c>
      <c r="I730" s="109" t="s">
        <v>48</v>
      </c>
      <c r="J730" s="109" t="s">
        <v>48</v>
      </c>
      <c r="K730" s="109" t="s">
        <v>48</v>
      </c>
      <c r="L730" s="109" t="s">
        <v>48</v>
      </c>
      <c r="M730" s="166" t="s">
        <v>1687</v>
      </c>
      <c r="N730" s="162" t="s">
        <v>48</v>
      </c>
      <c r="O730" s="109" t="s">
        <v>48</v>
      </c>
      <c r="P730" s="162" t="s">
        <v>48</v>
      </c>
      <c r="Q730" s="109" t="s">
        <v>48</v>
      </c>
      <c r="R730" s="109" t="s">
        <v>48</v>
      </c>
      <c r="S730" s="109" t="s">
        <v>48</v>
      </c>
      <c r="T730" s="109" t="s">
        <v>48</v>
      </c>
      <c r="U730" s="109" t="s">
        <v>48</v>
      </c>
      <c r="V730" s="166" t="s">
        <v>48</v>
      </c>
      <c r="W730" s="165" t="s">
        <v>1753</v>
      </c>
      <c r="X730" s="109" t="s">
        <v>1753</v>
      </c>
      <c r="Y730" s="109" t="s">
        <v>48</v>
      </c>
      <c r="Z730" s="109" t="s">
        <v>48</v>
      </c>
      <c r="AA730" s="109" t="s">
        <v>48</v>
      </c>
      <c r="AB730" s="109" t="s">
        <v>48</v>
      </c>
      <c r="AC730" s="109" t="s">
        <v>48</v>
      </c>
      <c r="AD730" s="166" t="s">
        <v>48</v>
      </c>
      <c r="AE730" s="165" t="s">
        <v>48</v>
      </c>
      <c r="AF730" s="109" t="s">
        <v>48</v>
      </c>
      <c r="AG730" s="109" t="s">
        <v>48</v>
      </c>
      <c r="AH730" s="109" t="s">
        <v>48</v>
      </c>
      <c r="AI730" s="109" t="s">
        <v>48</v>
      </c>
      <c r="AJ730" s="109" t="s">
        <v>48</v>
      </c>
      <c r="AK730" s="166" t="s">
        <v>48</v>
      </c>
      <c r="AL730" s="165" t="s">
        <v>1753</v>
      </c>
      <c r="AM730" s="109" t="s">
        <v>1753</v>
      </c>
      <c r="AN730" s="109" t="s">
        <v>48</v>
      </c>
      <c r="AO730" s="109" t="s">
        <v>48</v>
      </c>
      <c r="AP730" s="109" t="s">
        <v>48</v>
      </c>
      <c r="AQ730" s="109" t="s">
        <v>48</v>
      </c>
      <c r="AR730" s="109" t="s">
        <v>48</v>
      </c>
      <c r="AS730" s="166" t="s">
        <v>48</v>
      </c>
      <c r="AT730" s="165" t="s">
        <v>48</v>
      </c>
      <c r="AU730" s="109" t="s">
        <v>48</v>
      </c>
      <c r="AV730" s="109" t="s">
        <v>48</v>
      </c>
      <c r="AW730" s="109" t="s">
        <v>48</v>
      </c>
      <c r="AX730" s="109" t="s">
        <v>48</v>
      </c>
      <c r="AY730" s="109" t="s">
        <v>48</v>
      </c>
      <c r="AZ730" s="166" t="s">
        <v>48</v>
      </c>
      <c r="BA730" s="162" t="s">
        <v>48</v>
      </c>
      <c r="BB730" s="109" t="s">
        <v>49</v>
      </c>
      <c r="BC730" s="109"/>
    </row>
    <row r="731" spans="1:55" ht="75" hidden="1" customHeight="1">
      <c r="A731" s="109" t="s">
        <v>40</v>
      </c>
      <c r="B731" s="117" t="s">
        <v>2467</v>
      </c>
      <c r="C731" s="109" t="s">
        <v>1395</v>
      </c>
      <c r="D731" s="109" t="s">
        <v>1758</v>
      </c>
      <c r="E731" s="161">
        <v>30000</v>
      </c>
      <c r="F731" s="165" t="s">
        <v>1753</v>
      </c>
      <c r="G731" s="109" t="s">
        <v>1753</v>
      </c>
      <c r="H731" s="109" t="s">
        <v>1972</v>
      </c>
      <c r="I731" s="109" t="s">
        <v>2039</v>
      </c>
      <c r="J731" s="109" t="s">
        <v>1708</v>
      </c>
      <c r="K731" s="109" t="s">
        <v>1708</v>
      </c>
      <c r="L731" s="109" t="s">
        <v>2008</v>
      </c>
      <c r="M731" s="166" t="s">
        <v>1687</v>
      </c>
      <c r="N731" s="162" t="s">
        <v>48</v>
      </c>
      <c r="O731" s="109" t="s">
        <v>48</v>
      </c>
      <c r="P731" s="162" t="s">
        <v>48</v>
      </c>
      <c r="Q731" s="109" t="s">
        <v>48</v>
      </c>
      <c r="R731" s="109" t="s">
        <v>48</v>
      </c>
      <c r="S731" s="109" t="s">
        <v>48</v>
      </c>
      <c r="T731" s="109" t="s">
        <v>48</v>
      </c>
      <c r="U731" s="109" t="s">
        <v>48</v>
      </c>
      <c r="V731" s="166" t="s">
        <v>48</v>
      </c>
      <c r="W731" s="165" t="s">
        <v>1758</v>
      </c>
      <c r="X731" s="109" t="s">
        <v>1758</v>
      </c>
      <c r="Y731" s="109" t="s">
        <v>48</v>
      </c>
      <c r="Z731" s="109" t="s">
        <v>48</v>
      </c>
      <c r="AA731" s="109" t="s">
        <v>48</v>
      </c>
      <c r="AB731" s="109" t="s">
        <v>48</v>
      </c>
      <c r="AC731" s="109" t="s">
        <v>48</v>
      </c>
      <c r="AD731" s="166" t="s">
        <v>48</v>
      </c>
      <c r="AE731" s="174" t="s">
        <v>48</v>
      </c>
      <c r="AF731" s="117" t="s">
        <v>48</v>
      </c>
      <c r="AG731" s="117" t="s">
        <v>48</v>
      </c>
      <c r="AH731" s="109" t="s">
        <v>48</v>
      </c>
      <c r="AI731" s="117" t="s">
        <v>48</v>
      </c>
      <c r="AJ731" s="117" t="s">
        <v>48</v>
      </c>
      <c r="AK731" s="182" t="s">
        <v>48</v>
      </c>
      <c r="AL731" s="165" t="s">
        <v>1758</v>
      </c>
      <c r="AM731" s="109" t="s">
        <v>1758</v>
      </c>
      <c r="AN731" s="109" t="s">
        <v>48</v>
      </c>
      <c r="AO731" s="109" t="s">
        <v>48</v>
      </c>
      <c r="AP731" s="109" t="s">
        <v>48</v>
      </c>
      <c r="AQ731" s="109" t="s">
        <v>48</v>
      </c>
      <c r="AR731" s="109" t="s">
        <v>48</v>
      </c>
      <c r="AS731" s="166" t="s">
        <v>48</v>
      </c>
      <c r="AT731" s="165" t="s">
        <v>48</v>
      </c>
      <c r="AU731" s="109" t="s">
        <v>48</v>
      </c>
      <c r="AV731" s="109" t="s">
        <v>48</v>
      </c>
      <c r="AW731" s="109" t="s">
        <v>48</v>
      </c>
      <c r="AX731" s="109" t="s">
        <v>48</v>
      </c>
      <c r="AY731" s="109" t="s">
        <v>48</v>
      </c>
      <c r="AZ731" s="166" t="s">
        <v>48</v>
      </c>
      <c r="BA731" s="162" t="s">
        <v>1711</v>
      </c>
      <c r="BB731" s="109" t="s">
        <v>49</v>
      </c>
      <c r="BC731" s="109"/>
    </row>
    <row r="732" spans="1:55" ht="75" hidden="1" customHeight="1">
      <c r="A732" s="109" t="s">
        <v>40</v>
      </c>
      <c r="B732" s="117" t="s">
        <v>2467</v>
      </c>
      <c r="C732" s="109" t="s">
        <v>1001</v>
      </c>
      <c r="D732" s="109" t="s">
        <v>1757</v>
      </c>
      <c r="E732" s="161">
        <v>30000</v>
      </c>
      <c r="F732" s="165" t="s">
        <v>1753</v>
      </c>
      <c r="G732" s="109" t="s">
        <v>1753</v>
      </c>
      <c r="H732" s="109" t="s">
        <v>1972</v>
      </c>
      <c r="I732" s="109" t="s">
        <v>2039</v>
      </c>
      <c r="J732" s="109" t="s">
        <v>1708</v>
      </c>
      <c r="K732" s="109" t="s">
        <v>1708</v>
      </c>
      <c r="L732" s="109" t="s">
        <v>2008</v>
      </c>
      <c r="M732" s="166" t="s">
        <v>1687</v>
      </c>
      <c r="N732" s="162" t="s">
        <v>48</v>
      </c>
      <c r="O732" s="109" t="s">
        <v>48</v>
      </c>
      <c r="P732" s="162" t="s">
        <v>48</v>
      </c>
      <c r="Q732" s="109" t="s">
        <v>48</v>
      </c>
      <c r="R732" s="109" t="s">
        <v>48</v>
      </c>
      <c r="S732" s="109" t="s">
        <v>48</v>
      </c>
      <c r="T732" s="109" t="s">
        <v>48</v>
      </c>
      <c r="U732" s="109" t="s">
        <v>48</v>
      </c>
      <c r="V732" s="166" t="s">
        <v>48</v>
      </c>
      <c r="W732" s="165" t="s">
        <v>1757</v>
      </c>
      <c r="X732" s="109" t="s">
        <v>1757</v>
      </c>
      <c r="Y732" s="109" t="s">
        <v>48</v>
      </c>
      <c r="Z732" s="109" t="s">
        <v>48</v>
      </c>
      <c r="AA732" s="109" t="s">
        <v>48</v>
      </c>
      <c r="AB732" s="109" t="s">
        <v>48</v>
      </c>
      <c r="AC732" s="109" t="s">
        <v>48</v>
      </c>
      <c r="AD732" s="166" t="s">
        <v>48</v>
      </c>
      <c r="AE732" s="174" t="s">
        <v>48</v>
      </c>
      <c r="AF732" s="117" t="s">
        <v>48</v>
      </c>
      <c r="AG732" s="117" t="s">
        <v>48</v>
      </c>
      <c r="AH732" s="109" t="s">
        <v>48</v>
      </c>
      <c r="AI732" s="117" t="s">
        <v>48</v>
      </c>
      <c r="AJ732" s="117" t="s">
        <v>48</v>
      </c>
      <c r="AK732" s="182" t="s">
        <v>48</v>
      </c>
      <c r="AL732" s="165" t="s">
        <v>1757</v>
      </c>
      <c r="AM732" s="109" t="s">
        <v>1757</v>
      </c>
      <c r="AN732" s="109" t="s">
        <v>48</v>
      </c>
      <c r="AO732" s="109" t="s">
        <v>48</v>
      </c>
      <c r="AP732" s="109" t="s">
        <v>48</v>
      </c>
      <c r="AQ732" s="109" t="s">
        <v>48</v>
      </c>
      <c r="AR732" s="109" t="s">
        <v>48</v>
      </c>
      <c r="AS732" s="166" t="s">
        <v>48</v>
      </c>
      <c r="AT732" s="165" t="s">
        <v>48</v>
      </c>
      <c r="AU732" s="109" t="s">
        <v>48</v>
      </c>
      <c r="AV732" s="109" t="s">
        <v>48</v>
      </c>
      <c r="AW732" s="109" t="s">
        <v>48</v>
      </c>
      <c r="AX732" s="109" t="s">
        <v>48</v>
      </c>
      <c r="AY732" s="109" t="s">
        <v>48</v>
      </c>
      <c r="AZ732" s="166" t="s">
        <v>48</v>
      </c>
      <c r="BA732" s="162" t="s">
        <v>1711</v>
      </c>
      <c r="BB732" s="109" t="s">
        <v>49</v>
      </c>
      <c r="BC732" s="109"/>
    </row>
    <row r="733" spans="1:55" ht="75.75" hidden="1" customHeight="1">
      <c r="A733" s="109" t="s">
        <v>40</v>
      </c>
      <c r="B733" s="117" t="s">
        <v>2467</v>
      </c>
      <c r="C733" s="109" t="s">
        <v>943</v>
      </c>
      <c r="D733" s="109" t="s">
        <v>1755</v>
      </c>
      <c r="E733" s="161">
        <v>30000</v>
      </c>
      <c r="F733" s="165" t="s">
        <v>1753</v>
      </c>
      <c r="G733" s="109" t="s">
        <v>1753</v>
      </c>
      <c r="H733" s="109" t="s">
        <v>1972</v>
      </c>
      <c r="I733" s="109" t="s">
        <v>2039</v>
      </c>
      <c r="J733" s="109" t="s">
        <v>1708</v>
      </c>
      <c r="K733" s="109" t="s">
        <v>1708</v>
      </c>
      <c r="L733" s="109" t="s">
        <v>2008</v>
      </c>
      <c r="M733" s="166" t="s">
        <v>1687</v>
      </c>
      <c r="N733" s="162" t="s">
        <v>48</v>
      </c>
      <c r="O733" s="109" t="s">
        <v>48</v>
      </c>
      <c r="P733" s="162" t="s">
        <v>48</v>
      </c>
      <c r="Q733" s="109" t="s">
        <v>48</v>
      </c>
      <c r="R733" s="109" t="s">
        <v>48</v>
      </c>
      <c r="S733" s="109" t="s">
        <v>48</v>
      </c>
      <c r="T733" s="109" t="s">
        <v>48</v>
      </c>
      <c r="U733" s="109" t="s">
        <v>48</v>
      </c>
      <c r="V733" s="166" t="s">
        <v>48</v>
      </c>
      <c r="W733" s="165" t="s">
        <v>1755</v>
      </c>
      <c r="X733" s="109" t="s">
        <v>1755</v>
      </c>
      <c r="Y733" s="109" t="s">
        <v>48</v>
      </c>
      <c r="Z733" s="109" t="s">
        <v>48</v>
      </c>
      <c r="AA733" s="109" t="s">
        <v>48</v>
      </c>
      <c r="AB733" s="109" t="s">
        <v>48</v>
      </c>
      <c r="AC733" s="109" t="s">
        <v>48</v>
      </c>
      <c r="AD733" s="166" t="s">
        <v>48</v>
      </c>
      <c r="AE733" s="174" t="s">
        <v>48</v>
      </c>
      <c r="AF733" s="117" t="s">
        <v>48</v>
      </c>
      <c r="AG733" s="117" t="s">
        <v>48</v>
      </c>
      <c r="AH733" s="109" t="s">
        <v>48</v>
      </c>
      <c r="AI733" s="117" t="s">
        <v>48</v>
      </c>
      <c r="AJ733" s="117" t="s">
        <v>48</v>
      </c>
      <c r="AK733" s="182" t="s">
        <v>48</v>
      </c>
      <c r="AL733" s="165" t="s">
        <v>1755</v>
      </c>
      <c r="AM733" s="109" t="s">
        <v>1755</v>
      </c>
      <c r="AN733" s="109" t="s">
        <v>48</v>
      </c>
      <c r="AO733" s="109" t="s">
        <v>48</v>
      </c>
      <c r="AP733" s="109" t="s">
        <v>48</v>
      </c>
      <c r="AQ733" s="109" t="s">
        <v>48</v>
      </c>
      <c r="AR733" s="109" t="s">
        <v>48</v>
      </c>
      <c r="AS733" s="166" t="s">
        <v>48</v>
      </c>
      <c r="AT733" s="165" t="s">
        <v>48</v>
      </c>
      <c r="AU733" s="109" t="s">
        <v>48</v>
      </c>
      <c r="AV733" s="109" t="s">
        <v>48</v>
      </c>
      <c r="AW733" s="109" t="s">
        <v>48</v>
      </c>
      <c r="AX733" s="109" t="s">
        <v>48</v>
      </c>
      <c r="AY733" s="109" t="s">
        <v>48</v>
      </c>
      <c r="AZ733" s="166" t="s">
        <v>48</v>
      </c>
      <c r="BA733" s="162" t="s">
        <v>1711</v>
      </c>
      <c r="BB733" s="109" t="s">
        <v>49</v>
      </c>
      <c r="BC733" s="109"/>
    </row>
    <row r="734" spans="1:55" ht="75" hidden="1" customHeight="1">
      <c r="A734" s="109" t="s">
        <v>40</v>
      </c>
      <c r="B734" s="117" t="s">
        <v>2467</v>
      </c>
      <c r="C734" s="109" t="s">
        <v>866</v>
      </c>
      <c r="D734" s="109" t="s">
        <v>1754</v>
      </c>
      <c r="E734" s="161">
        <v>30000</v>
      </c>
      <c r="F734" s="165" t="s">
        <v>1753</v>
      </c>
      <c r="G734" s="109" t="s">
        <v>1753</v>
      </c>
      <c r="H734" s="109" t="s">
        <v>1972</v>
      </c>
      <c r="I734" s="109" t="s">
        <v>2039</v>
      </c>
      <c r="J734" s="109" t="s">
        <v>1708</v>
      </c>
      <c r="K734" s="109" t="s">
        <v>1708</v>
      </c>
      <c r="L734" s="109" t="s">
        <v>2008</v>
      </c>
      <c r="M734" s="166" t="s">
        <v>1687</v>
      </c>
      <c r="N734" s="162" t="s">
        <v>48</v>
      </c>
      <c r="O734" s="109" t="s">
        <v>48</v>
      </c>
      <c r="P734" s="162" t="s">
        <v>48</v>
      </c>
      <c r="Q734" s="109" t="s">
        <v>48</v>
      </c>
      <c r="R734" s="109" t="s">
        <v>48</v>
      </c>
      <c r="S734" s="109" t="s">
        <v>48</v>
      </c>
      <c r="T734" s="109" t="s">
        <v>48</v>
      </c>
      <c r="U734" s="109" t="s">
        <v>48</v>
      </c>
      <c r="V734" s="166" t="s">
        <v>48</v>
      </c>
      <c r="W734" s="165" t="s">
        <v>1754</v>
      </c>
      <c r="X734" s="109" t="s">
        <v>1754</v>
      </c>
      <c r="Y734" s="109" t="s">
        <v>48</v>
      </c>
      <c r="Z734" s="109" t="s">
        <v>48</v>
      </c>
      <c r="AA734" s="109" t="s">
        <v>48</v>
      </c>
      <c r="AB734" s="109" t="s">
        <v>48</v>
      </c>
      <c r="AC734" s="109" t="s">
        <v>48</v>
      </c>
      <c r="AD734" s="166" t="s">
        <v>48</v>
      </c>
      <c r="AE734" s="174" t="s">
        <v>48</v>
      </c>
      <c r="AF734" s="117" t="s">
        <v>48</v>
      </c>
      <c r="AG734" s="117" t="s">
        <v>48</v>
      </c>
      <c r="AH734" s="109" t="s">
        <v>48</v>
      </c>
      <c r="AI734" s="117" t="s">
        <v>48</v>
      </c>
      <c r="AJ734" s="117" t="s">
        <v>48</v>
      </c>
      <c r="AK734" s="182" t="s">
        <v>48</v>
      </c>
      <c r="AL734" s="165" t="s">
        <v>1754</v>
      </c>
      <c r="AM734" s="109" t="s">
        <v>1754</v>
      </c>
      <c r="AN734" s="109" t="s">
        <v>48</v>
      </c>
      <c r="AO734" s="109" t="s">
        <v>48</v>
      </c>
      <c r="AP734" s="109" t="s">
        <v>48</v>
      </c>
      <c r="AQ734" s="109" t="s">
        <v>48</v>
      </c>
      <c r="AR734" s="109" t="s">
        <v>48</v>
      </c>
      <c r="AS734" s="166" t="s">
        <v>48</v>
      </c>
      <c r="AT734" s="165" t="s">
        <v>48</v>
      </c>
      <c r="AU734" s="109" t="s">
        <v>48</v>
      </c>
      <c r="AV734" s="109" t="s">
        <v>48</v>
      </c>
      <c r="AW734" s="109" t="s">
        <v>48</v>
      </c>
      <c r="AX734" s="109" t="s">
        <v>48</v>
      </c>
      <c r="AY734" s="109" t="s">
        <v>48</v>
      </c>
      <c r="AZ734" s="166" t="s">
        <v>48</v>
      </c>
      <c r="BA734" s="162" t="s">
        <v>1711</v>
      </c>
      <c r="BB734" s="109" t="s">
        <v>49</v>
      </c>
      <c r="BC734" s="109"/>
    </row>
    <row r="735" spans="1:55" ht="75" hidden="1" customHeight="1">
      <c r="A735" s="109" t="s">
        <v>40</v>
      </c>
      <c r="B735" s="117" t="s">
        <v>2467</v>
      </c>
      <c r="C735" s="109" t="s">
        <v>968</v>
      </c>
      <c r="D735" s="109" t="s">
        <v>1756</v>
      </c>
      <c r="E735" s="161">
        <v>30000</v>
      </c>
      <c r="F735" s="165" t="s">
        <v>1753</v>
      </c>
      <c r="G735" s="109" t="s">
        <v>1753</v>
      </c>
      <c r="H735" s="109" t="s">
        <v>1972</v>
      </c>
      <c r="I735" s="109" t="s">
        <v>2039</v>
      </c>
      <c r="J735" s="109" t="s">
        <v>1708</v>
      </c>
      <c r="K735" s="109" t="s">
        <v>1708</v>
      </c>
      <c r="L735" s="109" t="s">
        <v>2008</v>
      </c>
      <c r="M735" s="166" t="s">
        <v>1687</v>
      </c>
      <c r="N735" s="162" t="s">
        <v>48</v>
      </c>
      <c r="O735" s="109" t="s">
        <v>48</v>
      </c>
      <c r="P735" s="162" t="s">
        <v>48</v>
      </c>
      <c r="Q735" s="109" t="s">
        <v>48</v>
      </c>
      <c r="R735" s="109" t="s">
        <v>48</v>
      </c>
      <c r="S735" s="109" t="s">
        <v>48</v>
      </c>
      <c r="T735" s="109" t="s">
        <v>48</v>
      </c>
      <c r="U735" s="109" t="s">
        <v>48</v>
      </c>
      <c r="V735" s="166" t="s">
        <v>48</v>
      </c>
      <c r="W735" s="165" t="s">
        <v>1756</v>
      </c>
      <c r="X735" s="109" t="s">
        <v>1756</v>
      </c>
      <c r="Y735" s="109" t="s">
        <v>48</v>
      </c>
      <c r="Z735" s="109" t="s">
        <v>48</v>
      </c>
      <c r="AA735" s="109" t="s">
        <v>48</v>
      </c>
      <c r="AB735" s="109" t="s">
        <v>48</v>
      </c>
      <c r="AC735" s="109" t="s">
        <v>48</v>
      </c>
      <c r="AD735" s="166" t="s">
        <v>48</v>
      </c>
      <c r="AE735" s="174" t="s">
        <v>48</v>
      </c>
      <c r="AF735" s="117" t="s">
        <v>48</v>
      </c>
      <c r="AG735" s="117" t="s">
        <v>48</v>
      </c>
      <c r="AH735" s="109" t="s">
        <v>48</v>
      </c>
      <c r="AI735" s="117" t="s">
        <v>48</v>
      </c>
      <c r="AJ735" s="117" t="s">
        <v>48</v>
      </c>
      <c r="AK735" s="182" t="s">
        <v>48</v>
      </c>
      <c r="AL735" s="165" t="s">
        <v>1756</v>
      </c>
      <c r="AM735" s="109" t="s">
        <v>1756</v>
      </c>
      <c r="AN735" s="109" t="s">
        <v>48</v>
      </c>
      <c r="AO735" s="109" t="s">
        <v>48</v>
      </c>
      <c r="AP735" s="109" t="s">
        <v>48</v>
      </c>
      <c r="AQ735" s="109" t="s">
        <v>48</v>
      </c>
      <c r="AR735" s="109" t="s">
        <v>48</v>
      </c>
      <c r="AS735" s="166" t="s">
        <v>48</v>
      </c>
      <c r="AT735" s="165" t="s">
        <v>48</v>
      </c>
      <c r="AU735" s="109" t="s">
        <v>48</v>
      </c>
      <c r="AV735" s="109" t="s">
        <v>48</v>
      </c>
      <c r="AW735" s="109" t="s">
        <v>48</v>
      </c>
      <c r="AX735" s="109" t="s">
        <v>48</v>
      </c>
      <c r="AY735" s="109" t="s">
        <v>48</v>
      </c>
      <c r="AZ735" s="166" t="s">
        <v>48</v>
      </c>
      <c r="BA735" s="162" t="s">
        <v>1711</v>
      </c>
      <c r="BB735" s="109" t="s">
        <v>49</v>
      </c>
      <c r="BC735" s="109"/>
    </row>
    <row r="736" spans="1:55" ht="75" hidden="1" customHeight="1">
      <c r="A736" s="109" t="s">
        <v>40</v>
      </c>
      <c r="B736" s="117" t="s">
        <v>2467</v>
      </c>
      <c r="C736" s="109" t="s">
        <v>1712</v>
      </c>
      <c r="D736" s="109" t="s">
        <v>1753</v>
      </c>
      <c r="E736" s="161">
        <v>30000</v>
      </c>
      <c r="F736" s="165" t="s">
        <v>1753</v>
      </c>
      <c r="G736" s="109" t="s">
        <v>1753</v>
      </c>
      <c r="H736" s="109" t="s">
        <v>48</v>
      </c>
      <c r="I736" s="109" t="s">
        <v>48</v>
      </c>
      <c r="J736" s="109" t="s">
        <v>48</v>
      </c>
      <c r="K736" s="109" t="s">
        <v>48</v>
      </c>
      <c r="L736" s="109" t="s">
        <v>48</v>
      </c>
      <c r="M736" s="109" t="s">
        <v>48</v>
      </c>
      <c r="N736" s="162" t="s">
        <v>48</v>
      </c>
      <c r="O736" s="109" t="s">
        <v>48</v>
      </c>
      <c r="P736" s="162" t="s">
        <v>48</v>
      </c>
      <c r="Q736" s="109" t="s">
        <v>48</v>
      </c>
      <c r="R736" s="109" t="s">
        <v>48</v>
      </c>
      <c r="S736" s="109" t="s">
        <v>48</v>
      </c>
      <c r="T736" s="109" t="s">
        <v>48</v>
      </c>
      <c r="U736" s="109" t="s">
        <v>48</v>
      </c>
      <c r="V736" s="166" t="s">
        <v>48</v>
      </c>
      <c r="W736" s="165" t="s">
        <v>1753</v>
      </c>
      <c r="X736" s="109" t="s">
        <v>1753</v>
      </c>
      <c r="Y736" s="109" t="s">
        <v>48</v>
      </c>
      <c r="Z736" s="109" t="s">
        <v>48</v>
      </c>
      <c r="AA736" s="109" t="s">
        <v>48</v>
      </c>
      <c r="AB736" s="109" t="s">
        <v>48</v>
      </c>
      <c r="AC736" s="109" t="s">
        <v>48</v>
      </c>
      <c r="AD736" s="166" t="s">
        <v>48</v>
      </c>
      <c r="AE736" s="165" t="s">
        <v>48</v>
      </c>
      <c r="AF736" s="109" t="s">
        <v>48</v>
      </c>
      <c r="AG736" s="109" t="s">
        <v>48</v>
      </c>
      <c r="AH736" s="109" t="s">
        <v>48</v>
      </c>
      <c r="AI736" s="109" t="s">
        <v>48</v>
      </c>
      <c r="AJ736" s="109" t="s">
        <v>48</v>
      </c>
      <c r="AK736" s="166" t="s">
        <v>48</v>
      </c>
      <c r="AL736" s="165" t="s">
        <v>1753</v>
      </c>
      <c r="AM736" s="109" t="s">
        <v>1753</v>
      </c>
      <c r="AN736" s="109" t="s">
        <v>48</v>
      </c>
      <c r="AO736" s="109" t="s">
        <v>48</v>
      </c>
      <c r="AP736" s="109" t="s">
        <v>48</v>
      </c>
      <c r="AQ736" s="109" t="s">
        <v>48</v>
      </c>
      <c r="AR736" s="109" t="s">
        <v>48</v>
      </c>
      <c r="AS736" s="166" t="s">
        <v>48</v>
      </c>
      <c r="AT736" s="165" t="s">
        <v>48</v>
      </c>
      <c r="AU736" s="109" t="s">
        <v>48</v>
      </c>
      <c r="AV736" s="109" t="s">
        <v>48</v>
      </c>
      <c r="AW736" s="109" t="s">
        <v>48</v>
      </c>
      <c r="AX736" s="109" t="s">
        <v>48</v>
      </c>
      <c r="AY736" s="109" t="s">
        <v>48</v>
      </c>
      <c r="AZ736" s="166" t="s">
        <v>48</v>
      </c>
      <c r="BA736" s="162" t="s">
        <v>48</v>
      </c>
      <c r="BB736" s="109" t="s">
        <v>49</v>
      </c>
      <c r="BC736" s="109"/>
    </row>
    <row r="737" spans="1:55" ht="75" hidden="1" customHeight="1">
      <c r="A737" s="109" t="s">
        <v>40</v>
      </c>
      <c r="B737" s="117" t="s">
        <v>2565</v>
      </c>
      <c r="C737" s="109" t="s">
        <v>1395</v>
      </c>
      <c r="D737" s="109" t="s">
        <v>2600</v>
      </c>
      <c r="E737" s="161">
        <v>30000</v>
      </c>
      <c r="F737" s="165" t="s">
        <v>1753</v>
      </c>
      <c r="G737" s="109" t="s">
        <v>1753</v>
      </c>
      <c r="H737" s="109" t="s">
        <v>1972</v>
      </c>
      <c r="I737" s="109" t="s">
        <v>2039</v>
      </c>
      <c r="J737" s="109" t="s">
        <v>1708</v>
      </c>
      <c r="K737" s="109" t="s">
        <v>1708</v>
      </c>
      <c r="L737" s="109" t="s">
        <v>2008</v>
      </c>
      <c r="M737" s="166" t="s">
        <v>1687</v>
      </c>
      <c r="N737" s="162" t="s">
        <v>48</v>
      </c>
      <c r="O737" s="109" t="s">
        <v>48</v>
      </c>
      <c r="P737" s="162" t="s">
        <v>48</v>
      </c>
      <c r="Q737" s="109" t="s">
        <v>48</v>
      </c>
      <c r="R737" s="109" t="s">
        <v>48</v>
      </c>
      <c r="S737" s="109" t="s">
        <v>48</v>
      </c>
      <c r="T737" s="109" t="s">
        <v>48</v>
      </c>
      <c r="U737" s="109" t="s">
        <v>48</v>
      </c>
      <c r="V737" s="166" t="s">
        <v>48</v>
      </c>
      <c r="W737" s="165" t="s">
        <v>1758</v>
      </c>
      <c r="X737" s="109" t="s">
        <v>1758</v>
      </c>
      <c r="Y737" s="109" t="s">
        <v>48</v>
      </c>
      <c r="Z737" s="109" t="s">
        <v>48</v>
      </c>
      <c r="AA737" s="109" t="s">
        <v>48</v>
      </c>
      <c r="AB737" s="109" t="s">
        <v>48</v>
      </c>
      <c r="AC737" s="109" t="s">
        <v>48</v>
      </c>
      <c r="AD737" s="166" t="s">
        <v>48</v>
      </c>
      <c r="AE737" s="174" t="s">
        <v>48</v>
      </c>
      <c r="AF737" s="117" t="s">
        <v>48</v>
      </c>
      <c r="AG737" s="117" t="s">
        <v>48</v>
      </c>
      <c r="AH737" s="109" t="s">
        <v>48</v>
      </c>
      <c r="AI737" s="117" t="s">
        <v>48</v>
      </c>
      <c r="AJ737" s="117" t="s">
        <v>48</v>
      </c>
      <c r="AK737" s="182" t="s">
        <v>48</v>
      </c>
      <c r="AL737" s="165" t="s">
        <v>1758</v>
      </c>
      <c r="AM737" s="109" t="s">
        <v>1758</v>
      </c>
      <c r="AN737" s="109" t="s">
        <v>48</v>
      </c>
      <c r="AO737" s="109" t="s">
        <v>48</v>
      </c>
      <c r="AP737" s="109" t="s">
        <v>48</v>
      </c>
      <c r="AQ737" s="109" t="s">
        <v>48</v>
      </c>
      <c r="AR737" s="109" t="s">
        <v>48</v>
      </c>
      <c r="AS737" s="166" t="s">
        <v>48</v>
      </c>
      <c r="AT737" s="165" t="s">
        <v>48</v>
      </c>
      <c r="AU737" s="109" t="s">
        <v>48</v>
      </c>
      <c r="AV737" s="109" t="s">
        <v>48</v>
      </c>
      <c r="AW737" s="109" t="s">
        <v>48</v>
      </c>
      <c r="AX737" s="109" t="s">
        <v>48</v>
      </c>
      <c r="AY737" s="109" t="s">
        <v>48</v>
      </c>
      <c r="AZ737" s="166" t="s">
        <v>48</v>
      </c>
      <c r="BA737" s="162" t="s">
        <v>1711</v>
      </c>
      <c r="BB737" s="109" t="s">
        <v>49</v>
      </c>
      <c r="BC737" s="109"/>
    </row>
    <row r="738" spans="1:55" ht="75" hidden="1" customHeight="1">
      <c r="A738" s="109" t="s">
        <v>40</v>
      </c>
      <c r="B738" s="117" t="s">
        <v>2565</v>
      </c>
      <c r="C738" s="109" t="s">
        <v>1001</v>
      </c>
      <c r="D738" s="109" t="s">
        <v>1757</v>
      </c>
      <c r="E738" s="161">
        <v>30000</v>
      </c>
      <c r="F738" s="165" t="s">
        <v>1753</v>
      </c>
      <c r="G738" s="109" t="s">
        <v>1753</v>
      </c>
      <c r="H738" s="109" t="s">
        <v>1972</v>
      </c>
      <c r="I738" s="109" t="s">
        <v>2039</v>
      </c>
      <c r="J738" s="109" t="s">
        <v>1708</v>
      </c>
      <c r="K738" s="109" t="s">
        <v>1708</v>
      </c>
      <c r="L738" s="109" t="s">
        <v>2008</v>
      </c>
      <c r="M738" s="166" t="s">
        <v>1687</v>
      </c>
      <c r="N738" s="162" t="s">
        <v>48</v>
      </c>
      <c r="O738" s="109" t="s">
        <v>48</v>
      </c>
      <c r="P738" s="162" t="s">
        <v>48</v>
      </c>
      <c r="Q738" s="109" t="s">
        <v>48</v>
      </c>
      <c r="R738" s="109" t="s">
        <v>48</v>
      </c>
      <c r="S738" s="109" t="s">
        <v>48</v>
      </c>
      <c r="T738" s="109" t="s">
        <v>48</v>
      </c>
      <c r="U738" s="109" t="s">
        <v>48</v>
      </c>
      <c r="V738" s="166" t="s">
        <v>48</v>
      </c>
      <c r="W738" s="165" t="s">
        <v>1757</v>
      </c>
      <c r="X738" s="109" t="s">
        <v>1757</v>
      </c>
      <c r="Y738" s="109" t="s">
        <v>48</v>
      </c>
      <c r="Z738" s="109" t="s">
        <v>48</v>
      </c>
      <c r="AA738" s="109" t="s">
        <v>48</v>
      </c>
      <c r="AB738" s="109" t="s">
        <v>48</v>
      </c>
      <c r="AC738" s="109" t="s">
        <v>48</v>
      </c>
      <c r="AD738" s="166" t="s">
        <v>48</v>
      </c>
      <c r="AE738" s="174" t="s">
        <v>48</v>
      </c>
      <c r="AF738" s="117" t="s">
        <v>48</v>
      </c>
      <c r="AG738" s="117" t="s">
        <v>48</v>
      </c>
      <c r="AH738" s="109" t="s">
        <v>48</v>
      </c>
      <c r="AI738" s="117" t="s">
        <v>48</v>
      </c>
      <c r="AJ738" s="117" t="s">
        <v>48</v>
      </c>
      <c r="AK738" s="182" t="s">
        <v>48</v>
      </c>
      <c r="AL738" s="165" t="s">
        <v>1757</v>
      </c>
      <c r="AM738" s="109" t="s">
        <v>1757</v>
      </c>
      <c r="AN738" s="109" t="s">
        <v>48</v>
      </c>
      <c r="AO738" s="109" t="s">
        <v>48</v>
      </c>
      <c r="AP738" s="109" t="s">
        <v>48</v>
      </c>
      <c r="AQ738" s="109" t="s">
        <v>48</v>
      </c>
      <c r="AR738" s="109" t="s">
        <v>48</v>
      </c>
      <c r="AS738" s="166" t="s">
        <v>48</v>
      </c>
      <c r="AT738" s="165" t="s">
        <v>48</v>
      </c>
      <c r="AU738" s="109" t="s">
        <v>48</v>
      </c>
      <c r="AV738" s="109" t="s">
        <v>48</v>
      </c>
      <c r="AW738" s="109" t="s">
        <v>48</v>
      </c>
      <c r="AX738" s="109" t="s">
        <v>48</v>
      </c>
      <c r="AY738" s="109" t="s">
        <v>48</v>
      </c>
      <c r="AZ738" s="166" t="s">
        <v>48</v>
      </c>
      <c r="BA738" s="162" t="s">
        <v>1711</v>
      </c>
      <c r="BB738" s="109" t="s">
        <v>49</v>
      </c>
      <c r="BC738" s="109"/>
    </row>
    <row r="739" spans="1:55" ht="75.75" hidden="1" customHeight="1">
      <c r="A739" s="109" t="s">
        <v>40</v>
      </c>
      <c r="B739" s="117" t="s">
        <v>2565</v>
      </c>
      <c r="C739" s="109" t="s">
        <v>943</v>
      </c>
      <c r="D739" s="109" t="s">
        <v>1755</v>
      </c>
      <c r="E739" s="161">
        <v>30000</v>
      </c>
      <c r="F739" s="165" t="s">
        <v>1753</v>
      </c>
      <c r="G739" s="109" t="s">
        <v>1753</v>
      </c>
      <c r="H739" s="109" t="s">
        <v>1972</v>
      </c>
      <c r="I739" s="109" t="s">
        <v>2039</v>
      </c>
      <c r="J739" s="109" t="s">
        <v>1708</v>
      </c>
      <c r="K739" s="109" t="s">
        <v>1708</v>
      </c>
      <c r="L739" s="109" t="s">
        <v>2008</v>
      </c>
      <c r="M739" s="166" t="s">
        <v>1687</v>
      </c>
      <c r="N739" s="162" t="s">
        <v>48</v>
      </c>
      <c r="O739" s="109" t="s">
        <v>48</v>
      </c>
      <c r="P739" s="162" t="s">
        <v>48</v>
      </c>
      <c r="Q739" s="109" t="s">
        <v>48</v>
      </c>
      <c r="R739" s="109" t="s">
        <v>48</v>
      </c>
      <c r="S739" s="109" t="s">
        <v>48</v>
      </c>
      <c r="T739" s="109" t="s">
        <v>48</v>
      </c>
      <c r="U739" s="109" t="s">
        <v>48</v>
      </c>
      <c r="V739" s="166" t="s">
        <v>48</v>
      </c>
      <c r="W739" s="165" t="s">
        <v>1755</v>
      </c>
      <c r="X739" s="109" t="s">
        <v>1755</v>
      </c>
      <c r="Y739" s="109" t="s">
        <v>48</v>
      </c>
      <c r="Z739" s="109" t="s">
        <v>48</v>
      </c>
      <c r="AA739" s="109" t="s">
        <v>48</v>
      </c>
      <c r="AB739" s="109" t="s">
        <v>48</v>
      </c>
      <c r="AC739" s="109" t="s">
        <v>48</v>
      </c>
      <c r="AD739" s="166" t="s">
        <v>48</v>
      </c>
      <c r="AE739" s="174" t="s">
        <v>48</v>
      </c>
      <c r="AF739" s="117" t="s">
        <v>48</v>
      </c>
      <c r="AG739" s="117" t="s">
        <v>48</v>
      </c>
      <c r="AH739" s="109" t="s">
        <v>48</v>
      </c>
      <c r="AI739" s="117" t="s">
        <v>48</v>
      </c>
      <c r="AJ739" s="117" t="s">
        <v>48</v>
      </c>
      <c r="AK739" s="182" t="s">
        <v>48</v>
      </c>
      <c r="AL739" s="165" t="s">
        <v>1755</v>
      </c>
      <c r="AM739" s="109" t="s">
        <v>1755</v>
      </c>
      <c r="AN739" s="109" t="s">
        <v>48</v>
      </c>
      <c r="AO739" s="109" t="s">
        <v>48</v>
      </c>
      <c r="AP739" s="109" t="s">
        <v>48</v>
      </c>
      <c r="AQ739" s="109" t="s">
        <v>48</v>
      </c>
      <c r="AR739" s="109" t="s">
        <v>48</v>
      </c>
      <c r="AS739" s="166" t="s">
        <v>48</v>
      </c>
      <c r="AT739" s="165" t="s">
        <v>48</v>
      </c>
      <c r="AU739" s="109" t="s">
        <v>48</v>
      </c>
      <c r="AV739" s="109" t="s">
        <v>48</v>
      </c>
      <c r="AW739" s="109" t="s">
        <v>48</v>
      </c>
      <c r="AX739" s="109" t="s">
        <v>48</v>
      </c>
      <c r="AY739" s="109" t="s">
        <v>48</v>
      </c>
      <c r="AZ739" s="166" t="s">
        <v>48</v>
      </c>
      <c r="BA739" s="162" t="s">
        <v>1711</v>
      </c>
      <c r="BB739" s="109" t="s">
        <v>49</v>
      </c>
      <c r="BC739" s="109"/>
    </row>
    <row r="740" spans="1:55" ht="75" hidden="1" customHeight="1">
      <c r="A740" s="109" t="s">
        <v>40</v>
      </c>
      <c r="B740" s="117" t="s">
        <v>2565</v>
      </c>
      <c r="C740" s="109" t="s">
        <v>866</v>
      </c>
      <c r="D740" s="109" t="s">
        <v>1754</v>
      </c>
      <c r="E740" s="161">
        <v>30000</v>
      </c>
      <c r="F740" s="165" t="s">
        <v>1753</v>
      </c>
      <c r="G740" s="109" t="s">
        <v>1753</v>
      </c>
      <c r="H740" s="109" t="s">
        <v>1972</v>
      </c>
      <c r="I740" s="109" t="s">
        <v>2039</v>
      </c>
      <c r="J740" s="109" t="s">
        <v>1708</v>
      </c>
      <c r="K740" s="109" t="s">
        <v>1708</v>
      </c>
      <c r="L740" s="109" t="s">
        <v>2008</v>
      </c>
      <c r="M740" s="166" t="s">
        <v>1687</v>
      </c>
      <c r="N740" s="162" t="s">
        <v>48</v>
      </c>
      <c r="O740" s="109" t="s">
        <v>48</v>
      </c>
      <c r="P740" s="162" t="s">
        <v>48</v>
      </c>
      <c r="Q740" s="109" t="s">
        <v>48</v>
      </c>
      <c r="R740" s="109" t="s">
        <v>48</v>
      </c>
      <c r="S740" s="109" t="s">
        <v>48</v>
      </c>
      <c r="T740" s="109" t="s">
        <v>48</v>
      </c>
      <c r="U740" s="109" t="s">
        <v>48</v>
      </c>
      <c r="V740" s="166" t="s">
        <v>48</v>
      </c>
      <c r="W740" s="165" t="s">
        <v>1754</v>
      </c>
      <c r="X740" s="109" t="s">
        <v>1754</v>
      </c>
      <c r="Y740" s="109" t="s">
        <v>48</v>
      </c>
      <c r="Z740" s="109" t="s">
        <v>48</v>
      </c>
      <c r="AA740" s="109" t="s">
        <v>48</v>
      </c>
      <c r="AB740" s="109" t="s">
        <v>48</v>
      </c>
      <c r="AC740" s="109" t="s">
        <v>48</v>
      </c>
      <c r="AD740" s="166" t="s">
        <v>48</v>
      </c>
      <c r="AE740" s="174" t="s">
        <v>48</v>
      </c>
      <c r="AF740" s="117" t="s">
        <v>48</v>
      </c>
      <c r="AG740" s="117" t="s">
        <v>48</v>
      </c>
      <c r="AH740" s="109" t="s">
        <v>48</v>
      </c>
      <c r="AI740" s="117" t="s">
        <v>48</v>
      </c>
      <c r="AJ740" s="117" t="s">
        <v>48</v>
      </c>
      <c r="AK740" s="182" t="s">
        <v>48</v>
      </c>
      <c r="AL740" s="165" t="s">
        <v>1754</v>
      </c>
      <c r="AM740" s="109" t="s">
        <v>1754</v>
      </c>
      <c r="AN740" s="109" t="s">
        <v>48</v>
      </c>
      <c r="AO740" s="109" t="s">
        <v>48</v>
      </c>
      <c r="AP740" s="109" t="s">
        <v>48</v>
      </c>
      <c r="AQ740" s="109" t="s">
        <v>48</v>
      </c>
      <c r="AR740" s="109" t="s">
        <v>48</v>
      </c>
      <c r="AS740" s="166" t="s">
        <v>48</v>
      </c>
      <c r="AT740" s="165" t="s">
        <v>48</v>
      </c>
      <c r="AU740" s="109" t="s">
        <v>48</v>
      </c>
      <c r="AV740" s="109" t="s">
        <v>48</v>
      </c>
      <c r="AW740" s="109" t="s">
        <v>48</v>
      </c>
      <c r="AX740" s="109" t="s">
        <v>48</v>
      </c>
      <c r="AY740" s="109" t="s">
        <v>48</v>
      </c>
      <c r="AZ740" s="166" t="s">
        <v>48</v>
      </c>
      <c r="BA740" s="162" t="s">
        <v>1711</v>
      </c>
      <c r="BB740" s="109" t="s">
        <v>49</v>
      </c>
      <c r="BC740" s="109"/>
    </row>
    <row r="741" spans="1:55" ht="75" hidden="1" customHeight="1">
      <c r="A741" s="109" t="s">
        <v>2601</v>
      </c>
      <c r="B741" s="117" t="s">
        <v>2565</v>
      </c>
      <c r="C741" s="109" t="s">
        <v>968</v>
      </c>
      <c r="D741" s="109" t="s">
        <v>1756</v>
      </c>
      <c r="E741" s="161">
        <v>30000</v>
      </c>
      <c r="F741" s="165" t="s">
        <v>1753</v>
      </c>
      <c r="G741" s="109" t="s">
        <v>1753</v>
      </c>
      <c r="H741" s="109" t="s">
        <v>1972</v>
      </c>
      <c r="I741" s="109" t="s">
        <v>2039</v>
      </c>
      <c r="J741" s="109" t="s">
        <v>1708</v>
      </c>
      <c r="K741" s="109" t="s">
        <v>1708</v>
      </c>
      <c r="L741" s="109" t="s">
        <v>2008</v>
      </c>
      <c r="M741" s="166" t="s">
        <v>1687</v>
      </c>
      <c r="N741" s="162" t="s">
        <v>48</v>
      </c>
      <c r="O741" s="109" t="s">
        <v>48</v>
      </c>
      <c r="P741" s="162" t="s">
        <v>48</v>
      </c>
      <c r="Q741" s="109" t="s">
        <v>48</v>
      </c>
      <c r="R741" s="109" t="s">
        <v>48</v>
      </c>
      <c r="S741" s="109" t="s">
        <v>48</v>
      </c>
      <c r="T741" s="109" t="s">
        <v>48</v>
      </c>
      <c r="U741" s="109" t="s">
        <v>48</v>
      </c>
      <c r="V741" s="166" t="s">
        <v>48</v>
      </c>
      <c r="W741" s="165" t="s">
        <v>1756</v>
      </c>
      <c r="X741" s="109" t="s">
        <v>1756</v>
      </c>
      <c r="Y741" s="109" t="s">
        <v>48</v>
      </c>
      <c r="Z741" s="109" t="s">
        <v>48</v>
      </c>
      <c r="AA741" s="109" t="s">
        <v>48</v>
      </c>
      <c r="AB741" s="109" t="s">
        <v>48</v>
      </c>
      <c r="AC741" s="109" t="s">
        <v>48</v>
      </c>
      <c r="AD741" s="166" t="s">
        <v>48</v>
      </c>
      <c r="AE741" s="174" t="s">
        <v>48</v>
      </c>
      <c r="AF741" s="117" t="s">
        <v>48</v>
      </c>
      <c r="AG741" s="117" t="s">
        <v>48</v>
      </c>
      <c r="AH741" s="109" t="s">
        <v>48</v>
      </c>
      <c r="AI741" s="117" t="s">
        <v>48</v>
      </c>
      <c r="AJ741" s="117" t="s">
        <v>48</v>
      </c>
      <c r="AK741" s="182" t="s">
        <v>48</v>
      </c>
      <c r="AL741" s="165" t="s">
        <v>1756</v>
      </c>
      <c r="AM741" s="109" t="s">
        <v>1756</v>
      </c>
      <c r="AN741" s="109" t="s">
        <v>48</v>
      </c>
      <c r="AO741" s="109" t="s">
        <v>48</v>
      </c>
      <c r="AP741" s="109" t="s">
        <v>48</v>
      </c>
      <c r="AQ741" s="109" t="s">
        <v>48</v>
      </c>
      <c r="AR741" s="109" t="s">
        <v>48</v>
      </c>
      <c r="AS741" s="166" t="s">
        <v>48</v>
      </c>
      <c r="AT741" s="165" t="s">
        <v>48</v>
      </c>
      <c r="AU741" s="109" t="s">
        <v>48</v>
      </c>
      <c r="AV741" s="109" t="s">
        <v>48</v>
      </c>
      <c r="AW741" s="109" t="s">
        <v>48</v>
      </c>
      <c r="AX741" s="109" t="s">
        <v>48</v>
      </c>
      <c r="AY741" s="109" t="s">
        <v>48</v>
      </c>
      <c r="AZ741" s="166" t="s">
        <v>48</v>
      </c>
      <c r="BA741" s="162" t="s">
        <v>1711</v>
      </c>
      <c r="BB741" s="109" t="s">
        <v>49</v>
      </c>
      <c r="BC741" s="109"/>
    </row>
    <row r="742" spans="1:55" ht="75" hidden="1" customHeight="1">
      <c r="A742" s="109" t="s">
        <v>40</v>
      </c>
      <c r="B742" s="117" t="s">
        <v>2565</v>
      </c>
      <c r="C742" s="109" t="s">
        <v>1712</v>
      </c>
      <c r="D742" s="109" t="s">
        <v>1753</v>
      </c>
      <c r="E742" s="161">
        <v>30000</v>
      </c>
      <c r="F742" s="165" t="s">
        <v>1753</v>
      </c>
      <c r="G742" s="109" t="s">
        <v>1753</v>
      </c>
      <c r="H742" s="109" t="s">
        <v>48</v>
      </c>
      <c r="I742" s="109" t="s">
        <v>48</v>
      </c>
      <c r="J742" s="109" t="s">
        <v>48</v>
      </c>
      <c r="K742" s="109" t="s">
        <v>48</v>
      </c>
      <c r="L742" s="109" t="s">
        <v>48</v>
      </c>
      <c r="M742" s="166" t="s">
        <v>1687</v>
      </c>
      <c r="N742" s="162" t="s">
        <v>48</v>
      </c>
      <c r="O742" s="109" t="s">
        <v>48</v>
      </c>
      <c r="P742" s="162" t="s">
        <v>48</v>
      </c>
      <c r="Q742" s="109" t="s">
        <v>48</v>
      </c>
      <c r="R742" s="109" t="s">
        <v>48</v>
      </c>
      <c r="S742" s="109" t="s">
        <v>48</v>
      </c>
      <c r="T742" s="109" t="s">
        <v>48</v>
      </c>
      <c r="U742" s="109" t="s">
        <v>48</v>
      </c>
      <c r="V742" s="166" t="s">
        <v>48</v>
      </c>
      <c r="W742" s="165" t="s">
        <v>1753</v>
      </c>
      <c r="X742" s="109" t="s">
        <v>1753</v>
      </c>
      <c r="Y742" s="109" t="s">
        <v>48</v>
      </c>
      <c r="Z742" s="109" t="s">
        <v>48</v>
      </c>
      <c r="AA742" s="109" t="s">
        <v>48</v>
      </c>
      <c r="AB742" s="109" t="s">
        <v>48</v>
      </c>
      <c r="AC742" s="109" t="s">
        <v>48</v>
      </c>
      <c r="AD742" s="166" t="s">
        <v>48</v>
      </c>
      <c r="AE742" s="165" t="s">
        <v>48</v>
      </c>
      <c r="AF742" s="109" t="s">
        <v>48</v>
      </c>
      <c r="AG742" s="109" t="s">
        <v>48</v>
      </c>
      <c r="AH742" s="109" t="s">
        <v>48</v>
      </c>
      <c r="AI742" s="109" t="s">
        <v>48</v>
      </c>
      <c r="AJ742" s="109" t="s">
        <v>48</v>
      </c>
      <c r="AK742" s="166" t="s">
        <v>48</v>
      </c>
      <c r="AL742" s="165" t="s">
        <v>1753</v>
      </c>
      <c r="AM742" s="109" t="s">
        <v>1753</v>
      </c>
      <c r="AN742" s="109" t="s">
        <v>48</v>
      </c>
      <c r="AO742" s="109" t="s">
        <v>48</v>
      </c>
      <c r="AP742" s="109" t="s">
        <v>48</v>
      </c>
      <c r="AQ742" s="109" t="s">
        <v>48</v>
      </c>
      <c r="AR742" s="109" t="s">
        <v>48</v>
      </c>
      <c r="AS742" s="166" t="s">
        <v>48</v>
      </c>
      <c r="AT742" s="165" t="s">
        <v>48</v>
      </c>
      <c r="AU742" s="109" t="s">
        <v>48</v>
      </c>
      <c r="AV742" s="109" t="s">
        <v>48</v>
      </c>
      <c r="AW742" s="109" t="s">
        <v>48</v>
      </c>
      <c r="AX742" s="109" t="s">
        <v>48</v>
      </c>
      <c r="AY742" s="109" t="s">
        <v>48</v>
      </c>
      <c r="AZ742" s="166" t="s">
        <v>48</v>
      </c>
      <c r="BA742" s="162" t="s">
        <v>48</v>
      </c>
      <c r="BB742" s="109" t="s">
        <v>49</v>
      </c>
      <c r="BC742" s="109"/>
    </row>
    <row r="743" spans="1:55" ht="75" hidden="1" customHeight="1">
      <c r="A743" s="109" t="s">
        <v>40</v>
      </c>
      <c r="B743" s="117" t="s">
        <v>2520</v>
      </c>
      <c r="C743" s="109" t="s">
        <v>1395</v>
      </c>
      <c r="D743" s="109" t="s">
        <v>2600</v>
      </c>
      <c r="E743" s="161">
        <v>30000</v>
      </c>
      <c r="F743" s="165" t="s">
        <v>1753</v>
      </c>
      <c r="G743" s="109" t="s">
        <v>1753</v>
      </c>
      <c r="H743" s="109" t="s">
        <v>1972</v>
      </c>
      <c r="I743" s="109" t="s">
        <v>2039</v>
      </c>
      <c r="J743" s="109" t="s">
        <v>1708</v>
      </c>
      <c r="K743" s="109" t="s">
        <v>1708</v>
      </c>
      <c r="L743" s="109" t="s">
        <v>2008</v>
      </c>
      <c r="M743" s="166" t="s">
        <v>1687</v>
      </c>
      <c r="N743" s="162" t="s">
        <v>48</v>
      </c>
      <c r="O743" s="109" t="s">
        <v>48</v>
      </c>
      <c r="P743" s="162" t="s">
        <v>48</v>
      </c>
      <c r="Q743" s="109" t="s">
        <v>48</v>
      </c>
      <c r="R743" s="109" t="s">
        <v>48</v>
      </c>
      <c r="S743" s="109" t="s">
        <v>48</v>
      </c>
      <c r="T743" s="109" t="s">
        <v>48</v>
      </c>
      <c r="U743" s="109" t="s">
        <v>48</v>
      </c>
      <c r="V743" s="166" t="s">
        <v>48</v>
      </c>
      <c r="W743" s="165" t="s">
        <v>1758</v>
      </c>
      <c r="X743" s="109" t="s">
        <v>1758</v>
      </c>
      <c r="Y743" s="109" t="s">
        <v>48</v>
      </c>
      <c r="Z743" s="109" t="s">
        <v>48</v>
      </c>
      <c r="AA743" s="109" t="s">
        <v>48</v>
      </c>
      <c r="AB743" s="109" t="s">
        <v>48</v>
      </c>
      <c r="AC743" s="109" t="s">
        <v>48</v>
      </c>
      <c r="AD743" s="166" t="s">
        <v>48</v>
      </c>
      <c r="AE743" s="174" t="s">
        <v>48</v>
      </c>
      <c r="AF743" s="117" t="s">
        <v>48</v>
      </c>
      <c r="AG743" s="117" t="s">
        <v>48</v>
      </c>
      <c r="AH743" s="109" t="s">
        <v>48</v>
      </c>
      <c r="AI743" s="117" t="s">
        <v>48</v>
      </c>
      <c r="AJ743" s="117" t="s">
        <v>48</v>
      </c>
      <c r="AK743" s="182" t="s">
        <v>48</v>
      </c>
      <c r="AL743" s="165" t="s">
        <v>1758</v>
      </c>
      <c r="AM743" s="109" t="s">
        <v>1758</v>
      </c>
      <c r="AN743" s="109" t="s">
        <v>48</v>
      </c>
      <c r="AO743" s="109" t="s">
        <v>48</v>
      </c>
      <c r="AP743" s="109" t="s">
        <v>48</v>
      </c>
      <c r="AQ743" s="109" t="s">
        <v>48</v>
      </c>
      <c r="AR743" s="109" t="s">
        <v>48</v>
      </c>
      <c r="AS743" s="166" t="s">
        <v>48</v>
      </c>
      <c r="AT743" s="165" t="s">
        <v>48</v>
      </c>
      <c r="AU743" s="109" t="s">
        <v>48</v>
      </c>
      <c r="AV743" s="109" t="s">
        <v>48</v>
      </c>
      <c r="AW743" s="109" t="s">
        <v>48</v>
      </c>
      <c r="AX743" s="109" t="s">
        <v>48</v>
      </c>
      <c r="AY743" s="109" t="s">
        <v>48</v>
      </c>
      <c r="AZ743" s="166" t="s">
        <v>48</v>
      </c>
      <c r="BA743" s="162" t="s">
        <v>1711</v>
      </c>
      <c r="BB743" s="109" t="s">
        <v>49</v>
      </c>
      <c r="BC743" s="109"/>
    </row>
    <row r="744" spans="1:55" ht="75" hidden="1" customHeight="1">
      <c r="A744" s="109" t="s">
        <v>40</v>
      </c>
      <c r="B744" s="117" t="s">
        <v>2520</v>
      </c>
      <c r="C744" s="109" t="s">
        <v>1001</v>
      </c>
      <c r="D744" s="109" t="s">
        <v>1757</v>
      </c>
      <c r="E744" s="161">
        <v>30000</v>
      </c>
      <c r="F744" s="165" t="s">
        <v>1753</v>
      </c>
      <c r="G744" s="109" t="s">
        <v>1753</v>
      </c>
      <c r="H744" s="109" t="s">
        <v>1972</v>
      </c>
      <c r="I744" s="109" t="s">
        <v>2039</v>
      </c>
      <c r="J744" s="109" t="s">
        <v>1708</v>
      </c>
      <c r="K744" s="109" t="s">
        <v>1708</v>
      </c>
      <c r="L744" s="109" t="s">
        <v>2008</v>
      </c>
      <c r="M744" s="166" t="s">
        <v>1687</v>
      </c>
      <c r="N744" s="162" t="s">
        <v>48</v>
      </c>
      <c r="O744" s="109" t="s">
        <v>48</v>
      </c>
      <c r="P744" s="162" t="s">
        <v>48</v>
      </c>
      <c r="Q744" s="109" t="s">
        <v>48</v>
      </c>
      <c r="R744" s="109" t="s">
        <v>48</v>
      </c>
      <c r="S744" s="109" t="s">
        <v>48</v>
      </c>
      <c r="T744" s="109" t="s">
        <v>48</v>
      </c>
      <c r="U744" s="109" t="s">
        <v>48</v>
      </c>
      <c r="V744" s="166" t="s">
        <v>48</v>
      </c>
      <c r="W744" s="165" t="s">
        <v>1757</v>
      </c>
      <c r="X744" s="109" t="s">
        <v>1757</v>
      </c>
      <c r="Y744" s="109" t="s">
        <v>48</v>
      </c>
      <c r="Z744" s="109" t="s">
        <v>48</v>
      </c>
      <c r="AA744" s="109" t="s">
        <v>48</v>
      </c>
      <c r="AB744" s="109" t="s">
        <v>48</v>
      </c>
      <c r="AC744" s="109" t="s">
        <v>48</v>
      </c>
      <c r="AD744" s="166" t="s">
        <v>48</v>
      </c>
      <c r="AE744" s="174" t="s">
        <v>48</v>
      </c>
      <c r="AF744" s="117" t="s">
        <v>48</v>
      </c>
      <c r="AG744" s="117" t="s">
        <v>48</v>
      </c>
      <c r="AH744" s="109" t="s">
        <v>48</v>
      </c>
      <c r="AI744" s="117" t="s">
        <v>48</v>
      </c>
      <c r="AJ744" s="117" t="s">
        <v>48</v>
      </c>
      <c r="AK744" s="182" t="s">
        <v>48</v>
      </c>
      <c r="AL744" s="165" t="s">
        <v>1757</v>
      </c>
      <c r="AM744" s="109" t="s">
        <v>1757</v>
      </c>
      <c r="AN744" s="109" t="s">
        <v>48</v>
      </c>
      <c r="AO744" s="109" t="s">
        <v>48</v>
      </c>
      <c r="AP744" s="109" t="s">
        <v>48</v>
      </c>
      <c r="AQ744" s="109" t="s">
        <v>48</v>
      </c>
      <c r="AR744" s="109" t="s">
        <v>48</v>
      </c>
      <c r="AS744" s="166" t="s">
        <v>48</v>
      </c>
      <c r="AT744" s="165" t="s">
        <v>48</v>
      </c>
      <c r="AU744" s="109" t="s">
        <v>48</v>
      </c>
      <c r="AV744" s="109" t="s">
        <v>48</v>
      </c>
      <c r="AW744" s="109" t="s">
        <v>48</v>
      </c>
      <c r="AX744" s="109" t="s">
        <v>48</v>
      </c>
      <c r="AY744" s="109" t="s">
        <v>48</v>
      </c>
      <c r="AZ744" s="166" t="s">
        <v>48</v>
      </c>
      <c r="BA744" s="162" t="s">
        <v>1711</v>
      </c>
      <c r="BB744" s="109" t="s">
        <v>49</v>
      </c>
      <c r="BC744" s="109"/>
    </row>
    <row r="745" spans="1:55" ht="75.75" hidden="1" customHeight="1">
      <c r="A745" s="109" t="s">
        <v>40</v>
      </c>
      <c r="B745" s="117" t="s">
        <v>2520</v>
      </c>
      <c r="C745" s="109" t="s">
        <v>943</v>
      </c>
      <c r="D745" s="109" t="s">
        <v>1755</v>
      </c>
      <c r="E745" s="161">
        <v>30000</v>
      </c>
      <c r="F745" s="165" t="s">
        <v>1753</v>
      </c>
      <c r="G745" s="109" t="s">
        <v>1753</v>
      </c>
      <c r="H745" s="109" t="s">
        <v>1972</v>
      </c>
      <c r="I745" s="109" t="s">
        <v>2039</v>
      </c>
      <c r="J745" s="109" t="s">
        <v>1708</v>
      </c>
      <c r="K745" s="109" t="s">
        <v>1708</v>
      </c>
      <c r="L745" s="109" t="s">
        <v>2008</v>
      </c>
      <c r="M745" s="166" t="s">
        <v>1687</v>
      </c>
      <c r="N745" s="162" t="s">
        <v>48</v>
      </c>
      <c r="O745" s="109" t="s">
        <v>48</v>
      </c>
      <c r="P745" s="162" t="s">
        <v>48</v>
      </c>
      <c r="Q745" s="109" t="s">
        <v>48</v>
      </c>
      <c r="R745" s="109" t="s">
        <v>48</v>
      </c>
      <c r="S745" s="109" t="s">
        <v>48</v>
      </c>
      <c r="T745" s="109" t="s">
        <v>48</v>
      </c>
      <c r="U745" s="109" t="s">
        <v>48</v>
      </c>
      <c r="V745" s="166" t="s">
        <v>48</v>
      </c>
      <c r="W745" s="165" t="s">
        <v>1755</v>
      </c>
      <c r="X745" s="109" t="s">
        <v>1755</v>
      </c>
      <c r="Y745" s="109" t="s">
        <v>48</v>
      </c>
      <c r="Z745" s="109" t="s">
        <v>48</v>
      </c>
      <c r="AA745" s="109" t="s">
        <v>48</v>
      </c>
      <c r="AB745" s="109" t="s">
        <v>48</v>
      </c>
      <c r="AC745" s="109" t="s">
        <v>48</v>
      </c>
      <c r="AD745" s="166" t="s">
        <v>48</v>
      </c>
      <c r="AE745" s="174" t="s">
        <v>48</v>
      </c>
      <c r="AF745" s="117" t="s">
        <v>48</v>
      </c>
      <c r="AG745" s="117" t="s">
        <v>48</v>
      </c>
      <c r="AH745" s="109" t="s">
        <v>48</v>
      </c>
      <c r="AI745" s="117" t="s">
        <v>48</v>
      </c>
      <c r="AJ745" s="117" t="s">
        <v>48</v>
      </c>
      <c r="AK745" s="182" t="s">
        <v>48</v>
      </c>
      <c r="AL745" s="165" t="s">
        <v>1755</v>
      </c>
      <c r="AM745" s="109" t="s">
        <v>1755</v>
      </c>
      <c r="AN745" s="109" t="s">
        <v>48</v>
      </c>
      <c r="AO745" s="109" t="s">
        <v>48</v>
      </c>
      <c r="AP745" s="109" t="s">
        <v>48</v>
      </c>
      <c r="AQ745" s="109" t="s">
        <v>48</v>
      </c>
      <c r="AR745" s="109" t="s">
        <v>48</v>
      </c>
      <c r="AS745" s="166" t="s">
        <v>48</v>
      </c>
      <c r="AT745" s="165" t="s">
        <v>48</v>
      </c>
      <c r="AU745" s="109" t="s">
        <v>48</v>
      </c>
      <c r="AV745" s="109" t="s">
        <v>48</v>
      </c>
      <c r="AW745" s="109" t="s">
        <v>48</v>
      </c>
      <c r="AX745" s="109" t="s">
        <v>48</v>
      </c>
      <c r="AY745" s="109" t="s">
        <v>48</v>
      </c>
      <c r="AZ745" s="166" t="s">
        <v>48</v>
      </c>
      <c r="BA745" s="162" t="s">
        <v>1711</v>
      </c>
      <c r="BB745" s="109" t="s">
        <v>49</v>
      </c>
      <c r="BC745" s="109"/>
    </row>
    <row r="746" spans="1:55" ht="75" hidden="1" customHeight="1">
      <c r="A746" s="109" t="s">
        <v>40</v>
      </c>
      <c r="B746" s="117" t="s">
        <v>2520</v>
      </c>
      <c r="C746" s="109" t="s">
        <v>866</v>
      </c>
      <c r="D746" s="109" t="s">
        <v>1754</v>
      </c>
      <c r="E746" s="161">
        <v>30000</v>
      </c>
      <c r="F746" s="165" t="s">
        <v>1753</v>
      </c>
      <c r="G746" s="109" t="s">
        <v>1753</v>
      </c>
      <c r="H746" s="109" t="s">
        <v>1972</v>
      </c>
      <c r="I746" s="109" t="s">
        <v>2039</v>
      </c>
      <c r="J746" s="109" t="s">
        <v>1708</v>
      </c>
      <c r="K746" s="109" t="s">
        <v>1708</v>
      </c>
      <c r="L746" s="109" t="s">
        <v>2008</v>
      </c>
      <c r="M746" s="166" t="s">
        <v>1687</v>
      </c>
      <c r="N746" s="162" t="s">
        <v>48</v>
      </c>
      <c r="O746" s="109" t="s">
        <v>48</v>
      </c>
      <c r="P746" s="162" t="s">
        <v>48</v>
      </c>
      <c r="Q746" s="109" t="s">
        <v>48</v>
      </c>
      <c r="R746" s="109" t="s">
        <v>48</v>
      </c>
      <c r="S746" s="109" t="s">
        <v>48</v>
      </c>
      <c r="T746" s="109" t="s">
        <v>48</v>
      </c>
      <c r="U746" s="109" t="s">
        <v>48</v>
      </c>
      <c r="V746" s="166" t="s">
        <v>48</v>
      </c>
      <c r="W746" s="165" t="s">
        <v>1754</v>
      </c>
      <c r="X746" s="109" t="s">
        <v>1754</v>
      </c>
      <c r="Y746" s="109" t="s">
        <v>48</v>
      </c>
      <c r="Z746" s="109" t="s">
        <v>48</v>
      </c>
      <c r="AA746" s="109" t="s">
        <v>48</v>
      </c>
      <c r="AB746" s="109" t="s">
        <v>48</v>
      </c>
      <c r="AC746" s="109" t="s">
        <v>48</v>
      </c>
      <c r="AD746" s="166" t="s">
        <v>48</v>
      </c>
      <c r="AE746" s="174" t="s">
        <v>48</v>
      </c>
      <c r="AF746" s="117" t="s">
        <v>48</v>
      </c>
      <c r="AG746" s="117" t="s">
        <v>48</v>
      </c>
      <c r="AH746" s="109" t="s">
        <v>48</v>
      </c>
      <c r="AI746" s="117" t="s">
        <v>48</v>
      </c>
      <c r="AJ746" s="117" t="s">
        <v>48</v>
      </c>
      <c r="AK746" s="182" t="s">
        <v>48</v>
      </c>
      <c r="AL746" s="165" t="s">
        <v>1754</v>
      </c>
      <c r="AM746" s="109" t="s">
        <v>1754</v>
      </c>
      <c r="AN746" s="109" t="s">
        <v>48</v>
      </c>
      <c r="AO746" s="109" t="s">
        <v>48</v>
      </c>
      <c r="AP746" s="109" t="s">
        <v>48</v>
      </c>
      <c r="AQ746" s="109" t="s">
        <v>48</v>
      </c>
      <c r="AR746" s="109" t="s">
        <v>48</v>
      </c>
      <c r="AS746" s="166" t="s">
        <v>48</v>
      </c>
      <c r="AT746" s="165" t="s">
        <v>48</v>
      </c>
      <c r="AU746" s="109" t="s">
        <v>48</v>
      </c>
      <c r="AV746" s="109" t="s">
        <v>48</v>
      </c>
      <c r="AW746" s="109" t="s">
        <v>48</v>
      </c>
      <c r="AX746" s="109" t="s">
        <v>48</v>
      </c>
      <c r="AY746" s="109" t="s">
        <v>48</v>
      </c>
      <c r="AZ746" s="166" t="s">
        <v>48</v>
      </c>
      <c r="BA746" s="162" t="s">
        <v>1711</v>
      </c>
      <c r="BB746" s="109" t="s">
        <v>49</v>
      </c>
      <c r="BC746" s="109"/>
    </row>
    <row r="747" spans="1:55" ht="75" hidden="1" customHeight="1">
      <c r="A747" s="109" t="s">
        <v>2601</v>
      </c>
      <c r="B747" s="117" t="s">
        <v>2520</v>
      </c>
      <c r="C747" s="109" t="s">
        <v>968</v>
      </c>
      <c r="D747" s="109" t="s">
        <v>1756</v>
      </c>
      <c r="E747" s="161">
        <v>30000</v>
      </c>
      <c r="F747" s="165" t="s">
        <v>1753</v>
      </c>
      <c r="G747" s="109" t="s">
        <v>1753</v>
      </c>
      <c r="H747" s="109" t="s">
        <v>1972</v>
      </c>
      <c r="I747" s="109" t="s">
        <v>2039</v>
      </c>
      <c r="J747" s="109" t="s">
        <v>1708</v>
      </c>
      <c r="K747" s="109" t="s">
        <v>1708</v>
      </c>
      <c r="L747" s="109" t="s">
        <v>2008</v>
      </c>
      <c r="M747" s="166" t="s">
        <v>1687</v>
      </c>
      <c r="N747" s="162" t="s">
        <v>48</v>
      </c>
      <c r="O747" s="109" t="s">
        <v>48</v>
      </c>
      <c r="P747" s="162" t="s">
        <v>48</v>
      </c>
      <c r="Q747" s="109" t="s">
        <v>48</v>
      </c>
      <c r="R747" s="109" t="s">
        <v>48</v>
      </c>
      <c r="S747" s="109" t="s">
        <v>48</v>
      </c>
      <c r="T747" s="109" t="s">
        <v>48</v>
      </c>
      <c r="U747" s="109" t="s">
        <v>48</v>
      </c>
      <c r="V747" s="166" t="s">
        <v>48</v>
      </c>
      <c r="W747" s="165" t="s">
        <v>1756</v>
      </c>
      <c r="X747" s="109" t="s">
        <v>1756</v>
      </c>
      <c r="Y747" s="109" t="s">
        <v>48</v>
      </c>
      <c r="Z747" s="109" t="s">
        <v>48</v>
      </c>
      <c r="AA747" s="109" t="s">
        <v>48</v>
      </c>
      <c r="AB747" s="109" t="s">
        <v>48</v>
      </c>
      <c r="AC747" s="109" t="s">
        <v>48</v>
      </c>
      <c r="AD747" s="166" t="s">
        <v>48</v>
      </c>
      <c r="AE747" s="174" t="s">
        <v>48</v>
      </c>
      <c r="AF747" s="117" t="s">
        <v>48</v>
      </c>
      <c r="AG747" s="117" t="s">
        <v>48</v>
      </c>
      <c r="AH747" s="109" t="s">
        <v>48</v>
      </c>
      <c r="AI747" s="117" t="s">
        <v>48</v>
      </c>
      <c r="AJ747" s="117" t="s">
        <v>48</v>
      </c>
      <c r="AK747" s="182" t="s">
        <v>48</v>
      </c>
      <c r="AL747" s="165" t="s">
        <v>1756</v>
      </c>
      <c r="AM747" s="109" t="s">
        <v>1756</v>
      </c>
      <c r="AN747" s="109" t="s">
        <v>48</v>
      </c>
      <c r="AO747" s="109" t="s">
        <v>48</v>
      </c>
      <c r="AP747" s="109" t="s">
        <v>48</v>
      </c>
      <c r="AQ747" s="109" t="s">
        <v>48</v>
      </c>
      <c r="AR747" s="109" t="s">
        <v>48</v>
      </c>
      <c r="AS747" s="166" t="s">
        <v>48</v>
      </c>
      <c r="AT747" s="165" t="s">
        <v>48</v>
      </c>
      <c r="AU747" s="109" t="s">
        <v>48</v>
      </c>
      <c r="AV747" s="109" t="s">
        <v>48</v>
      </c>
      <c r="AW747" s="109" t="s">
        <v>48</v>
      </c>
      <c r="AX747" s="109" t="s">
        <v>48</v>
      </c>
      <c r="AY747" s="109" t="s">
        <v>48</v>
      </c>
      <c r="AZ747" s="166" t="s">
        <v>48</v>
      </c>
      <c r="BA747" s="162" t="s">
        <v>1711</v>
      </c>
      <c r="BB747" s="109" t="s">
        <v>49</v>
      </c>
      <c r="BC747" s="109"/>
    </row>
    <row r="748" spans="1:55" ht="75" hidden="1" customHeight="1">
      <c r="A748" s="109" t="s">
        <v>40</v>
      </c>
      <c r="B748" s="117" t="s">
        <v>2520</v>
      </c>
      <c r="C748" s="109" t="s">
        <v>2629</v>
      </c>
      <c r="D748" s="109" t="s">
        <v>2602</v>
      </c>
      <c r="E748" s="161">
        <v>30000</v>
      </c>
      <c r="F748" s="165" t="s">
        <v>1753</v>
      </c>
      <c r="G748" s="109" t="s">
        <v>1753</v>
      </c>
      <c r="H748" s="109" t="s">
        <v>48</v>
      </c>
      <c r="I748" s="109" t="s">
        <v>48</v>
      </c>
      <c r="J748" s="109" t="s">
        <v>48</v>
      </c>
      <c r="K748" s="109" t="s">
        <v>48</v>
      </c>
      <c r="L748" s="109" t="s">
        <v>48</v>
      </c>
      <c r="M748" s="109" t="s">
        <v>48</v>
      </c>
      <c r="N748" s="162" t="s">
        <v>48</v>
      </c>
      <c r="O748" s="109" t="s">
        <v>48</v>
      </c>
      <c r="P748" s="162" t="s">
        <v>48</v>
      </c>
      <c r="Q748" s="109" t="s">
        <v>48</v>
      </c>
      <c r="R748" s="109" t="s">
        <v>48</v>
      </c>
      <c r="S748" s="109" t="s">
        <v>48</v>
      </c>
      <c r="T748" s="109" t="s">
        <v>48</v>
      </c>
      <c r="U748" s="109" t="s">
        <v>48</v>
      </c>
      <c r="V748" s="166" t="s">
        <v>48</v>
      </c>
      <c r="W748" s="165" t="s">
        <v>1753</v>
      </c>
      <c r="X748" s="109" t="s">
        <v>1753</v>
      </c>
      <c r="Y748" s="109" t="s">
        <v>48</v>
      </c>
      <c r="Z748" s="109" t="s">
        <v>48</v>
      </c>
      <c r="AA748" s="109" t="s">
        <v>48</v>
      </c>
      <c r="AB748" s="109" t="s">
        <v>48</v>
      </c>
      <c r="AC748" s="109" t="s">
        <v>48</v>
      </c>
      <c r="AD748" s="166" t="s">
        <v>48</v>
      </c>
      <c r="AE748" s="165" t="s">
        <v>48</v>
      </c>
      <c r="AF748" s="109" t="s">
        <v>48</v>
      </c>
      <c r="AG748" s="109" t="s">
        <v>48</v>
      </c>
      <c r="AH748" s="109" t="s">
        <v>48</v>
      </c>
      <c r="AI748" s="109" t="s">
        <v>48</v>
      </c>
      <c r="AJ748" s="109" t="s">
        <v>48</v>
      </c>
      <c r="AK748" s="166" t="s">
        <v>48</v>
      </c>
      <c r="AL748" s="165" t="s">
        <v>1753</v>
      </c>
      <c r="AM748" s="109" t="s">
        <v>1753</v>
      </c>
      <c r="AN748" s="109" t="s">
        <v>48</v>
      </c>
      <c r="AO748" s="109" t="s">
        <v>48</v>
      </c>
      <c r="AP748" s="109" t="s">
        <v>48</v>
      </c>
      <c r="AQ748" s="109" t="s">
        <v>48</v>
      </c>
      <c r="AR748" s="109" t="s">
        <v>48</v>
      </c>
      <c r="AS748" s="166" t="s">
        <v>2619</v>
      </c>
      <c r="AT748" s="165" t="s">
        <v>48</v>
      </c>
      <c r="AU748" s="109" t="s">
        <v>48</v>
      </c>
      <c r="AV748" s="109" t="s">
        <v>48</v>
      </c>
      <c r="AW748" s="109" t="s">
        <v>48</v>
      </c>
      <c r="AX748" s="109" t="s">
        <v>48</v>
      </c>
      <c r="AY748" s="109" t="s">
        <v>48</v>
      </c>
      <c r="AZ748" s="166" t="s">
        <v>48</v>
      </c>
      <c r="BA748" s="162" t="s">
        <v>48</v>
      </c>
      <c r="BB748" s="109" t="s">
        <v>49</v>
      </c>
      <c r="BC748" s="109"/>
    </row>
    <row r="749" spans="1:55" ht="75" customHeight="1">
      <c r="A749" s="109" t="s">
        <v>2616</v>
      </c>
      <c r="B749" s="117" t="s">
        <v>2594</v>
      </c>
      <c r="C749" s="109" t="s">
        <v>2617</v>
      </c>
      <c r="D749" s="109" t="s">
        <v>2861</v>
      </c>
      <c r="E749" s="161">
        <v>15000</v>
      </c>
      <c r="F749" s="109" t="s">
        <v>2618</v>
      </c>
      <c r="G749" s="109" t="s">
        <v>2618</v>
      </c>
      <c r="H749" s="109" t="s">
        <v>48</v>
      </c>
      <c r="I749" s="109" t="s">
        <v>2630</v>
      </c>
      <c r="J749" s="109" t="s">
        <v>48</v>
      </c>
      <c r="K749" s="109" t="s">
        <v>48</v>
      </c>
      <c r="L749" s="109" t="s">
        <v>48</v>
      </c>
      <c r="M749" s="109" t="s">
        <v>48</v>
      </c>
      <c r="N749" s="162" t="s">
        <v>48</v>
      </c>
      <c r="O749" s="109" t="s">
        <v>48</v>
      </c>
      <c r="P749" s="162" t="s">
        <v>48</v>
      </c>
      <c r="Q749" s="109" t="s">
        <v>48</v>
      </c>
      <c r="R749" s="109" t="s">
        <v>48</v>
      </c>
      <c r="S749" s="109" t="s">
        <v>48</v>
      </c>
      <c r="T749" s="109" t="s">
        <v>48</v>
      </c>
      <c r="U749" s="109" t="s">
        <v>48</v>
      </c>
      <c r="V749" s="109" t="s">
        <v>48</v>
      </c>
      <c r="W749" s="109" t="s">
        <v>2618</v>
      </c>
      <c r="X749" s="109" t="s">
        <v>2618</v>
      </c>
      <c r="Y749" s="109" t="s">
        <v>48</v>
      </c>
      <c r="Z749" s="109" t="s">
        <v>48</v>
      </c>
      <c r="AA749" s="7" t="s">
        <v>48</v>
      </c>
      <c r="AB749" s="109" t="s">
        <v>48</v>
      </c>
      <c r="AC749" s="109" t="s">
        <v>48</v>
      </c>
      <c r="AD749" s="109" t="s">
        <v>48</v>
      </c>
      <c r="AE749" s="165" t="s">
        <v>48</v>
      </c>
      <c r="AF749" s="109" t="s">
        <v>48</v>
      </c>
      <c r="AG749" s="109" t="s">
        <v>48</v>
      </c>
      <c r="AH749" s="109" t="s">
        <v>48</v>
      </c>
      <c r="AI749" s="109" t="s">
        <v>48</v>
      </c>
      <c r="AJ749" s="109" t="s">
        <v>48</v>
      </c>
      <c r="AK749" s="166" t="s">
        <v>48</v>
      </c>
      <c r="AL749" s="109" t="s">
        <v>2618</v>
      </c>
      <c r="AM749" s="109" t="s">
        <v>2861</v>
      </c>
      <c r="AN749" s="109" t="s">
        <v>48</v>
      </c>
      <c r="AO749" s="109" t="s">
        <v>48</v>
      </c>
      <c r="AP749" s="109" t="s">
        <v>48</v>
      </c>
      <c r="AQ749" s="109" t="s">
        <v>48</v>
      </c>
      <c r="AR749" s="109" t="s">
        <v>48</v>
      </c>
      <c r="AS749" s="109" t="s">
        <v>48</v>
      </c>
      <c r="AT749" s="243" t="s">
        <v>2860</v>
      </c>
      <c r="AU749" s="245" t="s">
        <v>2862</v>
      </c>
      <c r="AV749" s="7" t="s">
        <v>2857</v>
      </c>
      <c r="AW749" s="7" t="s">
        <v>2039</v>
      </c>
      <c r="AX749" s="7" t="s">
        <v>2881</v>
      </c>
      <c r="AY749" s="7" t="s">
        <v>2883</v>
      </c>
      <c r="AZ749" s="7" t="s">
        <v>2856</v>
      </c>
      <c r="BA749" s="241" t="s">
        <v>2903</v>
      </c>
      <c r="BB749" s="109" t="s">
        <v>2628</v>
      </c>
      <c r="BC749" s="109" t="s">
        <v>2859</v>
      </c>
    </row>
    <row r="750" spans="1:55" ht="75" customHeight="1">
      <c r="A750" s="109" t="s">
        <v>2616</v>
      </c>
      <c r="B750" s="117" t="s">
        <v>2594</v>
      </c>
      <c r="C750" s="109" t="s">
        <v>2617</v>
      </c>
      <c r="D750" s="109" t="s">
        <v>2621</v>
      </c>
      <c r="E750" s="161">
        <v>15000</v>
      </c>
      <c r="F750" s="109" t="s">
        <v>2621</v>
      </c>
      <c r="G750" s="109" t="s">
        <v>2621</v>
      </c>
      <c r="H750" s="109" t="s">
        <v>48</v>
      </c>
      <c r="I750" s="109" t="s">
        <v>1908</v>
      </c>
      <c r="J750" s="109" t="s">
        <v>48</v>
      </c>
      <c r="K750" s="109" t="s">
        <v>48</v>
      </c>
      <c r="L750" s="109" t="s">
        <v>48</v>
      </c>
      <c r="M750" s="109" t="s">
        <v>48</v>
      </c>
      <c r="N750" s="162" t="s">
        <v>48</v>
      </c>
      <c r="O750" s="109" t="s">
        <v>48</v>
      </c>
      <c r="P750" s="162" t="s">
        <v>48</v>
      </c>
      <c r="Q750" s="109" t="s">
        <v>48</v>
      </c>
      <c r="R750" s="109" t="s">
        <v>48</v>
      </c>
      <c r="S750" s="109" t="s">
        <v>48</v>
      </c>
      <c r="T750" s="109" t="s">
        <v>48</v>
      </c>
      <c r="U750" s="109" t="s">
        <v>48</v>
      </c>
      <c r="V750" s="109" t="s">
        <v>48</v>
      </c>
      <c r="W750" s="109" t="s">
        <v>2815</v>
      </c>
      <c r="X750" s="109" t="s">
        <v>2621</v>
      </c>
      <c r="Y750" s="109" t="s">
        <v>2847</v>
      </c>
      <c r="Z750" s="109" t="s">
        <v>1908</v>
      </c>
      <c r="AA750" s="7" t="s">
        <v>2849</v>
      </c>
      <c r="AB750" s="109" t="s">
        <v>48</v>
      </c>
      <c r="AC750" s="109" t="s">
        <v>2846</v>
      </c>
      <c r="AD750" s="109" t="s">
        <v>2841</v>
      </c>
      <c r="AE750" s="165" t="s">
        <v>48</v>
      </c>
      <c r="AF750" s="109" t="s">
        <v>48</v>
      </c>
      <c r="AG750" s="109" t="s">
        <v>48</v>
      </c>
      <c r="AH750" s="109" t="s">
        <v>48</v>
      </c>
      <c r="AI750" s="109" t="s">
        <v>48</v>
      </c>
      <c r="AJ750" s="109" t="s">
        <v>48</v>
      </c>
      <c r="AK750" s="166" t="s">
        <v>48</v>
      </c>
      <c r="AL750" s="109" t="s">
        <v>2621</v>
      </c>
      <c r="AM750" s="109" t="s">
        <v>2621</v>
      </c>
      <c r="AN750" s="109" t="s">
        <v>48</v>
      </c>
      <c r="AO750" s="109" t="s">
        <v>48</v>
      </c>
      <c r="AP750" s="109" t="s">
        <v>48</v>
      </c>
      <c r="AQ750" s="109" t="s">
        <v>48</v>
      </c>
      <c r="AR750" s="109" t="s">
        <v>48</v>
      </c>
      <c r="AS750" s="109" t="s">
        <v>48</v>
      </c>
      <c r="AT750" s="243" t="s">
        <v>2860</v>
      </c>
      <c r="AU750" s="245" t="s">
        <v>2863</v>
      </c>
      <c r="AV750" s="7" t="s">
        <v>2858</v>
      </c>
      <c r="AW750" s="7" t="s">
        <v>1908</v>
      </c>
      <c r="AX750" s="7" t="s">
        <v>2881</v>
      </c>
      <c r="AY750" s="7" t="s">
        <v>2882</v>
      </c>
      <c r="AZ750" s="7" t="s">
        <v>2856</v>
      </c>
      <c r="BA750" s="241" t="s">
        <v>2903</v>
      </c>
      <c r="BB750" s="109" t="s">
        <v>2628</v>
      </c>
      <c r="BC750" s="109" t="s">
        <v>2620</v>
      </c>
    </row>
    <row r="751" spans="1:55" s="11" customFormat="1" ht="75" customHeight="1">
      <c r="A751" s="102" t="s">
        <v>2623</v>
      </c>
      <c r="B751" s="103" t="s">
        <v>2622</v>
      </c>
      <c r="C751" s="102" t="s">
        <v>2617</v>
      </c>
      <c r="D751" s="102" t="s">
        <v>2621</v>
      </c>
      <c r="E751" s="203">
        <v>15000</v>
      </c>
      <c r="F751" s="102" t="s">
        <v>2621</v>
      </c>
      <c r="G751" s="102" t="s">
        <v>2621</v>
      </c>
      <c r="H751" s="102" t="s">
        <v>48</v>
      </c>
      <c r="I751" s="109" t="s">
        <v>1908</v>
      </c>
      <c r="J751" s="102" t="s">
        <v>48</v>
      </c>
      <c r="K751" s="102" t="s">
        <v>48</v>
      </c>
      <c r="L751" s="102" t="s">
        <v>48</v>
      </c>
      <c r="M751" s="102" t="s">
        <v>2624</v>
      </c>
      <c r="N751" s="206" t="s">
        <v>48</v>
      </c>
      <c r="O751" s="102" t="s">
        <v>48</v>
      </c>
      <c r="P751" s="206" t="s">
        <v>48</v>
      </c>
      <c r="Q751" s="102" t="s">
        <v>48</v>
      </c>
      <c r="R751" s="102" t="s">
        <v>48</v>
      </c>
      <c r="S751" s="102" t="s">
        <v>48</v>
      </c>
      <c r="T751" s="102" t="s">
        <v>48</v>
      </c>
      <c r="U751" s="102" t="s">
        <v>48</v>
      </c>
      <c r="V751" s="205" t="s">
        <v>2624</v>
      </c>
      <c r="W751" s="102" t="s">
        <v>2815</v>
      </c>
      <c r="X751" s="102" t="s">
        <v>2621</v>
      </c>
      <c r="Y751" s="109" t="s">
        <v>2848</v>
      </c>
      <c r="Z751" s="109" t="s">
        <v>1908</v>
      </c>
      <c r="AA751" s="7" t="s">
        <v>2849</v>
      </c>
      <c r="AB751" s="102" t="s">
        <v>48</v>
      </c>
      <c r="AC751" s="102" t="s">
        <v>2845</v>
      </c>
      <c r="AD751" s="205" t="s">
        <v>2841</v>
      </c>
      <c r="AE751" s="204" t="s">
        <v>48</v>
      </c>
      <c r="AF751" s="102" t="s">
        <v>48</v>
      </c>
      <c r="AG751" s="102" t="s">
        <v>48</v>
      </c>
      <c r="AH751" s="102" t="s">
        <v>48</v>
      </c>
      <c r="AI751" s="102" t="s">
        <v>48</v>
      </c>
      <c r="AJ751" s="102" t="s">
        <v>48</v>
      </c>
      <c r="AK751" s="205" t="s">
        <v>48</v>
      </c>
      <c r="AL751" s="102" t="s">
        <v>2621</v>
      </c>
      <c r="AM751" s="102" t="s">
        <v>2621</v>
      </c>
      <c r="AN751" s="102" t="s">
        <v>48</v>
      </c>
      <c r="AO751" s="102" t="s">
        <v>48</v>
      </c>
      <c r="AP751" s="102" t="s">
        <v>48</v>
      </c>
      <c r="AQ751" s="102" t="s">
        <v>48</v>
      </c>
      <c r="AR751" s="102" t="s">
        <v>48</v>
      </c>
      <c r="AS751" s="205" t="s">
        <v>2624</v>
      </c>
      <c r="AT751" s="243" t="s">
        <v>2860</v>
      </c>
      <c r="AU751" s="245" t="s">
        <v>2863</v>
      </c>
      <c r="AV751" s="7" t="s">
        <v>2858</v>
      </c>
      <c r="AW751" s="7" t="s">
        <v>1908</v>
      </c>
      <c r="AX751" s="7" t="s">
        <v>2881</v>
      </c>
      <c r="AY751" s="7" t="s">
        <v>2882</v>
      </c>
      <c r="AZ751" s="7" t="s">
        <v>2856</v>
      </c>
      <c r="BA751" s="241" t="s">
        <v>2903</v>
      </c>
      <c r="BB751" s="102" t="s">
        <v>2628</v>
      </c>
      <c r="BC751" s="102" t="s">
        <v>2620</v>
      </c>
    </row>
    <row r="752" spans="1:55" s="239" customFormat="1" ht="75" hidden="1" customHeight="1">
      <c r="A752" s="102" t="s">
        <v>38</v>
      </c>
      <c r="B752" s="102" t="s">
        <v>2755</v>
      </c>
      <c r="C752" s="224" t="s">
        <v>2739</v>
      </c>
      <c r="D752" s="102" t="s">
        <v>2740</v>
      </c>
      <c r="E752" s="203">
        <v>15000</v>
      </c>
      <c r="F752" s="204" t="s">
        <v>2740</v>
      </c>
      <c r="G752" s="102" t="s">
        <v>2740</v>
      </c>
      <c r="H752" s="102" t="s">
        <v>48</v>
      </c>
      <c r="I752" s="102" t="s">
        <v>48</v>
      </c>
      <c r="J752" s="102" t="s">
        <v>48</v>
      </c>
      <c r="K752" s="102" t="s">
        <v>48</v>
      </c>
      <c r="L752" s="102" t="s">
        <v>48</v>
      </c>
      <c r="M752" s="102" t="s">
        <v>48</v>
      </c>
      <c r="N752" s="206" t="s">
        <v>48</v>
      </c>
      <c r="O752" s="102" t="s">
        <v>48</v>
      </c>
      <c r="P752" s="206" t="s">
        <v>48</v>
      </c>
      <c r="Q752" s="102" t="s">
        <v>48</v>
      </c>
      <c r="R752" s="102" t="s">
        <v>48</v>
      </c>
      <c r="S752" s="102" t="s">
        <v>48</v>
      </c>
      <c r="T752" s="102" t="s">
        <v>48</v>
      </c>
      <c r="U752" s="102" t="s">
        <v>48</v>
      </c>
      <c r="V752" s="205" t="s">
        <v>48</v>
      </c>
      <c r="W752" s="204" t="s">
        <v>2740</v>
      </c>
      <c r="X752" s="102" t="s">
        <v>2740</v>
      </c>
      <c r="Y752" s="102" t="s">
        <v>48</v>
      </c>
      <c r="Z752" s="102" t="s">
        <v>48</v>
      </c>
      <c r="AA752" s="102" t="s">
        <v>48</v>
      </c>
      <c r="AB752" s="102" t="s">
        <v>48</v>
      </c>
      <c r="AC752" s="102" t="s">
        <v>48</v>
      </c>
      <c r="AD752" s="205" t="s">
        <v>48</v>
      </c>
      <c r="AE752" s="204" t="s">
        <v>48</v>
      </c>
      <c r="AF752" s="102" t="s">
        <v>48</v>
      </c>
      <c r="AG752" s="102" t="s">
        <v>48</v>
      </c>
      <c r="AH752" s="102" t="s">
        <v>48</v>
      </c>
      <c r="AI752" s="102" t="s">
        <v>48</v>
      </c>
      <c r="AJ752" s="102" t="s">
        <v>48</v>
      </c>
      <c r="AK752" s="205" t="s">
        <v>48</v>
      </c>
      <c r="AL752" s="204" t="s">
        <v>2740</v>
      </c>
      <c r="AM752" s="102" t="s">
        <v>2740</v>
      </c>
      <c r="AN752" s="102" t="s">
        <v>48</v>
      </c>
      <c r="AO752" s="102" t="s">
        <v>48</v>
      </c>
      <c r="AP752" s="102" t="s">
        <v>48</v>
      </c>
      <c r="AQ752" s="102" t="s">
        <v>48</v>
      </c>
      <c r="AR752" s="102" t="s">
        <v>48</v>
      </c>
      <c r="AS752" s="205" t="s">
        <v>48</v>
      </c>
      <c r="AT752" s="204" t="s">
        <v>48</v>
      </c>
      <c r="AU752" s="102" t="s">
        <v>48</v>
      </c>
      <c r="AV752" s="102" t="s">
        <v>48</v>
      </c>
      <c r="AW752" s="102" t="s">
        <v>48</v>
      </c>
      <c r="AX752" s="102" t="s">
        <v>48</v>
      </c>
      <c r="AY752" s="102" t="s">
        <v>48</v>
      </c>
      <c r="AZ752" s="205" t="s">
        <v>48</v>
      </c>
      <c r="BA752" s="206" t="s">
        <v>2759</v>
      </c>
      <c r="BB752" s="102" t="s">
        <v>82</v>
      </c>
      <c r="BC752" s="102" t="s">
        <v>2801</v>
      </c>
    </row>
    <row r="753" spans="1:55" s="239" customFormat="1" ht="75" hidden="1" customHeight="1">
      <c r="A753" s="102" t="s">
        <v>38</v>
      </c>
      <c r="B753" s="102" t="s">
        <v>2024</v>
      </c>
      <c r="C753" s="224" t="s">
        <v>2739</v>
      </c>
      <c r="D753" s="102" t="s">
        <v>2740</v>
      </c>
      <c r="E753" s="203">
        <v>15000</v>
      </c>
      <c r="F753" s="204" t="s">
        <v>2740</v>
      </c>
      <c r="G753" s="102" t="s">
        <v>2740</v>
      </c>
      <c r="H753" s="102" t="s">
        <v>48</v>
      </c>
      <c r="I753" s="102" t="s">
        <v>48</v>
      </c>
      <c r="J753" s="102" t="s">
        <v>48</v>
      </c>
      <c r="K753" s="102" t="s">
        <v>48</v>
      </c>
      <c r="L753" s="102" t="s">
        <v>48</v>
      </c>
      <c r="M753" s="102" t="s">
        <v>48</v>
      </c>
      <c r="N753" s="206" t="s">
        <v>48</v>
      </c>
      <c r="O753" s="102" t="s">
        <v>48</v>
      </c>
      <c r="P753" s="206" t="s">
        <v>48</v>
      </c>
      <c r="Q753" s="102" t="s">
        <v>48</v>
      </c>
      <c r="R753" s="102" t="s">
        <v>48</v>
      </c>
      <c r="S753" s="102" t="s">
        <v>48</v>
      </c>
      <c r="T753" s="102" t="s">
        <v>48</v>
      </c>
      <c r="U753" s="102" t="s">
        <v>48</v>
      </c>
      <c r="V753" s="205" t="s">
        <v>48</v>
      </c>
      <c r="W753" s="204" t="s">
        <v>2740</v>
      </c>
      <c r="X753" s="102" t="s">
        <v>2740</v>
      </c>
      <c r="Y753" s="102" t="s">
        <v>48</v>
      </c>
      <c r="Z753" s="102" t="s">
        <v>48</v>
      </c>
      <c r="AA753" s="102" t="s">
        <v>48</v>
      </c>
      <c r="AB753" s="102" t="s">
        <v>48</v>
      </c>
      <c r="AC753" s="102" t="s">
        <v>48</v>
      </c>
      <c r="AD753" s="205" t="s">
        <v>48</v>
      </c>
      <c r="AE753" s="204" t="s">
        <v>48</v>
      </c>
      <c r="AF753" s="102" t="s">
        <v>48</v>
      </c>
      <c r="AG753" s="102" t="s">
        <v>48</v>
      </c>
      <c r="AH753" s="102" t="s">
        <v>48</v>
      </c>
      <c r="AI753" s="102" t="s">
        <v>48</v>
      </c>
      <c r="AJ753" s="102" t="s">
        <v>48</v>
      </c>
      <c r="AK753" s="205" t="s">
        <v>48</v>
      </c>
      <c r="AL753" s="204" t="s">
        <v>2740</v>
      </c>
      <c r="AM753" s="102" t="s">
        <v>2740</v>
      </c>
      <c r="AN753" s="102" t="s">
        <v>48</v>
      </c>
      <c r="AO753" s="102" t="s">
        <v>48</v>
      </c>
      <c r="AP753" s="102" t="s">
        <v>48</v>
      </c>
      <c r="AQ753" s="102" t="s">
        <v>48</v>
      </c>
      <c r="AR753" s="102" t="s">
        <v>48</v>
      </c>
      <c r="AS753" s="205" t="s">
        <v>48</v>
      </c>
      <c r="AT753" s="204" t="s">
        <v>48</v>
      </c>
      <c r="AU753" s="102" t="s">
        <v>48</v>
      </c>
      <c r="AV753" s="102" t="s">
        <v>48</v>
      </c>
      <c r="AW753" s="102" t="s">
        <v>48</v>
      </c>
      <c r="AX753" s="102" t="s">
        <v>48</v>
      </c>
      <c r="AY753" s="102" t="s">
        <v>48</v>
      </c>
      <c r="AZ753" s="205" t="s">
        <v>48</v>
      </c>
      <c r="BA753" s="206" t="s">
        <v>2759</v>
      </c>
      <c r="BB753" s="102" t="s">
        <v>82</v>
      </c>
      <c r="BC753" s="102" t="s">
        <v>2801</v>
      </c>
    </row>
    <row r="754" spans="1:55" s="239" customFormat="1" ht="75" hidden="1" customHeight="1">
      <c r="A754" s="102" t="s">
        <v>1583</v>
      </c>
      <c r="B754" s="102" t="s">
        <v>2016</v>
      </c>
      <c r="C754" s="224" t="s">
        <v>2739</v>
      </c>
      <c r="D754" s="102" t="s">
        <v>2744</v>
      </c>
      <c r="E754" s="203">
        <v>15000</v>
      </c>
      <c r="F754" s="204" t="s">
        <v>2744</v>
      </c>
      <c r="G754" s="224" t="s">
        <v>2744</v>
      </c>
      <c r="H754" s="102" t="s">
        <v>48</v>
      </c>
      <c r="I754" s="102" t="s">
        <v>48</v>
      </c>
      <c r="J754" s="102" t="s">
        <v>48</v>
      </c>
      <c r="K754" s="102" t="s">
        <v>48</v>
      </c>
      <c r="L754" s="102" t="s">
        <v>48</v>
      </c>
      <c r="M754" s="102" t="s">
        <v>48</v>
      </c>
      <c r="N754" s="206" t="s">
        <v>48</v>
      </c>
      <c r="O754" s="102" t="s">
        <v>48</v>
      </c>
      <c r="P754" s="206" t="s">
        <v>48</v>
      </c>
      <c r="Q754" s="102" t="s">
        <v>48</v>
      </c>
      <c r="R754" s="102" t="s">
        <v>48</v>
      </c>
      <c r="S754" s="102" t="s">
        <v>48</v>
      </c>
      <c r="T754" s="102" t="s">
        <v>48</v>
      </c>
      <c r="U754" s="102" t="s">
        <v>48</v>
      </c>
      <c r="V754" s="205" t="s">
        <v>48</v>
      </c>
      <c r="W754" s="204" t="s">
        <v>2744</v>
      </c>
      <c r="X754" s="204" t="s">
        <v>2744</v>
      </c>
      <c r="Y754" s="102" t="s">
        <v>48</v>
      </c>
      <c r="Z754" s="102" t="s">
        <v>48</v>
      </c>
      <c r="AA754" s="102" t="s">
        <v>48</v>
      </c>
      <c r="AB754" s="102" t="s">
        <v>48</v>
      </c>
      <c r="AC754" s="102" t="s">
        <v>48</v>
      </c>
      <c r="AD754" s="205" t="s">
        <v>48</v>
      </c>
      <c r="AE754" s="204" t="s">
        <v>48</v>
      </c>
      <c r="AF754" s="102" t="s">
        <v>48</v>
      </c>
      <c r="AG754" s="102" t="s">
        <v>48</v>
      </c>
      <c r="AH754" s="102" t="s">
        <v>48</v>
      </c>
      <c r="AI754" s="102" t="s">
        <v>48</v>
      </c>
      <c r="AJ754" s="102" t="s">
        <v>48</v>
      </c>
      <c r="AK754" s="205" t="s">
        <v>48</v>
      </c>
      <c r="AL754" s="204" t="s">
        <v>2744</v>
      </c>
      <c r="AM754" s="102" t="s">
        <v>2744</v>
      </c>
      <c r="AN754" s="102" t="s">
        <v>48</v>
      </c>
      <c r="AO754" s="102" t="s">
        <v>48</v>
      </c>
      <c r="AP754" s="102" t="s">
        <v>48</v>
      </c>
      <c r="AQ754" s="102" t="s">
        <v>48</v>
      </c>
      <c r="AR754" s="102" t="s">
        <v>48</v>
      </c>
      <c r="AS754" s="205" t="s">
        <v>48</v>
      </c>
      <c r="AT754" s="204" t="s">
        <v>48</v>
      </c>
      <c r="AU754" s="102" t="s">
        <v>48</v>
      </c>
      <c r="AV754" s="102" t="s">
        <v>48</v>
      </c>
      <c r="AW754" s="102" t="s">
        <v>48</v>
      </c>
      <c r="AX754" s="102" t="s">
        <v>48</v>
      </c>
      <c r="AY754" s="102" t="s">
        <v>48</v>
      </c>
      <c r="AZ754" s="205" t="s">
        <v>48</v>
      </c>
      <c r="BA754" s="206" t="s">
        <v>2759</v>
      </c>
      <c r="BB754" s="102" t="s">
        <v>82</v>
      </c>
      <c r="BC754" s="102" t="s">
        <v>2801</v>
      </c>
    </row>
    <row r="755" spans="1:55" s="239" customFormat="1" ht="75" hidden="1" customHeight="1">
      <c r="A755" s="102" t="s">
        <v>1584</v>
      </c>
      <c r="B755" s="102" t="s">
        <v>2016</v>
      </c>
      <c r="C755" s="224" t="s">
        <v>2739</v>
      </c>
      <c r="D755" s="102" t="s">
        <v>2744</v>
      </c>
      <c r="E755" s="203">
        <v>15000</v>
      </c>
      <c r="F755" s="204" t="s">
        <v>2744</v>
      </c>
      <c r="G755" s="224" t="s">
        <v>2744</v>
      </c>
      <c r="H755" s="102" t="s">
        <v>48</v>
      </c>
      <c r="I755" s="102" t="s">
        <v>48</v>
      </c>
      <c r="J755" s="102" t="s">
        <v>48</v>
      </c>
      <c r="K755" s="102" t="s">
        <v>48</v>
      </c>
      <c r="L755" s="102" t="s">
        <v>48</v>
      </c>
      <c r="M755" s="102" t="s">
        <v>48</v>
      </c>
      <c r="N755" s="206" t="s">
        <v>48</v>
      </c>
      <c r="O755" s="102" t="s">
        <v>48</v>
      </c>
      <c r="P755" s="206" t="s">
        <v>48</v>
      </c>
      <c r="Q755" s="102" t="s">
        <v>48</v>
      </c>
      <c r="R755" s="102" t="s">
        <v>48</v>
      </c>
      <c r="S755" s="102" t="s">
        <v>48</v>
      </c>
      <c r="T755" s="102" t="s">
        <v>48</v>
      </c>
      <c r="U755" s="102" t="s">
        <v>48</v>
      </c>
      <c r="V755" s="205" t="s">
        <v>48</v>
      </c>
      <c r="W755" s="204" t="s">
        <v>2744</v>
      </c>
      <c r="X755" s="204" t="s">
        <v>2744</v>
      </c>
      <c r="Y755" s="102" t="s">
        <v>48</v>
      </c>
      <c r="Z755" s="102" t="s">
        <v>48</v>
      </c>
      <c r="AA755" s="102" t="s">
        <v>48</v>
      </c>
      <c r="AB755" s="102" t="s">
        <v>48</v>
      </c>
      <c r="AC755" s="102" t="s">
        <v>48</v>
      </c>
      <c r="AD755" s="205" t="s">
        <v>48</v>
      </c>
      <c r="AE755" s="204" t="s">
        <v>48</v>
      </c>
      <c r="AF755" s="102" t="s">
        <v>48</v>
      </c>
      <c r="AG755" s="102" t="s">
        <v>48</v>
      </c>
      <c r="AH755" s="102" t="s">
        <v>48</v>
      </c>
      <c r="AI755" s="102" t="s">
        <v>48</v>
      </c>
      <c r="AJ755" s="102" t="s">
        <v>48</v>
      </c>
      <c r="AK755" s="205" t="s">
        <v>48</v>
      </c>
      <c r="AL755" s="204" t="s">
        <v>2744</v>
      </c>
      <c r="AM755" s="102" t="s">
        <v>2744</v>
      </c>
      <c r="AN755" s="102" t="s">
        <v>48</v>
      </c>
      <c r="AO755" s="102" t="s">
        <v>48</v>
      </c>
      <c r="AP755" s="102" t="s">
        <v>48</v>
      </c>
      <c r="AQ755" s="102" t="s">
        <v>48</v>
      </c>
      <c r="AR755" s="102" t="s">
        <v>48</v>
      </c>
      <c r="AS755" s="205" t="s">
        <v>48</v>
      </c>
      <c r="AT755" s="204" t="s">
        <v>48</v>
      </c>
      <c r="AU755" s="102" t="s">
        <v>48</v>
      </c>
      <c r="AV755" s="102" t="s">
        <v>48</v>
      </c>
      <c r="AW755" s="102" t="s">
        <v>48</v>
      </c>
      <c r="AX755" s="102" t="s">
        <v>48</v>
      </c>
      <c r="AY755" s="102" t="s">
        <v>48</v>
      </c>
      <c r="AZ755" s="205" t="s">
        <v>48</v>
      </c>
      <c r="BA755" s="206" t="s">
        <v>2759</v>
      </c>
      <c r="BB755" s="102" t="s">
        <v>82</v>
      </c>
      <c r="BC755" s="102" t="s">
        <v>2801</v>
      </c>
    </row>
    <row r="756" spans="1:55" s="239" customFormat="1" ht="75" hidden="1" customHeight="1">
      <c r="A756" s="102" t="s">
        <v>1599</v>
      </c>
      <c r="B756" s="102" t="s">
        <v>2015</v>
      </c>
      <c r="C756" s="224" t="s">
        <v>2739</v>
      </c>
      <c r="D756" s="102" t="s">
        <v>2744</v>
      </c>
      <c r="E756" s="203">
        <v>14900</v>
      </c>
      <c r="F756" s="204" t="s">
        <v>2744</v>
      </c>
      <c r="G756" s="224" t="s">
        <v>2744</v>
      </c>
      <c r="H756" s="102" t="s">
        <v>48</v>
      </c>
      <c r="I756" s="102" t="s">
        <v>48</v>
      </c>
      <c r="J756" s="102" t="s">
        <v>48</v>
      </c>
      <c r="K756" s="102" t="s">
        <v>48</v>
      </c>
      <c r="L756" s="102" t="s">
        <v>48</v>
      </c>
      <c r="M756" s="102" t="s">
        <v>48</v>
      </c>
      <c r="N756" s="206" t="s">
        <v>48</v>
      </c>
      <c r="O756" s="102" t="s">
        <v>48</v>
      </c>
      <c r="P756" s="206" t="s">
        <v>48</v>
      </c>
      <c r="Q756" s="102" t="s">
        <v>48</v>
      </c>
      <c r="R756" s="102" t="s">
        <v>48</v>
      </c>
      <c r="S756" s="102" t="s">
        <v>48</v>
      </c>
      <c r="T756" s="102" t="s">
        <v>48</v>
      </c>
      <c r="U756" s="102" t="s">
        <v>48</v>
      </c>
      <c r="V756" s="205" t="s">
        <v>48</v>
      </c>
      <c r="W756" s="204" t="s">
        <v>2744</v>
      </c>
      <c r="X756" s="204" t="s">
        <v>2744</v>
      </c>
      <c r="Y756" s="102" t="s">
        <v>48</v>
      </c>
      <c r="Z756" s="102" t="s">
        <v>48</v>
      </c>
      <c r="AA756" s="102" t="s">
        <v>48</v>
      </c>
      <c r="AB756" s="102" t="s">
        <v>48</v>
      </c>
      <c r="AC756" s="102" t="s">
        <v>48</v>
      </c>
      <c r="AD756" s="205" t="s">
        <v>48</v>
      </c>
      <c r="AE756" s="204" t="s">
        <v>48</v>
      </c>
      <c r="AF756" s="102" t="s">
        <v>48</v>
      </c>
      <c r="AG756" s="102" t="s">
        <v>48</v>
      </c>
      <c r="AH756" s="102" t="s">
        <v>48</v>
      </c>
      <c r="AI756" s="102" t="s">
        <v>48</v>
      </c>
      <c r="AJ756" s="102" t="s">
        <v>48</v>
      </c>
      <c r="AK756" s="205" t="s">
        <v>48</v>
      </c>
      <c r="AL756" s="204" t="s">
        <v>2744</v>
      </c>
      <c r="AM756" s="102" t="s">
        <v>2744</v>
      </c>
      <c r="AN756" s="102" t="s">
        <v>48</v>
      </c>
      <c r="AO756" s="102" t="s">
        <v>48</v>
      </c>
      <c r="AP756" s="102" t="s">
        <v>48</v>
      </c>
      <c r="AQ756" s="102" t="s">
        <v>48</v>
      </c>
      <c r="AR756" s="102" t="s">
        <v>48</v>
      </c>
      <c r="AS756" s="205" t="s">
        <v>48</v>
      </c>
      <c r="AT756" s="204" t="s">
        <v>48</v>
      </c>
      <c r="AU756" s="102" t="s">
        <v>48</v>
      </c>
      <c r="AV756" s="102" t="s">
        <v>48</v>
      </c>
      <c r="AW756" s="102" t="s">
        <v>48</v>
      </c>
      <c r="AX756" s="102" t="s">
        <v>48</v>
      </c>
      <c r="AY756" s="102" t="s">
        <v>48</v>
      </c>
      <c r="AZ756" s="205" t="s">
        <v>48</v>
      </c>
      <c r="BA756" s="206" t="s">
        <v>2759</v>
      </c>
      <c r="BB756" s="102" t="s">
        <v>82</v>
      </c>
      <c r="BC756" s="102" t="s">
        <v>2801</v>
      </c>
    </row>
    <row r="757" spans="1:55" s="239" customFormat="1" ht="75" hidden="1" customHeight="1">
      <c r="A757" s="102" t="s">
        <v>2336</v>
      </c>
      <c r="B757" s="102" t="s">
        <v>2010</v>
      </c>
      <c r="C757" s="224" t="s">
        <v>2739</v>
      </c>
      <c r="D757" s="102" t="s">
        <v>2740</v>
      </c>
      <c r="E757" s="203">
        <v>15000</v>
      </c>
      <c r="F757" s="204" t="s">
        <v>2740</v>
      </c>
      <c r="G757" s="102" t="s">
        <v>2740</v>
      </c>
      <c r="H757" s="102" t="s">
        <v>48</v>
      </c>
      <c r="I757" s="102" t="s">
        <v>48</v>
      </c>
      <c r="J757" s="102" t="s">
        <v>48</v>
      </c>
      <c r="K757" s="102" t="s">
        <v>48</v>
      </c>
      <c r="L757" s="102" t="s">
        <v>48</v>
      </c>
      <c r="M757" s="102" t="s">
        <v>48</v>
      </c>
      <c r="N757" s="206" t="s">
        <v>48</v>
      </c>
      <c r="O757" s="102" t="s">
        <v>48</v>
      </c>
      <c r="P757" s="206" t="s">
        <v>48</v>
      </c>
      <c r="Q757" s="102" t="s">
        <v>48</v>
      </c>
      <c r="R757" s="102" t="s">
        <v>48</v>
      </c>
      <c r="S757" s="102" t="s">
        <v>48</v>
      </c>
      <c r="T757" s="102" t="s">
        <v>48</v>
      </c>
      <c r="U757" s="102" t="s">
        <v>48</v>
      </c>
      <c r="V757" s="205" t="s">
        <v>48</v>
      </c>
      <c r="W757" s="204" t="s">
        <v>2740</v>
      </c>
      <c r="X757" s="102" t="s">
        <v>2740</v>
      </c>
      <c r="Y757" s="102" t="s">
        <v>48</v>
      </c>
      <c r="Z757" s="102" t="s">
        <v>48</v>
      </c>
      <c r="AA757" s="102" t="s">
        <v>48</v>
      </c>
      <c r="AB757" s="102" t="s">
        <v>48</v>
      </c>
      <c r="AC757" s="102" t="s">
        <v>48</v>
      </c>
      <c r="AD757" s="205" t="s">
        <v>48</v>
      </c>
      <c r="AE757" s="204" t="s">
        <v>48</v>
      </c>
      <c r="AF757" s="102" t="s">
        <v>48</v>
      </c>
      <c r="AG757" s="102" t="s">
        <v>48</v>
      </c>
      <c r="AH757" s="102" t="s">
        <v>48</v>
      </c>
      <c r="AI757" s="102" t="s">
        <v>48</v>
      </c>
      <c r="AJ757" s="102" t="s">
        <v>48</v>
      </c>
      <c r="AK757" s="205" t="s">
        <v>48</v>
      </c>
      <c r="AL757" s="204" t="s">
        <v>2740</v>
      </c>
      <c r="AM757" s="102" t="s">
        <v>2740</v>
      </c>
      <c r="AN757" s="102" t="s">
        <v>48</v>
      </c>
      <c r="AO757" s="102" t="s">
        <v>48</v>
      </c>
      <c r="AP757" s="102" t="s">
        <v>48</v>
      </c>
      <c r="AQ757" s="102" t="s">
        <v>48</v>
      </c>
      <c r="AR757" s="102" t="s">
        <v>48</v>
      </c>
      <c r="AS757" s="205" t="s">
        <v>48</v>
      </c>
      <c r="AT757" s="204" t="s">
        <v>48</v>
      </c>
      <c r="AU757" s="102" t="s">
        <v>48</v>
      </c>
      <c r="AV757" s="102" t="s">
        <v>48</v>
      </c>
      <c r="AW757" s="102" t="s">
        <v>48</v>
      </c>
      <c r="AX757" s="102" t="s">
        <v>48</v>
      </c>
      <c r="AY757" s="102" t="s">
        <v>48</v>
      </c>
      <c r="AZ757" s="205" t="s">
        <v>48</v>
      </c>
      <c r="BA757" s="206" t="s">
        <v>2759</v>
      </c>
      <c r="BB757" s="102" t="s">
        <v>82</v>
      </c>
      <c r="BC757" s="102" t="s">
        <v>2801</v>
      </c>
    </row>
    <row r="758" spans="1:55" s="239" customFormat="1" ht="75" hidden="1" customHeight="1">
      <c r="A758" s="102" t="s">
        <v>2336</v>
      </c>
      <c r="B758" s="102" t="s">
        <v>2010</v>
      </c>
      <c r="C758" s="224" t="s">
        <v>2739</v>
      </c>
      <c r="D758" s="102" t="s">
        <v>2804</v>
      </c>
      <c r="E758" s="203">
        <v>15000</v>
      </c>
      <c r="F758" s="204" t="s">
        <v>2804</v>
      </c>
      <c r="G758" s="102" t="s">
        <v>2804</v>
      </c>
      <c r="H758" s="102" t="s">
        <v>48</v>
      </c>
      <c r="I758" s="102" t="s">
        <v>48</v>
      </c>
      <c r="J758" s="102" t="s">
        <v>48</v>
      </c>
      <c r="K758" s="102" t="s">
        <v>48</v>
      </c>
      <c r="L758" s="102" t="s">
        <v>48</v>
      </c>
      <c r="M758" s="102" t="s">
        <v>48</v>
      </c>
      <c r="N758" s="206" t="s">
        <v>48</v>
      </c>
      <c r="O758" s="102" t="s">
        <v>48</v>
      </c>
      <c r="P758" s="206" t="s">
        <v>48</v>
      </c>
      <c r="Q758" s="102" t="s">
        <v>48</v>
      </c>
      <c r="R758" s="102" t="s">
        <v>48</v>
      </c>
      <c r="S758" s="102" t="s">
        <v>48</v>
      </c>
      <c r="T758" s="102" t="s">
        <v>48</v>
      </c>
      <c r="U758" s="102" t="s">
        <v>48</v>
      </c>
      <c r="V758" s="205" t="s">
        <v>48</v>
      </c>
      <c r="W758" s="204" t="s">
        <v>2804</v>
      </c>
      <c r="X758" s="102" t="s">
        <v>2804</v>
      </c>
      <c r="Y758" s="102" t="s">
        <v>48</v>
      </c>
      <c r="Z758" s="102" t="s">
        <v>48</v>
      </c>
      <c r="AA758" s="102" t="s">
        <v>48</v>
      </c>
      <c r="AB758" s="102" t="s">
        <v>48</v>
      </c>
      <c r="AC758" s="102" t="s">
        <v>48</v>
      </c>
      <c r="AD758" s="205" t="s">
        <v>48</v>
      </c>
      <c r="AE758" s="204" t="s">
        <v>48</v>
      </c>
      <c r="AF758" s="102" t="s">
        <v>48</v>
      </c>
      <c r="AG758" s="102" t="s">
        <v>48</v>
      </c>
      <c r="AH758" s="102" t="s">
        <v>48</v>
      </c>
      <c r="AI758" s="102" t="s">
        <v>48</v>
      </c>
      <c r="AJ758" s="102" t="s">
        <v>48</v>
      </c>
      <c r="AK758" s="205" t="s">
        <v>48</v>
      </c>
      <c r="AL758" s="204" t="s">
        <v>2804</v>
      </c>
      <c r="AM758" s="102" t="s">
        <v>2804</v>
      </c>
      <c r="AN758" s="102" t="s">
        <v>48</v>
      </c>
      <c r="AO758" s="102" t="s">
        <v>48</v>
      </c>
      <c r="AP758" s="102" t="s">
        <v>48</v>
      </c>
      <c r="AQ758" s="102" t="s">
        <v>48</v>
      </c>
      <c r="AR758" s="102" t="s">
        <v>48</v>
      </c>
      <c r="AS758" s="205" t="s">
        <v>48</v>
      </c>
      <c r="AT758" s="204" t="s">
        <v>48</v>
      </c>
      <c r="AU758" s="102" t="s">
        <v>48</v>
      </c>
      <c r="AV758" s="102" t="s">
        <v>48</v>
      </c>
      <c r="AW758" s="102" t="s">
        <v>48</v>
      </c>
      <c r="AX758" s="102" t="s">
        <v>48</v>
      </c>
      <c r="AY758" s="102" t="s">
        <v>48</v>
      </c>
      <c r="AZ758" s="205" t="s">
        <v>48</v>
      </c>
      <c r="BA758" s="206" t="s">
        <v>2759</v>
      </c>
      <c r="BB758" s="102" t="s">
        <v>82</v>
      </c>
      <c r="BC758" s="102" t="s">
        <v>2801</v>
      </c>
    </row>
    <row r="759" spans="1:55" s="239" customFormat="1" ht="75" hidden="1" customHeight="1">
      <c r="A759" s="102" t="s">
        <v>2748</v>
      </c>
      <c r="B759" s="102" t="s">
        <v>2749</v>
      </c>
      <c r="C759" s="224" t="s">
        <v>2739</v>
      </c>
      <c r="D759" s="102" t="s">
        <v>2740</v>
      </c>
      <c r="E759" s="203">
        <v>15000</v>
      </c>
      <c r="F759" s="204" t="s">
        <v>2740</v>
      </c>
      <c r="G759" s="102" t="s">
        <v>2740</v>
      </c>
      <c r="H759" s="102" t="s">
        <v>48</v>
      </c>
      <c r="I759" s="102" t="s">
        <v>48</v>
      </c>
      <c r="J759" s="102" t="s">
        <v>48</v>
      </c>
      <c r="K759" s="102" t="s">
        <v>48</v>
      </c>
      <c r="L759" s="102" t="s">
        <v>48</v>
      </c>
      <c r="M759" s="102" t="s">
        <v>48</v>
      </c>
      <c r="N759" s="206" t="s">
        <v>48</v>
      </c>
      <c r="O759" s="102" t="s">
        <v>48</v>
      </c>
      <c r="P759" s="206" t="s">
        <v>48</v>
      </c>
      <c r="Q759" s="102" t="s">
        <v>48</v>
      </c>
      <c r="R759" s="102" t="s">
        <v>48</v>
      </c>
      <c r="S759" s="102" t="s">
        <v>48</v>
      </c>
      <c r="T759" s="102" t="s">
        <v>48</v>
      </c>
      <c r="U759" s="102" t="s">
        <v>48</v>
      </c>
      <c r="V759" s="205" t="s">
        <v>48</v>
      </c>
      <c r="W759" s="204" t="s">
        <v>2740</v>
      </c>
      <c r="X759" s="102" t="s">
        <v>2740</v>
      </c>
      <c r="Y759" s="102" t="s">
        <v>48</v>
      </c>
      <c r="Z759" s="102" t="s">
        <v>48</v>
      </c>
      <c r="AA759" s="102" t="s">
        <v>48</v>
      </c>
      <c r="AB759" s="102" t="s">
        <v>48</v>
      </c>
      <c r="AC759" s="102" t="s">
        <v>48</v>
      </c>
      <c r="AD759" s="205" t="s">
        <v>48</v>
      </c>
      <c r="AE759" s="204" t="s">
        <v>48</v>
      </c>
      <c r="AF759" s="102" t="s">
        <v>48</v>
      </c>
      <c r="AG759" s="102" t="s">
        <v>48</v>
      </c>
      <c r="AH759" s="102" t="s">
        <v>48</v>
      </c>
      <c r="AI759" s="102" t="s">
        <v>48</v>
      </c>
      <c r="AJ759" s="102" t="s">
        <v>48</v>
      </c>
      <c r="AK759" s="205" t="s">
        <v>48</v>
      </c>
      <c r="AL759" s="204" t="s">
        <v>2740</v>
      </c>
      <c r="AM759" s="102" t="s">
        <v>2740</v>
      </c>
      <c r="AN759" s="102" t="s">
        <v>48</v>
      </c>
      <c r="AO759" s="102" t="s">
        <v>48</v>
      </c>
      <c r="AP759" s="102" t="s">
        <v>48</v>
      </c>
      <c r="AQ759" s="102" t="s">
        <v>48</v>
      </c>
      <c r="AR759" s="102" t="s">
        <v>48</v>
      </c>
      <c r="AS759" s="205" t="s">
        <v>48</v>
      </c>
      <c r="AT759" s="204" t="s">
        <v>48</v>
      </c>
      <c r="AU759" s="102" t="s">
        <v>48</v>
      </c>
      <c r="AV759" s="102" t="s">
        <v>48</v>
      </c>
      <c r="AW759" s="102" t="s">
        <v>48</v>
      </c>
      <c r="AX759" s="102" t="s">
        <v>48</v>
      </c>
      <c r="AY759" s="102" t="s">
        <v>48</v>
      </c>
      <c r="AZ759" s="205" t="s">
        <v>48</v>
      </c>
      <c r="BA759" s="206" t="s">
        <v>2759</v>
      </c>
      <c r="BB759" s="102" t="s">
        <v>82</v>
      </c>
      <c r="BC759" s="102" t="s">
        <v>2801</v>
      </c>
    </row>
    <row r="760" spans="1:55" s="239" customFormat="1" ht="75" hidden="1" customHeight="1">
      <c r="A760" s="102" t="s">
        <v>660</v>
      </c>
      <c r="B760" s="102" t="s">
        <v>2013</v>
      </c>
      <c r="C760" s="224" t="s">
        <v>2739</v>
      </c>
      <c r="D760" s="102" t="s">
        <v>2740</v>
      </c>
      <c r="E760" s="203">
        <v>15000</v>
      </c>
      <c r="F760" s="204" t="s">
        <v>2740</v>
      </c>
      <c r="G760" s="102" t="s">
        <v>2740</v>
      </c>
      <c r="H760" s="102" t="s">
        <v>48</v>
      </c>
      <c r="I760" s="102" t="s">
        <v>48</v>
      </c>
      <c r="J760" s="102" t="s">
        <v>48</v>
      </c>
      <c r="K760" s="102" t="s">
        <v>48</v>
      </c>
      <c r="L760" s="102" t="s">
        <v>48</v>
      </c>
      <c r="M760" s="102" t="s">
        <v>48</v>
      </c>
      <c r="N760" s="206" t="s">
        <v>48</v>
      </c>
      <c r="O760" s="102" t="s">
        <v>48</v>
      </c>
      <c r="P760" s="206" t="s">
        <v>48</v>
      </c>
      <c r="Q760" s="102" t="s">
        <v>48</v>
      </c>
      <c r="R760" s="102" t="s">
        <v>48</v>
      </c>
      <c r="S760" s="102" t="s">
        <v>48</v>
      </c>
      <c r="T760" s="102" t="s">
        <v>48</v>
      </c>
      <c r="U760" s="102" t="s">
        <v>48</v>
      </c>
      <c r="V760" s="205" t="s">
        <v>48</v>
      </c>
      <c r="W760" s="204" t="s">
        <v>2740</v>
      </c>
      <c r="X760" s="102" t="s">
        <v>2740</v>
      </c>
      <c r="Y760" s="102" t="s">
        <v>48</v>
      </c>
      <c r="Z760" s="102" t="s">
        <v>48</v>
      </c>
      <c r="AA760" s="102" t="s">
        <v>48</v>
      </c>
      <c r="AB760" s="102" t="s">
        <v>48</v>
      </c>
      <c r="AC760" s="102" t="s">
        <v>48</v>
      </c>
      <c r="AD760" s="205" t="s">
        <v>48</v>
      </c>
      <c r="AE760" s="204" t="s">
        <v>48</v>
      </c>
      <c r="AF760" s="102" t="s">
        <v>48</v>
      </c>
      <c r="AG760" s="102" t="s">
        <v>48</v>
      </c>
      <c r="AH760" s="102" t="s">
        <v>48</v>
      </c>
      <c r="AI760" s="102" t="s">
        <v>48</v>
      </c>
      <c r="AJ760" s="102" t="s">
        <v>48</v>
      </c>
      <c r="AK760" s="205" t="s">
        <v>48</v>
      </c>
      <c r="AL760" s="204" t="s">
        <v>2740</v>
      </c>
      <c r="AM760" s="102" t="s">
        <v>2740</v>
      </c>
      <c r="AN760" s="102" t="s">
        <v>48</v>
      </c>
      <c r="AO760" s="102" t="s">
        <v>48</v>
      </c>
      <c r="AP760" s="102" t="s">
        <v>48</v>
      </c>
      <c r="AQ760" s="102" t="s">
        <v>48</v>
      </c>
      <c r="AR760" s="102" t="s">
        <v>48</v>
      </c>
      <c r="AS760" s="205" t="s">
        <v>48</v>
      </c>
      <c r="AT760" s="204" t="s">
        <v>48</v>
      </c>
      <c r="AU760" s="102" t="s">
        <v>48</v>
      </c>
      <c r="AV760" s="102" t="s">
        <v>48</v>
      </c>
      <c r="AW760" s="102" t="s">
        <v>48</v>
      </c>
      <c r="AX760" s="102" t="s">
        <v>48</v>
      </c>
      <c r="AY760" s="102" t="s">
        <v>48</v>
      </c>
      <c r="AZ760" s="205" t="s">
        <v>48</v>
      </c>
      <c r="BA760" s="206" t="s">
        <v>2759</v>
      </c>
      <c r="BB760" s="102" t="s">
        <v>82</v>
      </c>
      <c r="BC760" s="102" t="s">
        <v>2801</v>
      </c>
    </row>
    <row r="761" spans="1:55" s="239" customFormat="1" ht="75" hidden="1" customHeight="1">
      <c r="A761" s="102" t="s">
        <v>41</v>
      </c>
      <c r="B761" s="102" t="s">
        <v>2018</v>
      </c>
      <c r="C761" s="224" t="s">
        <v>2739</v>
      </c>
      <c r="D761" s="102" t="s">
        <v>2740</v>
      </c>
      <c r="E761" s="203">
        <v>15000</v>
      </c>
      <c r="F761" s="204" t="s">
        <v>2740</v>
      </c>
      <c r="G761" s="102" t="s">
        <v>2740</v>
      </c>
      <c r="H761" s="102" t="s">
        <v>48</v>
      </c>
      <c r="I761" s="102" t="s">
        <v>48</v>
      </c>
      <c r="J761" s="102" t="s">
        <v>48</v>
      </c>
      <c r="K761" s="102" t="s">
        <v>48</v>
      </c>
      <c r="L761" s="102" t="s">
        <v>48</v>
      </c>
      <c r="M761" s="102" t="s">
        <v>48</v>
      </c>
      <c r="N761" s="206" t="s">
        <v>48</v>
      </c>
      <c r="O761" s="102" t="s">
        <v>48</v>
      </c>
      <c r="P761" s="206" t="s">
        <v>48</v>
      </c>
      <c r="Q761" s="102" t="s">
        <v>48</v>
      </c>
      <c r="R761" s="102" t="s">
        <v>48</v>
      </c>
      <c r="S761" s="102" t="s">
        <v>48</v>
      </c>
      <c r="T761" s="102" t="s">
        <v>48</v>
      </c>
      <c r="U761" s="102" t="s">
        <v>48</v>
      </c>
      <c r="V761" s="205" t="s">
        <v>48</v>
      </c>
      <c r="W761" s="204" t="s">
        <v>2740</v>
      </c>
      <c r="X761" s="102" t="s">
        <v>2740</v>
      </c>
      <c r="Y761" s="102" t="s">
        <v>48</v>
      </c>
      <c r="Z761" s="102" t="s">
        <v>48</v>
      </c>
      <c r="AA761" s="102" t="s">
        <v>48</v>
      </c>
      <c r="AB761" s="102" t="s">
        <v>48</v>
      </c>
      <c r="AC761" s="102" t="s">
        <v>48</v>
      </c>
      <c r="AD761" s="205" t="s">
        <v>48</v>
      </c>
      <c r="AE761" s="204" t="s">
        <v>48</v>
      </c>
      <c r="AF761" s="102" t="s">
        <v>48</v>
      </c>
      <c r="AG761" s="102" t="s">
        <v>48</v>
      </c>
      <c r="AH761" s="102" t="s">
        <v>48</v>
      </c>
      <c r="AI761" s="102" t="s">
        <v>48</v>
      </c>
      <c r="AJ761" s="102" t="s">
        <v>48</v>
      </c>
      <c r="AK761" s="205" t="s">
        <v>48</v>
      </c>
      <c r="AL761" s="204" t="s">
        <v>2740</v>
      </c>
      <c r="AM761" s="102" t="s">
        <v>2740</v>
      </c>
      <c r="AN761" s="102" t="s">
        <v>48</v>
      </c>
      <c r="AO761" s="102" t="s">
        <v>48</v>
      </c>
      <c r="AP761" s="102" t="s">
        <v>48</v>
      </c>
      <c r="AQ761" s="102" t="s">
        <v>48</v>
      </c>
      <c r="AR761" s="102" t="s">
        <v>48</v>
      </c>
      <c r="AS761" s="205" t="s">
        <v>48</v>
      </c>
      <c r="AT761" s="204" t="s">
        <v>48</v>
      </c>
      <c r="AU761" s="102" t="s">
        <v>48</v>
      </c>
      <c r="AV761" s="102" t="s">
        <v>48</v>
      </c>
      <c r="AW761" s="102" t="s">
        <v>48</v>
      </c>
      <c r="AX761" s="102" t="s">
        <v>48</v>
      </c>
      <c r="AY761" s="102" t="s">
        <v>48</v>
      </c>
      <c r="AZ761" s="205" t="s">
        <v>48</v>
      </c>
      <c r="BA761" s="206" t="s">
        <v>2759</v>
      </c>
      <c r="BB761" s="102" t="s">
        <v>82</v>
      </c>
      <c r="BC761" s="102" t="s">
        <v>2801</v>
      </c>
    </row>
    <row r="762" spans="1:55" s="239" customFormat="1" ht="75" hidden="1" customHeight="1">
      <c r="A762" s="102" t="s">
        <v>41</v>
      </c>
      <c r="B762" s="102" t="s">
        <v>2028</v>
      </c>
      <c r="C762" s="224" t="s">
        <v>2739</v>
      </c>
      <c r="D762" s="102" t="s">
        <v>2740</v>
      </c>
      <c r="E762" s="203">
        <v>15000</v>
      </c>
      <c r="F762" s="204" t="s">
        <v>2740</v>
      </c>
      <c r="G762" s="102" t="s">
        <v>2740</v>
      </c>
      <c r="H762" s="102" t="s">
        <v>48</v>
      </c>
      <c r="I762" s="102" t="s">
        <v>48</v>
      </c>
      <c r="J762" s="102" t="s">
        <v>48</v>
      </c>
      <c r="K762" s="102" t="s">
        <v>48</v>
      </c>
      <c r="L762" s="102" t="s">
        <v>48</v>
      </c>
      <c r="M762" s="102" t="s">
        <v>48</v>
      </c>
      <c r="N762" s="206" t="s">
        <v>48</v>
      </c>
      <c r="O762" s="102" t="s">
        <v>48</v>
      </c>
      <c r="P762" s="206" t="s">
        <v>48</v>
      </c>
      <c r="Q762" s="102" t="s">
        <v>48</v>
      </c>
      <c r="R762" s="102" t="s">
        <v>48</v>
      </c>
      <c r="S762" s="102" t="s">
        <v>48</v>
      </c>
      <c r="T762" s="102" t="s">
        <v>48</v>
      </c>
      <c r="U762" s="102" t="s">
        <v>48</v>
      </c>
      <c r="V762" s="205" t="s">
        <v>48</v>
      </c>
      <c r="W762" s="204" t="s">
        <v>2740</v>
      </c>
      <c r="X762" s="102" t="s">
        <v>2740</v>
      </c>
      <c r="Y762" s="102" t="s">
        <v>48</v>
      </c>
      <c r="Z762" s="102" t="s">
        <v>48</v>
      </c>
      <c r="AA762" s="102" t="s">
        <v>48</v>
      </c>
      <c r="AB762" s="102" t="s">
        <v>48</v>
      </c>
      <c r="AC762" s="102" t="s">
        <v>48</v>
      </c>
      <c r="AD762" s="205" t="s">
        <v>48</v>
      </c>
      <c r="AE762" s="204" t="s">
        <v>48</v>
      </c>
      <c r="AF762" s="102" t="s">
        <v>48</v>
      </c>
      <c r="AG762" s="102" t="s">
        <v>48</v>
      </c>
      <c r="AH762" s="102" t="s">
        <v>48</v>
      </c>
      <c r="AI762" s="102" t="s">
        <v>48</v>
      </c>
      <c r="AJ762" s="102" t="s">
        <v>48</v>
      </c>
      <c r="AK762" s="205" t="s">
        <v>48</v>
      </c>
      <c r="AL762" s="204" t="s">
        <v>2740</v>
      </c>
      <c r="AM762" s="102" t="s">
        <v>2740</v>
      </c>
      <c r="AN762" s="102" t="s">
        <v>48</v>
      </c>
      <c r="AO762" s="102" t="s">
        <v>48</v>
      </c>
      <c r="AP762" s="102" t="s">
        <v>48</v>
      </c>
      <c r="AQ762" s="102" t="s">
        <v>48</v>
      </c>
      <c r="AR762" s="102" t="s">
        <v>48</v>
      </c>
      <c r="AS762" s="205" t="s">
        <v>48</v>
      </c>
      <c r="AT762" s="204" t="s">
        <v>48</v>
      </c>
      <c r="AU762" s="102" t="s">
        <v>48</v>
      </c>
      <c r="AV762" s="102" t="s">
        <v>48</v>
      </c>
      <c r="AW762" s="102" t="s">
        <v>48</v>
      </c>
      <c r="AX762" s="102" t="s">
        <v>48</v>
      </c>
      <c r="AY762" s="102" t="s">
        <v>48</v>
      </c>
      <c r="AZ762" s="205" t="s">
        <v>48</v>
      </c>
      <c r="BA762" s="206" t="s">
        <v>2759</v>
      </c>
      <c r="BB762" s="102" t="s">
        <v>82</v>
      </c>
      <c r="BC762" s="102" t="s">
        <v>2801</v>
      </c>
    </row>
    <row r="763" spans="1:55" s="244" customFormat="1" ht="75" customHeight="1">
      <c r="A763" s="7" t="s">
        <v>2623</v>
      </c>
      <c r="B763" s="115" t="s">
        <v>2817</v>
      </c>
      <c r="C763" s="7" t="s">
        <v>2617</v>
      </c>
      <c r="D763" s="7" t="s">
        <v>2621</v>
      </c>
      <c r="E763" s="240">
        <v>15000</v>
      </c>
      <c r="F763" s="7" t="s">
        <v>2621</v>
      </c>
      <c r="G763" s="7" t="s">
        <v>2621</v>
      </c>
      <c r="H763" s="7" t="s">
        <v>48</v>
      </c>
      <c r="I763" s="7" t="s">
        <v>1908</v>
      </c>
      <c r="J763" s="7" t="s">
        <v>48</v>
      </c>
      <c r="K763" s="7" t="s">
        <v>48</v>
      </c>
      <c r="L763" s="7" t="s">
        <v>48</v>
      </c>
      <c r="M763" s="7" t="s">
        <v>2820</v>
      </c>
      <c r="N763" s="241" t="s">
        <v>48</v>
      </c>
      <c r="O763" s="7" t="s">
        <v>48</v>
      </c>
      <c r="P763" s="241" t="s">
        <v>48</v>
      </c>
      <c r="Q763" s="7" t="s">
        <v>48</v>
      </c>
      <c r="R763" s="7" t="s">
        <v>48</v>
      </c>
      <c r="S763" s="7" t="s">
        <v>48</v>
      </c>
      <c r="T763" s="7" t="s">
        <v>48</v>
      </c>
      <c r="U763" s="7" t="s">
        <v>48</v>
      </c>
      <c r="V763" s="242" t="s">
        <v>2624</v>
      </c>
      <c r="W763" s="7" t="s">
        <v>2747</v>
      </c>
      <c r="X763" s="7" t="s">
        <v>2621</v>
      </c>
      <c r="Y763" s="7" t="s">
        <v>48</v>
      </c>
      <c r="Z763" s="7" t="s">
        <v>48</v>
      </c>
      <c r="AA763" s="7" t="s">
        <v>48</v>
      </c>
      <c r="AB763" s="7" t="s">
        <v>48</v>
      </c>
      <c r="AC763" s="7" t="s">
        <v>48</v>
      </c>
      <c r="AD763" s="242" t="s">
        <v>2624</v>
      </c>
      <c r="AE763" s="243" t="s">
        <v>48</v>
      </c>
      <c r="AF763" s="7" t="s">
        <v>48</v>
      </c>
      <c r="AG763" s="7" t="s">
        <v>48</v>
      </c>
      <c r="AH763" s="7" t="s">
        <v>48</v>
      </c>
      <c r="AI763" s="7" t="s">
        <v>48</v>
      </c>
      <c r="AJ763" s="7" t="s">
        <v>48</v>
      </c>
      <c r="AK763" s="242" t="s">
        <v>48</v>
      </c>
      <c r="AL763" s="7" t="s">
        <v>2621</v>
      </c>
      <c r="AM763" s="7" t="s">
        <v>2621</v>
      </c>
      <c r="AN763" s="7" t="s">
        <v>48</v>
      </c>
      <c r="AO763" s="7" t="s">
        <v>48</v>
      </c>
      <c r="AP763" s="7" t="s">
        <v>48</v>
      </c>
      <c r="AQ763" s="7" t="s">
        <v>48</v>
      </c>
      <c r="AR763" s="7" t="s">
        <v>48</v>
      </c>
      <c r="AS763" s="242" t="s">
        <v>2624</v>
      </c>
      <c r="AT763" s="243" t="s">
        <v>48</v>
      </c>
      <c r="AU763" s="7" t="s">
        <v>48</v>
      </c>
      <c r="AV763" s="7" t="s">
        <v>48</v>
      </c>
      <c r="AW763" s="7" t="s">
        <v>48</v>
      </c>
      <c r="AX763" s="7" t="s">
        <v>48</v>
      </c>
      <c r="AY763" s="7" t="s">
        <v>48</v>
      </c>
      <c r="AZ763" s="242" t="s">
        <v>48</v>
      </c>
      <c r="BA763" s="241" t="s">
        <v>2903</v>
      </c>
      <c r="BB763" s="7" t="s">
        <v>677</v>
      </c>
      <c r="BC763" s="7" t="s">
        <v>2620</v>
      </c>
    </row>
    <row r="764" spans="1:55" s="244" customFormat="1" ht="75" customHeight="1">
      <c r="A764" s="7" t="s">
        <v>2623</v>
      </c>
      <c r="B764" s="115" t="s">
        <v>2819</v>
      </c>
      <c r="C764" s="7" t="s">
        <v>2617</v>
      </c>
      <c r="D764" s="7" t="s">
        <v>2621</v>
      </c>
      <c r="E764" s="240">
        <v>15000</v>
      </c>
      <c r="F764" s="7" t="s">
        <v>2621</v>
      </c>
      <c r="G764" s="7" t="s">
        <v>2621</v>
      </c>
      <c r="H764" s="7" t="s">
        <v>48</v>
      </c>
      <c r="I764" s="7" t="s">
        <v>1908</v>
      </c>
      <c r="J764" s="7" t="s">
        <v>48</v>
      </c>
      <c r="K764" s="7" t="s">
        <v>48</v>
      </c>
      <c r="L764" s="7" t="s">
        <v>48</v>
      </c>
      <c r="M764" s="7" t="s">
        <v>2624</v>
      </c>
      <c r="N764" s="241" t="s">
        <v>48</v>
      </c>
      <c r="O764" s="7" t="s">
        <v>48</v>
      </c>
      <c r="P764" s="241" t="s">
        <v>48</v>
      </c>
      <c r="Q764" s="7" t="s">
        <v>48</v>
      </c>
      <c r="R764" s="7" t="s">
        <v>48</v>
      </c>
      <c r="S764" s="7" t="s">
        <v>48</v>
      </c>
      <c r="T764" s="7" t="s">
        <v>48</v>
      </c>
      <c r="U764" s="7" t="s">
        <v>48</v>
      </c>
      <c r="V764" s="242" t="s">
        <v>2624</v>
      </c>
      <c r="W764" s="7" t="s">
        <v>2747</v>
      </c>
      <c r="X764" s="7" t="s">
        <v>2621</v>
      </c>
      <c r="Y764" s="7" t="s">
        <v>48</v>
      </c>
      <c r="Z764" s="7" t="s">
        <v>48</v>
      </c>
      <c r="AA764" s="7" t="s">
        <v>48</v>
      </c>
      <c r="AB764" s="7" t="s">
        <v>48</v>
      </c>
      <c r="AC764" s="7" t="s">
        <v>48</v>
      </c>
      <c r="AD764" s="242" t="s">
        <v>2624</v>
      </c>
      <c r="AE764" s="243" t="s">
        <v>48</v>
      </c>
      <c r="AF764" s="7" t="s">
        <v>48</v>
      </c>
      <c r="AG764" s="7" t="s">
        <v>48</v>
      </c>
      <c r="AH764" s="7" t="s">
        <v>48</v>
      </c>
      <c r="AI764" s="7" t="s">
        <v>48</v>
      </c>
      <c r="AJ764" s="7" t="s">
        <v>48</v>
      </c>
      <c r="AK764" s="242" t="s">
        <v>48</v>
      </c>
      <c r="AL764" s="7" t="s">
        <v>2621</v>
      </c>
      <c r="AM764" s="7" t="s">
        <v>2621</v>
      </c>
      <c r="AN764" s="7" t="s">
        <v>48</v>
      </c>
      <c r="AO764" s="7" t="s">
        <v>48</v>
      </c>
      <c r="AP764" s="7" t="s">
        <v>48</v>
      </c>
      <c r="AQ764" s="7" t="s">
        <v>48</v>
      </c>
      <c r="AR764" s="7" t="s">
        <v>48</v>
      </c>
      <c r="AS764" s="242" t="s">
        <v>2624</v>
      </c>
      <c r="AT764" s="243" t="s">
        <v>48</v>
      </c>
      <c r="AU764" s="7" t="s">
        <v>48</v>
      </c>
      <c r="AV764" s="7" t="s">
        <v>48</v>
      </c>
      <c r="AW764" s="7" t="s">
        <v>48</v>
      </c>
      <c r="AX764" s="7" t="s">
        <v>48</v>
      </c>
      <c r="AY764" s="7" t="s">
        <v>48</v>
      </c>
      <c r="AZ764" s="242" t="s">
        <v>48</v>
      </c>
      <c r="BA764" s="241" t="s">
        <v>2903</v>
      </c>
      <c r="BB764" s="7" t="s">
        <v>677</v>
      </c>
      <c r="BC764" s="7" t="s">
        <v>2620</v>
      </c>
    </row>
    <row r="765" spans="1:55" s="239" customFormat="1" ht="75" customHeight="1">
      <c r="A765" s="102" t="s">
        <v>1118</v>
      </c>
      <c r="B765" s="102" t="s">
        <v>2030</v>
      </c>
      <c r="C765" s="224" t="s">
        <v>2739</v>
      </c>
      <c r="D765" s="102" t="s">
        <v>2740</v>
      </c>
      <c r="E765" s="203">
        <v>15000</v>
      </c>
      <c r="F765" s="204" t="s">
        <v>2740</v>
      </c>
      <c r="G765" s="102" t="s">
        <v>2740</v>
      </c>
      <c r="H765" s="102" t="s">
        <v>48</v>
      </c>
      <c r="I765" s="102" t="s">
        <v>48</v>
      </c>
      <c r="J765" s="102" t="s">
        <v>48</v>
      </c>
      <c r="K765" s="102" t="s">
        <v>48</v>
      </c>
      <c r="L765" s="102" t="s">
        <v>48</v>
      </c>
      <c r="M765" s="102" t="s">
        <v>48</v>
      </c>
      <c r="N765" s="206" t="s">
        <v>48</v>
      </c>
      <c r="O765" s="102" t="s">
        <v>48</v>
      </c>
      <c r="P765" s="206" t="s">
        <v>48</v>
      </c>
      <c r="Q765" s="102" t="s">
        <v>48</v>
      </c>
      <c r="R765" s="102" t="s">
        <v>48</v>
      </c>
      <c r="S765" s="102" t="s">
        <v>48</v>
      </c>
      <c r="T765" s="102" t="s">
        <v>48</v>
      </c>
      <c r="U765" s="102" t="s">
        <v>48</v>
      </c>
      <c r="V765" s="205" t="s">
        <v>48</v>
      </c>
      <c r="W765" s="204" t="s">
        <v>2740</v>
      </c>
      <c r="X765" s="102" t="s">
        <v>2740</v>
      </c>
      <c r="Y765" s="102" t="s">
        <v>48</v>
      </c>
      <c r="Z765" s="102" t="s">
        <v>48</v>
      </c>
      <c r="AA765" s="102" t="s">
        <v>48</v>
      </c>
      <c r="AB765" s="102" t="s">
        <v>48</v>
      </c>
      <c r="AC765" s="102" t="s">
        <v>48</v>
      </c>
      <c r="AD765" s="205" t="s">
        <v>48</v>
      </c>
      <c r="AE765" s="204" t="s">
        <v>48</v>
      </c>
      <c r="AF765" s="102" t="s">
        <v>48</v>
      </c>
      <c r="AG765" s="102" t="s">
        <v>48</v>
      </c>
      <c r="AH765" s="102" t="s">
        <v>48</v>
      </c>
      <c r="AI765" s="102" t="s">
        <v>48</v>
      </c>
      <c r="AJ765" s="102" t="s">
        <v>48</v>
      </c>
      <c r="AK765" s="205" t="s">
        <v>48</v>
      </c>
      <c r="AL765" s="204" t="s">
        <v>2740</v>
      </c>
      <c r="AM765" s="102" t="s">
        <v>2740</v>
      </c>
      <c r="AN765" s="102" t="s">
        <v>48</v>
      </c>
      <c r="AO765" s="102" t="s">
        <v>48</v>
      </c>
      <c r="AP765" s="102" t="s">
        <v>48</v>
      </c>
      <c r="AQ765" s="102" t="s">
        <v>48</v>
      </c>
      <c r="AR765" s="102" t="s">
        <v>48</v>
      </c>
      <c r="AS765" s="205" t="s">
        <v>48</v>
      </c>
      <c r="AT765" s="204" t="s">
        <v>48</v>
      </c>
      <c r="AU765" s="102" t="s">
        <v>48</v>
      </c>
      <c r="AV765" s="102" t="s">
        <v>48</v>
      </c>
      <c r="AW765" s="102" t="s">
        <v>48</v>
      </c>
      <c r="AX765" s="102" t="s">
        <v>48</v>
      </c>
      <c r="AY765" s="102" t="s">
        <v>48</v>
      </c>
      <c r="AZ765" s="205" t="s">
        <v>48</v>
      </c>
      <c r="BA765" s="206" t="s">
        <v>2759</v>
      </c>
      <c r="BB765" s="102" t="s">
        <v>82</v>
      </c>
      <c r="BC765" s="102" t="s">
        <v>2801</v>
      </c>
    </row>
    <row r="766" spans="1:55" s="239" customFormat="1" ht="75" hidden="1" customHeight="1">
      <c r="A766" s="102" t="s">
        <v>2791</v>
      </c>
      <c r="B766" s="102" t="s">
        <v>2014</v>
      </c>
      <c r="C766" s="224" t="s">
        <v>2739</v>
      </c>
      <c r="D766" s="102" t="s">
        <v>2742</v>
      </c>
      <c r="E766" s="203">
        <v>15000</v>
      </c>
      <c r="F766" s="204" t="s">
        <v>2742</v>
      </c>
      <c r="G766" s="102" t="s">
        <v>2742</v>
      </c>
      <c r="H766" s="102" t="s">
        <v>48</v>
      </c>
      <c r="I766" s="102" t="s">
        <v>48</v>
      </c>
      <c r="J766" s="102" t="s">
        <v>48</v>
      </c>
      <c r="K766" s="102" t="s">
        <v>48</v>
      </c>
      <c r="L766" s="102" t="s">
        <v>48</v>
      </c>
      <c r="M766" s="102" t="s">
        <v>48</v>
      </c>
      <c r="N766" s="206" t="s">
        <v>48</v>
      </c>
      <c r="O766" s="102" t="s">
        <v>48</v>
      </c>
      <c r="P766" s="206" t="s">
        <v>48</v>
      </c>
      <c r="Q766" s="102" t="s">
        <v>48</v>
      </c>
      <c r="R766" s="102" t="s">
        <v>48</v>
      </c>
      <c r="S766" s="102" t="s">
        <v>48</v>
      </c>
      <c r="T766" s="102" t="s">
        <v>48</v>
      </c>
      <c r="U766" s="102" t="s">
        <v>48</v>
      </c>
      <c r="V766" s="205" t="s">
        <v>48</v>
      </c>
      <c r="W766" s="204" t="s">
        <v>2742</v>
      </c>
      <c r="X766" s="102" t="s">
        <v>2742</v>
      </c>
      <c r="Y766" s="102" t="s">
        <v>48</v>
      </c>
      <c r="Z766" s="102" t="s">
        <v>48</v>
      </c>
      <c r="AA766" s="102" t="s">
        <v>48</v>
      </c>
      <c r="AB766" s="102" t="s">
        <v>48</v>
      </c>
      <c r="AC766" s="102" t="s">
        <v>48</v>
      </c>
      <c r="AD766" s="205" t="s">
        <v>48</v>
      </c>
      <c r="AE766" s="204" t="s">
        <v>48</v>
      </c>
      <c r="AF766" s="102" t="s">
        <v>48</v>
      </c>
      <c r="AG766" s="102" t="s">
        <v>48</v>
      </c>
      <c r="AH766" s="102" t="s">
        <v>48</v>
      </c>
      <c r="AI766" s="102" t="s">
        <v>48</v>
      </c>
      <c r="AJ766" s="102" t="s">
        <v>48</v>
      </c>
      <c r="AK766" s="205" t="s">
        <v>48</v>
      </c>
      <c r="AL766" s="204" t="s">
        <v>2742</v>
      </c>
      <c r="AM766" s="102" t="s">
        <v>2742</v>
      </c>
      <c r="AN766" s="102" t="s">
        <v>48</v>
      </c>
      <c r="AO766" s="102" t="s">
        <v>48</v>
      </c>
      <c r="AP766" s="102" t="s">
        <v>48</v>
      </c>
      <c r="AQ766" s="102" t="s">
        <v>48</v>
      </c>
      <c r="AR766" s="102" t="s">
        <v>48</v>
      </c>
      <c r="AS766" s="205" t="s">
        <v>48</v>
      </c>
      <c r="AT766" s="204" t="s">
        <v>48</v>
      </c>
      <c r="AU766" s="102" t="s">
        <v>48</v>
      </c>
      <c r="AV766" s="102" t="s">
        <v>48</v>
      </c>
      <c r="AW766" s="102" t="s">
        <v>48</v>
      </c>
      <c r="AX766" s="102" t="s">
        <v>48</v>
      </c>
      <c r="AY766" s="102" t="s">
        <v>48</v>
      </c>
      <c r="AZ766" s="205" t="s">
        <v>48</v>
      </c>
      <c r="BA766" s="206" t="s">
        <v>2759</v>
      </c>
      <c r="BB766" s="102" t="s">
        <v>82</v>
      </c>
      <c r="BC766" s="102" t="s">
        <v>2801</v>
      </c>
    </row>
    <row r="767" spans="1:55" s="239" customFormat="1" ht="75" hidden="1" customHeight="1">
      <c r="A767" s="102" t="s">
        <v>660</v>
      </c>
      <c r="B767" s="102" t="s">
        <v>2013</v>
      </c>
      <c r="C767" s="224" t="s">
        <v>2739</v>
      </c>
      <c r="D767" s="102" t="s">
        <v>2789</v>
      </c>
      <c r="E767" s="203">
        <v>15000</v>
      </c>
      <c r="F767" s="204" t="s">
        <v>2789</v>
      </c>
      <c r="G767" s="102" t="s">
        <v>2789</v>
      </c>
      <c r="H767" s="102" t="s">
        <v>48</v>
      </c>
      <c r="I767" s="102" t="s">
        <v>48</v>
      </c>
      <c r="J767" s="102" t="s">
        <v>48</v>
      </c>
      <c r="K767" s="102" t="s">
        <v>48</v>
      </c>
      <c r="L767" s="102" t="s">
        <v>48</v>
      </c>
      <c r="M767" s="102" t="s">
        <v>48</v>
      </c>
      <c r="N767" s="206" t="s">
        <v>48</v>
      </c>
      <c r="O767" s="102" t="s">
        <v>48</v>
      </c>
      <c r="P767" s="206" t="s">
        <v>48</v>
      </c>
      <c r="Q767" s="102" t="s">
        <v>48</v>
      </c>
      <c r="R767" s="102" t="s">
        <v>48</v>
      </c>
      <c r="S767" s="102" t="s">
        <v>48</v>
      </c>
      <c r="T767" s="102" t="s">
        <v>48</v>
      </c>
      <c r="U767" s="102" t="s">
        <v>48</v>
      </c>
      <c r="V767" s="205" t="s">
        <v>48</v>
      </c>
      <c r="W767" s="204" t="s">
        <v>2789</v>
      </c>
      <c r="X767" s="102" t="s">
        <v>2789</v>
      </c>
      <c r="Y767" s="102" t="s">
        <v>48</v>
      </c>
      <c r="Z767" s="102" t="s">
        <v>48</v>
      </c>
      <c r="AA767" s="102" t="s">
        <v>48</v>
      </c>
      <c r="AB767" s="102" t="s">
        <v>48</v>
      </c>
      <c r="AC767" s="102" t="s">
        <v>48</v>
      </c>
      <c r="AD767" s="205" t="s">
        <v>48</v>
      </c>
      <c r="AE767" s="204" t="s">
        <v>48</v>
      </c>
      <c r="AF767" s="102" t="s">
        <v>48</v>
      </c>
      <c r="AG767" s="102" t="s">
        <v>48</v>
      </c>
      <c r="AH767" s="102" t="s">
        <v>48</v>
      </c>
      <c r="AI767" s="102" t="s">
        <v>48</v>
      </c>
      <c r="AJ767" s="102" t="s">
        <v>48</v>
      </c>
      <c r="AK767" s="205" t="s">
        <v>48</v>
      </c>
      <c r="AL767" s="204" t="s">
        <v>2789</v>
      </c>
      <c r="AM767" s="102" t="s">
        <v>2789</v>
      </c>
      <c r="AN767" s="102" t="s">
        <v>48</v>
      </c>
      <c r="AO767" s="102" t="s">
        <v>48</v>
      </c>
      <c r="AP767" s="102" t="s">
        <v>48</v>
      </c>
      <c r="AQ767" s="102" t="s">
        <v>48</v>
      </c>
      <c r="AR767" s="102" t="s">
        <v>48</v>
      </c>
      <c r="AS767" s="205" t="s">
        <v>48</v>
      </c>
      <c r="AT767" s="204" t="s">
        <v>48</v>
      </c>
      <c r="AU767" s="102" t="s">
        <v>48</v>
      </c>
      <c r="AV767" s="102" t="s">
        <v>48</v>
      </c>
      <c r="AW767" s="102" t="s">
        <v>48</v>
      </c>
      <c r="AX767" s="102" t="s">
        <v>48</v>
      </c>
      <c r="AY767" s="102" t="s">
        <v>48</v>
      </c>
      <c r="AZ767" s="205" t="s">
        <v>48</v>
      </c>
      <c r="BA767" s="206" t="s">
        <v>2759</v>
      </c>
      <c r="BB767" s="102" t="s">
        <v>82</v>
      </c>
      <c r="BC767" s="102" t="s">
        <v>2801</v>
      </c>
    </row>
    <row r="768" spans="1:55" s="239" customFormat="1" ht="75" hidden="1" customHeight="1">
      <c r="A768" s="102" t="s">
        <v>1115</v>
      </c>
      <c r="B768" s="102" t="s">
        <v>2030</v>
      </c>
      <c r="C768" s="224" t="s">
        <v>2739</v>
      </c>
      <c r="D768" s="102" t="s">
        <v>2740</v>
      </c>
      <c r="E768" s="203">
        <v>15000</v>
      </c>
      <c r="F768" s="204" t="s">
        <v>2740</v>
      </c>
      <c r="G768" s="102" t="s">
        <v>2740</v>
      </c>
      <c r="H768" s="102" t="s">
        <v>48</v>
      </c>
      <c r="I768" s="102" t="s">
        <v>48</v>
      </c>
      <c r="J768" s="102" t="s">
        <v>48</v>
      </c>
      <c r="K768" s="102" t="s">
        <v>48</v>
      </c>
      <c r="L768" s="102" t="s">
        <v>48</v>
      </c>
      <c r="M768" s="102" t="s">
        <v>48</v>
      </c>
      <c r="N768" s="206" t="s">
        <v>48</v>
      </c>
      <c r="O768" s="102" t="s">
        <v>48</v>
      </c>
      <c r="P768" s="206" t="s">
        <v>48</v>
      </c>
      <c r="Q768" s="102" t="s">
        <v>48</v>
      </c>
      <c r="R768" s="102" t="s">
        <v>48</v>
      </c>
      <c r="S768" s="102" t="s">
        <v>48</v>
      </c>
      <c r="T768" s="102" t="s">
        <v>48</v>
      </c>
      <c r="U768" s="102" t="s">
        <v>48</v>
      </c>
      <c r="V768" s="205" t="s">
        <v>48</v>
      </c>
      <c r="W768" s="204" t="s">
        <v>2740</v>
      </c>
      <c r="X768" s="102" t="s">
        <v>2740</v>
      </c>
      <c r="Y768" s="102" t="s">
        <v>48</v>
      </c>
      <c r="Z768" s="102" t="s">
        <v>48</v>
      </c>
      <c r="AA768" s="102" t="s">
        <v>48</v>
      </c>
      <c r="AB768" s="102" t="s">
        <v>48</v>
      </c>
      <c r="AC768" s="102" t="s">
        <v>48</v>
      </c>
      <c r="AD768" s="205" t="s">
        <v>48</v>
      </c>
      <c r="AE768" s="204" t="s">
        <v>48</v>
      </c>
      <c r="AF768" s="102" t="s">
        <v>48</v>
      </c>
      <c r="AG768" s="102" t="s">
        <v>48</v>
      </c>
      <c r="AH768" s="102" t="s">
        <v>48</v>
      </c>
      <c r="AI768" s="102" t="s">
        <v>48</v>
      </c>
      <c r="AJ768" s="102" t="s">
        <v>48</v>
      </c>
      <c r="AK768" s="205" t="s">
        <v>48</v>
      </c>
      <c r="AL768" s="204" t="s">
        <v>2740</v>
      </c>
      <c r="AM768" s="102" t="s">
        <v>2740</v>
      </c>
      <c r="AN768" s="102" t="s">
        <v>48</v>
      </c>
      <c r="AO768" s="102" t="s">
        <v>48</v>
      </c>
      <c r="AP768" s="102" t="s">
        <v>48</v>
      </c>
      <c r="AQ768" s="102" t="s">
        <v>48</v>
      </c>
      <c r="AR768" s="102" t="s">
        <v>48</v>
      </c>
      <c r="AS768" s="205" t="s">
        <v>48</v>
      </c>
      <c r="AT768" s="204" t="s">
        <v>48</v>
      </c>
      <c r="AU768" s="102" t="s">
        <v>48</v>
      </c>
      <c r="AV768" s="102" t="s">
        <v>48</v>
      </c>
      <c r="AW768" s="102" t="s">
        <v>48</v>
      </c>
      <c r="AX768" s="102" t="s">
        <v>48</v>
      </c>
      <c r="AY768" s="102" t="s">
        <v>48</v>
      </c>
      <c r="AZ768" s="205" t="s">
        <v>48</v>
      </c>
      <c r="BA768" s="206" t="s">
        <v>2759</v>
      </c>
      <c r="BB768" s="102" t="s">
        <v>82</v>
      </c>
      <c r="BC768" s="102" t="s">
        <v>2801</v>
      </c>
    </row>
    <row r="769" spans="1:55" s="239" customFormat="1" ht="75" hidden="1" customHeight="1">
      <c r="A769" s="102" t="s">
        <v>2750</v>
      </c>
      <c r="B769" s="102" t="s">
        <v>2751</v>
      </c>
      <c r="C769" s="224" t="s">
        <v>2739</v>
      </c>
      <c r="D769" s="102" t="s">
        <v>2743</v>
      </c>
      <c r="E769" s="203">
        <v>15000</v>
      </c>
      <c r="F769" s="204" t="s">
        <v>2743</v>
      </c>
      <c r="G769" s="102" t="s">
        <v>2743</v>
      </c>
      <c r="H769" s="102" t="s">
        <v>48</v>
      </c>
      <c r="I769" s="102" t="s">
        <v>48</v>
      </c>
      <c r="J769" s="102" t="s">
        <v>48</v>
      </c>
      <c r="K769" s="102" t="s">
        <v>48</v>
      </c>
      <c r="L769" s="102" t="s">
        <v>48</v>
      </c>
      <c r="M769" s="102" t="s">
        <v>48</v>
      </c>
      <c r="N769" s="206" t="s">
        <v>48</v>
      </c>
      <c r="O769" s="102" t="s">
        <v>48</v>
      </c>
      <c r="P769" s="206" t="s">
        <v>48</v>
      </c>
      <c r="Q769" s="102" t="s">
        <v>48</v>
      </c>
      <c r="R769" s="102" t="s">
        <v>48</v>
      </c>
      <c r="S769" s="102" t="s">
        <v>48</v>
      </c>
      <c r="T769" s="102" t="s">
        <v>48</v>
      </c>
      <c r="U769" s="102" t="s">
        <v>48</v>
      </c>
      <c r="V769" s="205" t="s">
        <v>48</v>
      </c>
      <c r="W769" s="204" t="s">
        <v>2743</v>
      </c>
      <c r="X769" s="102" t="s">
        <v>2743</v>
      </c>
      <c r="Y769" s="102" t="s">
        <v>48</v>
      </c>
      <c r="Z769" s="102" t="s">
        <v>48</v>
      </c>
      <c r="AA769" s="102" t="s">
        <v>48</v>
      </c>
      <c r="AB769" s="102" t="s">
        <v>48</v>
      </c>
      <c r="AC769" s="102" t="s">
        <v>48</v>
      </c>
      <c r="AD769" s="205" t="s">
        <v>48</v>
      </c>
      <c r="AE769" s="204" t="s">
        <v>48</v>
      </c>
      <c r="AF769" s="102" t="s">
        <v>48</v>
      </c>
      <c r="AG769" s="102" t="s">
        <v>48</v>
      </c>
      <c r="AH769" s="102" t="s">
        <v>48</v>
      </c>
      <c r="AI769" s="102" t="s">
        <v>48</v>
      </c>
      <c r="AJ769" s="102" t="s">
        <v>48</v>
      </c>
      <c r="AK769" s="205" t="s">
        <v>48</v>
      </c>
      <c r="AL769" s="204" t="s">
        <v>2743</v>
      </c>
      <c r="AM769" s="102" t="s">
        <v>2743</v>
      </c>
      <c r="AN769" s="102" t="s">
        <v>48</v>
      </c>
      <c r="AO769" s="102" t="s">
        <v>48</v>
      </c>
      <c r="AP769" s="102" t="s">
        <v>48</v>
      </c>
      <c r="AQ769" s="102" t="s">
        <v>48</v>
      </c>
      <c r="AR769" s="102" t="s">
        <v>48</v>
      </c>
      <c r="AS769" s="205" t="s">
        <v>48</v>
      </c>
      <c r="AT769" s="204" t="s">
        <v>48</v>
      </c>
      <c r="AU769" s="102" t="s">
        <v>48</v>
      </c>
      <c r="AV769" s="102" t="s">
        <v>48</v>
      </c>
      <c r="AW769" s="102" t="s">
        <v>48</v>
      </c>
      <c r="AX769" s="102" t="s">
        <v>48</v>
      </c>
      <c r="AY769" s="102" t="s">
        <v>48</v>
      </c>
      <c r="AZ769" s="205" t="s">
        <v>48</v>
      </c>
      <c r="BA769" s="206" t="s">
        <v>2759</v>
      </c>
      <c r="BB769" s="102" t="s">
        <v>82</v>
      </c>
      <c r="BC769" s="102" t="s">
        <v>2801</v>
      </c>
    </row>
    <row r="770" spans="1:55" s="239" customFormat="1" ht="75" hidden="1" customHeight="1">
      <c r="A770" s="102" t="s">
        <v>2752</v>
      </c>
      <c r="B770" s="102" t="s">
        <v>2753</v>
      </c>
      <c r="C770" s="224" t="s">
        <v>2739</v>
      </c>
      <c r="D770" s="102" t="s">
        <v>2743</v>
      </c>
      <c r="E770" s="203">
        <v>15000</v>
      </c>
      <c r="F770" s="204" t="s">
        <v>2743</v>
      </c>
      <c r="G770" s="102" t="s">
        <v>2743</v>
      </c>
      <c r="H770" s="102" t="s">
        <v>48</v>
      </c>
      <c r="I770" s="102" t="s">
        <v>48</v>
      </c>
      <c r="J770" s="102" t="s">
        <v>48</v>
      </c>
      <c r="K770" s="102" t="s">
        <v>48</v>
      </c>
      <c r="L770" s="102" t="s">
        <v>48</v>
      </c>
      <c r="M770" s="102" t="s">
        <v>48</v>
      </c>
      <c r="N770" s="206" t="s">
        <v>48</v>
      </c>
      <c r="O770" s="102" t="s">
        <v>48</v>
      </c>
      <c r="P770" s="206" t="s">
        <v>48</v>
      </c>
      <c r="Q770" s="102" t="s">
        <v>48</v>
      </c>
      <c r="R770" s="102" t="s">
        <v>48</v>
      </c>
      <c r="S770" s="102" t="s">
        <v>48</v>
      </c>
      <c r="T770" s="102" t="s">
        <v>48</v>
      </c>
      <c r="U770" s="102" t="s">
        <v>48</v>
      </c>
      <c r="V770" s="205" t="s">
        <v>48</v>
      </c>
      <c r="W770" s="204" t="s">
        <v>2743</v>
      </c>
      <c r="X770" s="102" t="s">
        <v>2743</v>
      </c>
      <c r="Y770" s="102" t="s">
        <v>48</v>
      </c>
      <c r="Z770" s="102" t="s">
        <v>48</v>
      </c>
      <c r="AA770" s="102" t="s">
        <v>48</v>
      </c>
      <c r="AB770" s="102" t="s">
        <v>48</v>
      </c>
      <c r="AC770" s="102" t="s">
        <v>48</v>
      </c>
      <c r="AD770" s="205" t="s">
        <v>48</v>
      </c>
      <c r="AE770" s="204" t="s">
        <v>48</v>
      </c>
      <c r="AF770" s="102" t="s">
        <v>48</v>
      </c>
      <c r="AG770" s="102" t="s">
        <v>48</v>
      </c>
      <c r="AH770" s="102" t="s">
        <v>48</v>
      </c>
      <c r="AI770" s="102" t="s">
        <v>48</v>
      </c>
      <c r="AJ770" s="102" t="s">
        <v>48</v>
      </c>
      <c r="AK770" s="205" t="s">
        <v>48</v>
      </c>
      <c r="AL770" s="204" t="s">
        <v>2743</v>
      </c>
      <c r="AM770" s="102" t="s">
        <v>2743</v>
      </c>
      <c r="AN770" s="102" t="s">
        <v>48</v>
      </c>
      <c r="AO770" s="102" t="s">
        <v>48</v>
      </c>
      <c r="AP770" s="102" t="s">
        <v>48</v>
      </c>
      <c r="AQ770" s="102" t="s">
        <v>48</v>
      </c>
      <c r="AR770" s="102" t="s">
        <v>48</v>
      </c>
      <c r="AS770" s="205" t="s">
        <v>48</v>
      </c>
      <c r="AT770" s="204" t="s">
        <v>48</v>
      </c>
      <c r="AU770" s="102" t="s">
        <v>48</v>
      </c>
      <c r="AV770" s="102" t="s">
        <v>48</v>
      </c>
      <c r="AW770" s="102" t="s">
        <v>48</v>
      </c>
      <c r="AX770" s="102" t="s">
        <v>48</v>
      </c>
      <c r="AY770" s="102" t="s">
        <v>48</v>
      </c>
      <c r="AZ770" s="205" t="s">
        <v>48</v>
      </c>
      <c r="BA770" s="206" t="s">
        <v>2759</v>
      </c>
      <c r="BB770" s="102" t="s">
        <v>82</v>
      </c>
      <c r="BC770" s="102" t="s">
        <v>2801</v>
      </c>
    </row>
    <row r="771" spans="1:55" s="239" customFormat="1" ht="75" hidden="1" customHeight="1">
      <c r="A771" s="102" t="s">
        <v>2757</v>
      </c>
      <c r="B771" s="102" t="s">
        <v>2758</v>
      </c>
      <c r="C771" s="224" t="s">
        <v>2739</v>
      </c>
      <c r="D771" s="102" t="s">
        <v>2743</v>
      </c>
      <c r="E771" s="203">
        <v>15000</v>
      </c>
      <c r="F771" s="204" t="s">
        <v>2743</v>
      </c>
      <c r="G771" s="102" t="s">
        <v>2743</v>
      </c>
      <c r="H771" s="102" t="s">
        <v>48</v>
      </c>
      <c r="I771" s="102" t="s">
        <v>48</v>
      </c>
      <c r="J771" s="102" t="s">
        <v>48</v>
      </c>
      <c r="K771" s="102" t="s">
        <v>48</v>
      </c>
      <c r="L771" s="102" t="s">
        <v>48</v>
      </c>
      <c r="M771" s="102" t="s">
        <v>48</v>
      </c>
      <c r="N771" s="206" t="s">
        <v>48</v>
      </c>
      <c r="O771" s="102" t="s">
        <v>48</v>
      </c>
      <c r="P771" s="206" t="s">
        <v>48</v>
      </c>
      <c r="Q771" s="102" t="s">
        <v>48</v>
      </c>
      <c r="R771" s="102" t="s">
        <v>48</v>
      </c>
      <c r="S771" s="102" t="s">
        <v>48</v>
      </c>
      <c r="T771" s="102" t="s">
        <v>48</v>
      </c>
      <c r="U771" s="102" t="s">
        <v>48</v>
      </c>
      <c r="V771" s="205" t="s">
        <v>48</v>
      </c>
      <c r="W771" s="204" t="s">
        <v>2743</v>
      </c>
      <c r="X771" s="102" t="s">
        <v>2743</v>
      </c>
      <c r="Y771" s="102" t="s">
        <v>48</v>
      </c>
      <c r="Z771" s="102" t="s">
        <v>48</v>
      </c>
      <c r="AA771" s="102" t="s">
        <v>48</v>
      </c>
      <c r="AB771" s="102" t="s">
        <v>48</v>
      </c>
      <c r="AC771" s="102" t="s">
        <v>48</v>
      </c>
      <c r="AD771" s="205" t="s">
        <v>48</v>
      </c>
      <c r="AE771" s="204" t="s">
        <v>48</v>
      </c>
      <c r="AF771" s="102" t="s">
        <v>48</v>
      </c>
      <c r="AG771" s="102" t="s">
        <v>48</v>
      </c>
      <c r="AH771" s="102" t="s">
        <v>48</v>
      </c>
      <c r="AI771" s="102" t="s">
        <v>48</v>
      </c>
      <c r="AJ771" s="102" t="s">
        <v>48</v>
      </c>
      <c r="AK771" s="205" t="s">
        <v>48</v>
      </c>
      <c r="AL771" s="204" t="s">
        <v>2743</v>
      </c>
      <c r="AM771" s="102" t="s">
        <v>2743</v>
      </c>
      <c r="AN771" s="102" t="s">
        <v>48</v>
      </c>
      <c r="AO771" s="102" t="s">
        <v>48</v>
      </c>
      <c r="AP771" s="102" t="s">
        <v>48</v>
      </c>
      <c r="AQ771" s="102" t="s">
        <v>48</v>
      </c>
      <c r="AR771" s="102" t="s">
        <v>48</v>
      </c>
      <c r="AS771" s="205" t="s">
        <v>48</v>
      </c>
      <c r="AT771" s="204" t="s">
        <v>48</v>
      </c>
      <c r="AU771" s="102" t="s">
        <v>48</v>
      </c>
      <c r="AV771" s="102" t="s">
        <v>48</v>
      </c>
      <c r="AW771" s="102" t="s">
        <v>48</v>
      </c>
      <c r="AX771" s="102" t="s">
        <v>48</v>
      </c>
      <c r="AY771" s="102" t="s">
        <v>48</v>
      </c>
      <c r="AZ771" s="205" t="s">
        <v>48</v>
      </c>
      <c r="BA771" s="206" t="s">
        <v>2759</v>
      </c>
      <c r="BB771" s="102" t="s">
        <v>82</v>
      </c>
      <c r="BC771" s="102" t="s">
        <v>2801</v>
      </c>
    </row>
    <row r="772" spans="1:55" s="239" customFormat="1" ht="75" hidden="1" customHeight="1">
      <c r="A772" s="102" t="s">
        <v>2754</v>
      </c>
      <c r="B772" s="102" t="s">
        <v>2756</v>
      </c>
      <c r="C772" s="224" t="s">
        <v>2739</v>
      </c>
      <c r="D772" s="102" t="s">
        <v>2743</v>
      </c>
      <c r="E772" s="203">
        <v>15000</v>
      </c>
      <c r="F772" s="204" t="s">
        <v>2743</v>
      </c>
      <c r="G772" s="102" t="s">
        <v>2743</v>
      </c>
      <c r="H772" s="102" t="s">
        <v>48</v>
      </c>
      <c r="I772" s="102" t="s">
        <v>48</v>
      </c>
      <c r="J772" s="102" t="s">
        <v>48</v>
      </c>
      <c r="K772" s="102" t="s">
        <v>48</v>
      </c>
      <c r="L772" s="102" t="s">
        <v>48</v>
      </c>
      <c r="M772" s="102" t="s">
        <v>48</v>
      </c>
      <c r="N772" s="206" t="s">
        <v>48</v>
      </c>
      <c r="O772" s="102" t="s">
        <v>48</v>
      </c>
      <c r="P772" s="206" t="s">
        <v>48</v>
      </c>
      <c r="Q772" s="102" t="s">
        <v>48</v>
      </c>
      <c r="R772" s="102" t="s">
        <v>48</v>
      </c>
      <c r="S772" s="102" t="s">
        <v>48</v>
      </c>
      <c r="T772" s="102" t="s">
        <v>48</v>
      </c>
      <c r="U772" s="102" t="s">
        <v>48</v>
      </c>
      <c r="V772" s="205" t="s">
        <v>48</v>
      </c>
      <c r="W772" s="204" t="s">
        <v>2743</v>
      </c>
      <c r="X772" s="102" t="s">
        <v>2743</v>
      </c>
      <c r="Y772" s="102" t="s">
        <v>48</v>
      </c>
      <c r="Z772" s="102" t="s">
        <v>48</v>
      </c>
      <c r="AA772" s="102" t="s">
        <v>48</v>
      </c>
      <c r="AB772" s="102" t="s">
        <v>48</v>
      </c>
      <c r="AC772" s="102" t="s">
        <v>48</v>
      </c>
      <c r="AD772" s="205" t="s">
        <v>48</v>
      </c>
      <c r="AE772" s="204" t="s">
        <v>48</v>
      </c>
      <c r="AF772" s="102" t="s">
        <v>48</v>
      </c>
      <c r="AG772" s="102" t="s">
        <v>48</v>
      </c>
      <c r="AH772" s="102" t="s">
        <v>48</v>
      </c>
      <c r="AI772" s="102" t="s">
        <v>48</v>
      </c>
      <c r="AJ772" s="102" t="s">
        <v>48</v>
      </c>
      <c r="AK772" s="205" t="s">
        <v>48</v>
      </c>
      <c r="AL772" s="204" t="s">
        <v>2743</v>
      </c>
      <c r="AM772" s="102" t="s">
        <v>2743</v>
      </c>
      <c r="AN772" s="102" t="s">
        <v>48</v>
      </c>
      <c r="AO772" s="102" t="s">
        <v>48</v>
      </c>
      <c r="AP772" s="102" t="s">
        <v>48</v>
      </c>
      <c r="AQ772" s="102" t="s">
        <v>48</v>
      </c>
      <c r="AR772" s="102" t="s">
        <v>48</v>
      </c>
      <c r="AS772" s="205" t="s">
        <v>48</v>
      </c>
      <c r="AT772" s="204" t="s">
        <v>48</v>
      </c>
      <c r="AU772" s="102" t="s">
        <v>48</v>
      </c>
      <c r="AV772" s="102" t="s">
        <v>48</v>
      </c>
      <c r="AW772" s="102" t="s">
        <v>48</v>
      </c>
      <c r="AX772" s="102" t="s">
        <v>48</v>
      </c>
      <c r="AY772" s="102" t="s">
        <v>48</v>
      </c>
      <c r="AZ772" s="205" t="s">
        <v>48</v>
      </c>
      <c r="BA772" s="206" t="s">
        <v>2759</v>
      </c>
      <c r="BB772" s="102" t="s">
        <v>82</v>
      </c>
      <c r="BC772" s="102" t="s">
        <v>2801</v>
      </c>
    </row>
    <row r="773" spans="1:55" s="239" customFormat="1" ht="75" customHeight="1">
      <c r="A773" s="102" t="s">
        <v>34</v>
      </c>
      <c r="B773" s="102" t="s">
        <v>2025</v>
      </c>
      <c r="C773" s="224" t="s">
        <v>2739</v>
      </c>
      <c r="D773" s="102" t="s">
        <v>2745</v>
      </c>
      <c r="E773" s="203">
        <v>15000</v>
      </c>
      <c r="F773" s="204" t="s">
        <v>2745</v>
      </c>
      <c r="G773" s="102" t="s">
        <v>2745</v>
      </c>
      <c r="H773" s="102" t="s">
        <v>48</v>
      </c>
      <c r="I773" s="102" t="s">
        <v>48</v>
      </c>
      <c r="J773" s="102" t="s">
        <v>48</v>
      </c>
      <c r="K773" s="102" t="s">
        <v>48</v>
      </c>
      <c r="L773" s="102" t="s">
        <v>48</v>
      </c>
      <c r="M773" s="102" t="s">
        <v>48</v>
      </c>
      <c r="N773" s="206" t="s">
        <v>48</v>
      </c>
      <c r="O773" s="102" t="s">
        <v>48</v>
      </c>
      <c r="P773" s="206" t="s">
        <v>48</v>
      </c>
      <c r="Q773" s="102" t="s">
        <v>48</v>
      </c>
      <c r="R773" s="102" t="s">
        <v>48</v>
      </c>
      <c r="S773" s="102" t="s">
        <v>48</v>
      </c>
      <c r="T773" s="102" t="s">
        <v>48</v>
      </c>
      <c r="U773" s="102" t="s">
        <v>48</v>
      </c>
      <c r="V773" s="205" t="s">
        <v>48</v>
      </c>
      <c r="W773" s="204" t="s">
        <v>2745</v>
      </c>
      <c r="X773" s="102" t="s">
        <v>2745</v>
      </c>
      <c r="Y773" s="102" t="s">
        <v>48</v>
      </c>
      <c r="Z773" s="102" t="s">
        <v>48</v>
      </c>
      <c r="AA773" s="102" t="s">
        <v>48</v>
      </c>
      <c r="AB773" s="102" t="s">
        <v>48</v>
      </c>
      <c r="AC773" s="102" t="s">
        <v>48</v>
      </c>
      <c r="AD773" s="205" t="s">
        <v>48</v>
      </c>
      <c r="AE773" s="204" t="s">
        <v>48</v>
      </c>
      <c r="AF773" s="102" t="s">
        <v>48</v>
      </c>
      <c r="AG773" s="102" t="s">
        <v>48</v>
      </c>
      <c r="AH773" s="102" t="s">
        <v>48</v>
      </c>
      <c r="AI773" s="102" t="s">
        <v>48</v>
      </c>
      <c r="AJ773" s="102" t="s">
        <v>48</v>
      </c>
      <c r="AK773" s="205" t="s">
        <v>48</v>
      </c>
      <c r="AL773" s="204" t="s">
        <v>2745</v>
      </c>
      <c r="AM773" s="102" t="s">
        <v>2745</v>
      </c>
      <c r="AN773" s="102" t="s">
        <v>48</v>
      </c>
      <c r="AO773" s="102" t="s">
        <v>48</v>
      </c>
      <c r="AP773" s="102" t="s">
        <v>48</v>
      </c>
      <c r="AQ773" s="102" t="s">
        <v>48</v>
      </c>
      <c r="AR773" s="102" t="s">
        <v>48</v>
      </c>
      <c r="AS773" s="205" t="s">
        <v>48</v>
      </c>
      <c r="AT773" s="204" t="s">
        <v>48</v>
      </c>
      <c r="AU773" s="102" t="s">
        <v>48</v>
      </c>
      <c r="AV773" s="102" t="s">
        <v>48</v>
      </c>
      <c r="AW773" s="102" t="s">
        <v>48</v>
      </c>
      <c r="AX773" s="102" t="s">
        <v>48</v>
      </c>
      <c r="AY773" s="102" t="s">
        <v>48</v>
      </c>
      <c r="AZ773" s="205" t="s">
        <v>48</v>
      </c>
      <c r="BA773" s="206" t="s">
        <v>2759</v>
      </c>
      <c r="BB773" s="102" t="s">
        <v>82</v>
      </c>
      <c r="BC773" s="102" t="s">
        <v>2801</v>
      </c>
    </row>
    <row r="774" spans="1:55" s="239" customFormat="1" ht="75" customHeight="1">
      <c r="A774" s="102" t="s">
        <v>34</v>
      </c>
      <c r="B774" s="102" t="s">
        <v>2025</v>
      </c>
      <c r="C774" s="224" t="s">
        <v>2739</v>
      </c>
      <c r="D774" s="102" t="s">
        <v>2746</v>
      </c>
      <c r="E774" s="203">
        <v>15000</v>
      </c>
      <c r="F774" s="204" t="s">
        <v>2746</v>
      </c>
      <c r="G774" s="102" t="s">
        <v>2746</v>
      </c>
      <c r="H774" s="102" t="s">
        <v>48</v>
      </c>
      <c r="I774" s="102" t="s">
        <v>48</v>
      </c>
      <c r="J774" s="102" t="s">
        <v>48</v>
      </c>
      <c r="K774" s="102" t="s">
        <v>48</v>
      </c>
      <c r="L774" s="102" t="s">
        <v>48</v>
      </c>
      <c r="M774" s="102" t="s">
        <v>48</v>
      </c>
      <c r="N774" s="206" t="s">
        <v>48</v>
      </c>
      <c r="O774" s="102" t="s">
        <v>48</v>
      </c>
      <c r="P774" s="206" t="s">
        <v>48</v>
      </c>
      <c r="Q774" s="102" t="s">
        <v>48</v>
      </c>
      <c r="R774" s="102" t="s">
        <v>48</v>
      </c>
      <c r="S774" s="102" t="s">
        <v>48</v>
      </c>
      <c r="T774" s="102" t="s">
        <v>48</v>
      </c>
      <c r="U774" s="102" t="s">
        <v>48</v>
      </c>
      <c r="V774" s="205" t="s">
        <v>48</v>
      </c>
      <c r="W774" s="204" t="s">
        <v>2746</v>
      </c>
      <c r="X774" s="102" t="s">
        <v>2746</v>
      </c>
      <c r="Y774" s="102" t="s">
        <v>48</v>
      </c>
      <c r="Z774" s="102" t="s">
        <v>48</v>
      </c>
      <c r="AA774" s="102" t="s">
        <v>48</v>
      </c>
      <c r="AB774" s="102" t="s">
        <v>48</v>
      </c>
      <c r="AC774" s="102" t="s">
        <v>48</v>
      </c>
      <c r="AD774" s="205" t="s">
        <v>48</v>
      </c>
      <c r="AE774" s="204" t="s">
        <v>48</v>
      </c>
      <c r="AF774" s="102" t="s">
        <v>48</v>
      </c>
      <c r="AG774" s="102" t="s">
        <v>48</v>
      </c>
      <c r="AH774" s="102" t="s">
        <v>48</v>
      </c>
      <c r="AI774" s="102" t="s">
        <v>48</v>
      </c>
      <c r="AJ774" s="102" t="s">
        <v>48</v>
      </c>
      <c r="AK774" s="205" t="s">
        <v>48</v>
      </c>
      <c r="AL774" s="204" t="s">
        <v>2746</v>
      </c>
      <c r="AM774" s="102" t="s">
        <v>2746</v>
      </c>
      <c r="AN774" s="102" t="s">
        <v>48</v>
      </c>
      <c r="AO774" s="102" t="s">
        <v>48</v>
      </c>
      <c r="AP774" s="102" t="s">
        <v>48</v>
      </c>
      <c r="AQ774" s="102" t="s">
        <v>48</v>
      </c>
      <c r="AR774" s="102" t="s">
        <v>48</v>
      </c>
      <c r="AS774" s="205" t="s">
        <v>48</v>
      </c>
      <c r="AT774" s="204" t="s">
        <v>48</v>
      </c>
      <c r="AU774" s="102" t="s">
        <v>48</v>
      </c>
      <c r="AV774" s="102" t="s">
        <v>48</v>
      </c>
      <c r="AW774" s="102" t="s">
        <v>48</v>
      </c>
      <c r="AX774" s="102" t="s">
        <v>48</v>
      </c>
      <c r="AY774" s="102" t="s">
        <v>48</v>
      </c>
      <c r="AZ774" s="205" t="s">
        <v>48</v>
      </c>
      <c r="BA774" s="206" t="s">
        <v>2759</v>
      </c>
      <c r="BB774" s="102" t="s">
        <v>82</v>
      </c>
      <c r="BC774" s="102" t="s">
        <v>2801</v>
      </c>
    </row>
    <row r="775" spans="1:55" s="239" customFormat="1" ht="75" customHeight="1">
      <c r="A775" s="102" t="s">
        <v>35</v>
      </c>
      <c r="B775" s="102" t="s">
        <v>2017</v>
      </c>
      <c r="C775" s="224" t="s">
        <v>2739</v>
      </c>
      <c r="D775" s="102" t="s">
        <v>2745</v>
      </c>
      <c r="E775" s="203">
        <v>15000</v>
      </c>
      <c r="F775" s="204" t="s">
        <v>2745</v>
      </c>
      <c r="G775" s="102" t="s">
        <v>2745</v>
      </c>
      <c r="H775" s="102" t="s">
        <v>48</v>
      </c>
      <c r="I775" s="102" t="s">
        <v>48</v>
      </c>
      <c r="J775" s="102" t="s">
        <v>48</v>
      </c>
      <c r="K775" s="102" t="s">
        <v>48</v>
      </c>
      <c r="L775" s="102" t="s">
        <v>48</v>
      </c>
      <c r="M775" s="102" t="s">
        <v>48</v>
      </c>
      <c r="N775" s="206" t="s">
        <v>48</v>
      </c>
      <c r="O775" s="102" t="s">
        <v>48</v>
      </c>
      <c r="P775" s="206" t="s">
        <v>48</v>
      </c>
      <c r="Q775" s="102" t="s">
        <v>48</v>
      </c>
      <c r="R775" s="102" t="s">
        <v>48</v>
      </c>
      <c r="S775" s="102" t="s">
        <v>48</v>
      </c>
      <c r="T775" s="102" t="s">
        <v>48</v>
      </c>
      <c r="U775" s="102" t="s">
        <v>48</v>
      </c>
      <c r="V775" s="205" t="s">
        <v>48</v>
      </c>
      <c r="W775" s="204" t="s">
        <v>2745</v>
      </c>
      <c r="X775" s="102" t="s">
        <v>2745</v>
      </c>
      <c r="Y775" s="102" t="s">
        <v>48</v>
      </c>
      <c r="Z775" s="102" t="s">
        <v>48</v>
      </c>
      <c r="AA775" s="102" t="s">
        <v>48</v>
      </c>
      <c r="AB775" s="102" t="s">
        <v>48</v>
      </c>
      <c r="AC775" s="102" t="s">
        <v>48</v>
      </c>
      <c r="AD775" s="205" t="s">
        <v>48</v>
      </c>
      <c r="AE775" s="204" t="s">
        <v>48</v>
      </c>
      <c r="AF775" s="102" t="s">
        <v>48</v>
      </c>
      <c r="AG775" s="102" t="s">
        <v>48</v>
      </c>
      <c r="AH775" s="102" t="s">
        <v>48</v>
      </c>
      <c r="AI775" s="102" t="s">
        <v>48</v>
      </c>
      <c r="AJ775" s="102" t="s">
        <v>48</v>
      </c>
      <c r="AK775" s="205" t="s">
        <v>48</v>
      </c>
      <c r="AL775" s="204" t="s">
        <v>2745</v>
      </c>
      <c r="AM775" s="102" t="s">
        <v>2745</v>
      </c>
      <c r="AN775" s="102" t="s">
        <v>48</v>
      </c>
      <c r="AO775" s="102" t="s">
        <v>48</v>
      </c>
      <c r="AP775" s="102" t="s">
        <v>48</v>
      </c>
      <c r="AQ775" s="102" t="s">
        <v>48</v>
      </c>
      <c r="AR775" s="102" t="s">
        <v>48</v>
      </c>
      <c r="AS775" s="205" t="s">
        <v>48</v>
      </c>
      <c r="AT775" s="204" t="s">
        <v>48</v>
      </c>
      <c r="AU775" s="102" t="s">
        <v>48</v>
      </c>
      <c r="AV775" s="102" t="s">
        <v>48</v>
      </c>
      <c r="AW775" s="102" t="s">
        <v>48</v>
      </c>
      <c r="AX775" s="102" t="s">
        <v>48</v>
      </c>
      <c r="AY775" s="102" t="s">
        <v>48</v>
      </c>
      <c r="AZ775" s="205" t="s">
        <v>48</v>
      </c>
      <c r="BA775" s="206" t="s">
        <v>2759</v>
      </c>
      <c r="BB775" s="102" t="s">
        <v>82</v>
      </c>
      <c r="BC775" s="102" t="s">
        <v>2801</v>
      </c>
    </row>
    <row r="776" spans="1:55" s="239" customFormat="1" ht="75" customHeight="1">
      <c r="A776" s="102" t="s">
        <v>35</v>
      </c>
      <c r="B776" s="102" t="s">
        <v>2017</v>
      </c>
      <c r="C776" s="224" t="s">
        <v>2739</v>
      </c>
      <c r="D776" s="102" t="s">
        <v>2746</v>
      </c>
      <c r="E776" s="203">
        <v>15000</v>
      </c>
      <c r="F776" s="204" t="s">
        <v>2746</v>
      </c>
      <c r="G776" s="102" t="s">
        <v>2746</v>
      </c>
      <c r="H776" s="102" t="s">
        <v>48</v>
      </c>
      <c r="I776" s="102" t="s">
        <v>48</v>
      </c>
      <c r="J776" s="102" t="s">
        <v>48</v>
      </c>
      <c r="K776" s="102" t="s">
        <v>48</v>
      </c>
      <c r="L776" s="102" t="s">
        <v>48</v>
      </c>
      <c r="M776" s="102" t="s">
        <v>48</v>
      </c>
      <c r="N776" s="206" t="s">
        <v>48</v>
      </c>
      <c r="O776" s="102" t="s">
        <v>48</v>
      </c>
      <c r="P776" s="206" t="s">
        <v>48</v>
      </c>
      <c r="Q776" s="102" t="s">
        <v>48</v>
      </c>
      <c r="R776" s="102" t="s">
        <v>48</v>
      </c>
      <c r="S776" s="102" t="s">
        <v>48</v>
      </c>
      <c r="T776" s="102" t="s">
        <v>48</v>
      </c>
      <c r="U776" s="102" t="s">
        <v>48</v>
      </c>
      <c r="V776" s="205" t="s">
        <v>48</v>
      </c>
      <c r="W776" s="204" t="s">
        <v>2746</v>
      </c>
      <c r="X776" s="102" t="s">
        <v>2746</v>
      </c>
      <c r="Y776" s="102" t="s">
        <v>48</v>
      </c>
      <c r="Z776" s="102" t="s">
        <v>48</v>
      </c>
      <c r="AA776" s="102" t="s">
        <v>48</v>
      </c>
      <c r="AB776" s="102" t="s">
        <v>48</v>
      </c>
      <c r="AC776" s="102" t="s">
        <v>48</v>
      </c>
      <c r="AD776" s="205" t="s">
        <v>48</v>
      </c>
      <c r="AE776" s="204" t="s">
        <v>48</v>
      </c>
      <c r="AF776" s="102" t="s">
        <v>48</v>
      </c>
      <c r="AG776" s="102" t="s">
        <v>48</v>
      </c>
      <c r="AH776" s="102" t="s">
        <v>48</v>
      </c>
      <c r="AI776" s="102" t="s">
        <v>48</v>
      </c>
      <c r="AJ776" s="102" t="s">
        <v>48</v>
      </c>
      <c r="AK776" s="205" t="s">
        <v>48</v>
      </c>
      <c r="AL776" s="204" t="s">
        <v>2746</v>
      </c>
      <c r="AM776" s="102" t="s">
        <v>2746</v>
      </c>
      <c r="AN776" s="102" t="s">
        <v>48</v>
      </c>
      <c r="AO776" s="102" t="s">
        <v>48</v>
      </c>
      <c r="AP776" s="102" t="s">
        <v>48</v>
      </c>
      <c r="AQ776" s="102" t="s">
        <v>48</v>
      </c>
      <c r="AR776" s="102" t="s">
        <v>48</v>
      </c>
      <c r="AS776" s="205" t="s">
        <v>48</v>
      </c>
      <c r="AT776" s="204" t="s">
        <v>48</v>
      </c>
      <c r="AU776" s="102" t="s">
        <v>48</v>
      </c>
      <c r="AV776" s="102" t="s">
        <v>48</v>
      </c>
      <c r="AW776" s="102" t="s">
        <v>48</v>
      </c>
      <c r="AX776" s="102" t="s">
        <v>48</v>
      </c>
      <c r="AY776" s="102" t="s">
        <v>48</v>
      </c>
      <c r="AZ776" s="205" t="s">
        <v>48</v>
      </c>
      <c r="BA776" s="206" t="s">
        <v>2759</v>
      </c>
      <c r="BB776" s="102" t="s">
        <v>82</v>
      </c>
      <c r="BC776" s="102" t="s">
        <v>2801</v>
      </c>
    </row>
    <row r="777" spans="1:55" s="11" customFormat="1" ht="75" hidden="1" customHeight="1">
      <c r="A777" s="102" t="s">
        <v>31</v>
      </c>
      <c r="B777" s="102" t="s">
        <v>2019</v>
      </c>
      <c r="C777" s="224" t="s">
        <v>2739</v>
      </c>
      <c r="D777" s="102" t="s">
        <v>2740</v>
      </c>
      <c r="E777" s="203">
        <v>30000</v>
      </c>
      <c r="F777" s="204" t="s">
        <v>2740</v>
      </c>
      <c r="G777" s="102" t="s">
        <v>2740</v>
      </c>
      <c r="H777" s="102" t="s">
        <v>48</v>
      </c>
      <c r="I777" s="102" t="s">
        <v>48</v>
      </c>
      <c r="J777" s="102" t="s">
        <v>48</v>
      </c>
      <c r="K777" s="102" t="s">
        <v>48</v>
      </c>
      <c r="L777" s="102" t="s">
        <v>48</v>
      </c>
      <c r="M777" s="102" t="s">
        <v>48</v>
      </c>
      <c r="N777" s="206" t="s">
        <v>48</v>
      </c>
      <c r="O777" s="102" t="s">
        <v>48</v>
      </c>
      <c r="P777" s="206" t="s">
        <v>48</v>
      </c>
      <c r="Q777" s="102" t="s">
        <v>48</v>
      </c>
      <c r="R777" s="102" t="s">
        <v>48</v>
      </c>
      <c r="S777" s="102" t="s">
        <v>48</v>
      </c>
      <c r="T777" s="102" t="s">
        <v>48</v>
      </c>
      <c r="U777" s="102" t="s">
        <v>48</v>
      </c>
      <c r="V777" s="205" t="s">
        <v>48</v>
      </c>
      <c r="W777" s="204" t="s">
        <v>2740</v>
      </c>
      <c r="X777" s="102" t="s">
        <v>2740</v>
      </c>
      <c r="Y777" s="102" t="s">
        <v>48</v>
      </c>
      <c r="Z777" s="102" t="s">
        <v>48</v>
      </c>
      <c r="AA777" s="102" t="s">
        <v>48</v>
      </c>
      <c r="AB777" s="102" t="s">
        <v>48</v>
      </c>
      <c r="AC777" s="102" t="s">
        <v>48</v>
      </c>
      <c r="AD777" s="205" t="s">
        <v>48</v>
      </c>
      <c r="AE777" s="204" t="s">
        <v>48</v>
      </c>
      <c r="AF777" s="102" t="s">
        <v>48</v>
      </c>
      <c r="AG777" s="102" t="s">
        <v>48</v>
      </c>
      <c r="AH777" s="102" t="s">
        <v>48</v>
      </c>
      <c r="AI777" s="102" t="s">
        <v>48</v>
      </c>
      <c r="AJ777" s="102" t="s">
        <v>48</v>
      </c>
      <c r="AK777" s="205" t="s">
        <v>48</v>
      </c>
      <c r="AL777" s="204" t="s">
        <v>2740</v>
      </c>
      <c r="AM777" s="102" t="s">
        <v>2740</v>
      </c>
      <c r="AN777" s="102" t="s">
        <v>48</v>
      </c>
      <c r="AO777" s="102" t="s">
        <v>48</v>
      </c>
      <c r="AP777" s="102" t="s">
        <v>48</v>
      </c>
      <c r="AQ777" s="102" t="s">
        <v>48</v>
      </c>
      <c r="AR777" s="102" t="s">
        <v>48</v>
      </c>
      <c r="AS777" s="205" t="s">
        <v>48</v>
      </c>
      <c r="AT777" s="204" t="s">
        <v>48</v>
      </c>
      <c r="AU777" s="102" t="s">
        <v>48</v>
      </c>
      <c r="AV777" s="102" t="s">
        <v>48</v>
      </c>
      <c r="AW777" s="102" t="s">
        <v>48</v>
      </c>
      <c r="AX777" s="102" t="s">
        <v>48</v>
      </c>
      <c r="AY777" s="102" t="s">
        <v>48</v>
      </c>
      <c r="AZ777" s="205" t="s">
        <v>48</v>
      </c>
      <c r="BA777" s="206" t="s">
        <v>2759</v>
      </c>
      <c r="BB777" s="102" t="s">
        <v>49</v>
      </c>
      <c r="BC777" s="224" t="s">
        <v>2801</v>
      </c>
    </row>
    <row r="778" spans="1:55" s="11" customFormat="1" ht="75" hidden="1" customHeight="1">
      <c r="A778" s="102" t="s">
        <v>31</v>
      </c>
      <c r="B778" s="102" t="s">
        <v>2019</v>
      </c>
      <c r="C778" s="224" t="s">
        <v>2739</v>
      </c>
      <c r="D778" s="102" t="s">
        <v>2784</v>
      </c>
      <c r="E778" s="203">
        <v>30000</v>
      </c>
      <c r="F778" s="204" t="s">
        <v>2784</v>
      </c>
      <c r="G778" s="102" t="s">
        <v>2784</v>
      </c>
      <c r="H778" s="102" t="s">
        <v>48</v>
      </c>
      <c r="I778" s="102" t="s">
        <v>48</v>
      </c>
      <c r="J778" s="102" t="s">
        <v>48</v>
      </c>
      <c r="K778" s="102" t="s">
        <v>48</v>
      </c>
      <c r="L778" s="102" t="s">
        <v>48</v>
      </c>
      <c r="M778" s="102" t="s">
        <v>48</v>
      </c>
      <c r="N778" s="206" t="s">
        <v>48</v>
      </c>
      <c r="O778" s="102" t="s">
        <v>48</v>
      </c>
      <c r="P778" s="206" t="s">
        <v>48</v>
      </c>
      <c r="Q778" s="102" t="s">
        <v>48</v>
      </c>
      <c r="R778" s="102" t="s">
        <v>48</v>
      </c>
      <c r="S778" s="102" t="s">
        <v>48</v>
      </c>
      <c r="T778" s="102" t="s">
        <v>48</v>
      </c>
      <c r="U778" s="102" t="s">
        <v>48</v>
      </c>
      <c r="V778" s="205" t="s">
        <v>48</v>
      </c>
      <c r="W778" s="204" t="s">
        <v>2784</v>
      </c>
      <c r="X778" s="102" t="s">
        <v>2784</v>
      </c>
      <c r="Y778" s="102" t="s">
        <v>48</v>
      </c>
      <c r="Z778" s="102" t="s">
        <v>48</v>
      </c>
      <c r="AA778" s="102" t="s">
        <v>48</v>
      </c>
      <c r="AB778" s="102" t="s">
        <v>48</v>
      </c>
      <c r="AC778" s="102" t="s">
        <v>48</v>
      </c>
      <c r="AD778" s="205" t="s">
        <v>48</v>
      </c>
      <c r="AE778" s="204" t="s">
        <v>48</v>
      </c>
      <c r="AF778" s="102" t="s">
        <v>48</v>
      </c>
      <c r="AG778" s="102" t="s">
        <v>48</v>
      </c>
      <c r="AH778" s="102" t="s">
        <v>48</v>
      </c>
      <c r="AI778" s="102" t="s">
        <v>48</v>
      </c>
      <c r="AJ778" s="102" t="s">
        <v>48</v>
      </c>
      <c r="AK778" s="205" t="s">
        <v>48</v>
      </c>
      <c r="AL778" s="204" t="s">
        <v>2784</v>
      </c>
      <c r="AM778" s="102" t="s">
        <v>2784</v>
      </c>
      <c r="AN778" s="102" t="s">
        <v>48</v>
      </c>
      <c r="AO778" s="102" t="s">
        <v>48</v>
      </c>
      <c r="AP778" s="102" t="s">
        <v>48</v>
      </c>
      <c r="AQ778" s="102" t="s">
        <v>48</v>
      </c>
      <c r="AR778" s="102" t="s">
        <v>48</v>
      </c>
      <c r="AS778" s="205" t="s">
        <v>48</v>
      </c>
      <c r="AT778" s="204" t="s">
        <v>48</v>
      </c>
      <c r="AU778" s="102" t="s">
        <v>48</v>
      </c>
      <c r="AV778" s="102" t="s">
        <v>48</v>
      </c>
      <c r="AW778" s="102" t="s">
        <v>48</v>
      </c>
      <c r="AX778" s="102" t="s">
        <v>48</v>
      </c>
      <c r="AY778" s="102" t="s">
        <v>48</v>
      </c>
      <c r="AZ778" s="205" t="s">
        <v>48</v>
      </c>
      <c r="BA778" s="206" t="s">
        <v>2759</v>
      </c>
      <c r="BB778" s="102" t="s">
        <v>49</v>
      </c>
      <c r="BC778" s="224" t="s">
        <v>2801</v>
      </c>
    </row>
    <row r="779" spans="1:55" s="11" customFormat="1" ht="75" hidden="1" customHeight="1">
      <c r="A779" s="102" t="s">
        <v>31</v>
      </c>
      <c r="B779" s="102" t="s">
        <v>2027</v>
      </c>
      <c r="C779" s="224" t="s">
        <v>2739</v>
      </c>
      <c r="D779" s="102" t="s">
        <v>2740</v>
      </c>
      <c r="E779" s="203">
        <v>30000</v>
      </c>
      <c r="F779" s="204" t="s">
        <v>2740</v>
      </c>
      <c r="G779" s="102" t="s">
        <v>2740</v>
      </c>
      <c r="H779" s="102" t="s">
        <v>48</v>
      </c>
      <c r="I779" s="102" t="s">
        <v>48</v>
      </c>
      <c r="J779" s="102" t="s">
        <v>48</v>
      </c>
      <c r="K779" s="102" t="s">
        <v>48</v>
      </c>
      <c r="L779" s="102" t="s">
        <v>48</v>
      </c>
      <c r="M779" s="102" t="s">
        <v>48</v>
      </c>
      <c r="N779" s="206" t="s">
        <v>48</v>
      </c>
      <c r="O779" s="102" t="s">
        <v>48</v>
      </c>
      <c r="P779" s="206" t="s">
        <v>48</v>
      </c>
      <c r="Q779" s="102" t="s">
        <v>48</v>
      </c>
      <c r="R779" s="102" t="s">
        <v>48</v>
      </c>
      <c r="S779" s="102" t="s">
        <v>48</v>
      </c>
      <c r="T779" s="102" t="s">
        <v>48</v>
      </c>
      <c r="U779" s="102" t="s">
        <v>48</v>
      </c>
      <c r="V779" s="205" t="s">
        <v>48</v>
      </c>
      <c r="W779" s="204" t="s">
        <v>2740</v>
      </c>
      <c r="X779" s="102" t="s">
        <v>2740</v>
      </c>
      <c r="Y779" s="102" t="s">
        <v>48</v>
      </c>
      <c r="Z779" s="102" t="s">
        <v>48</v>
      </c>
      <c r="AA779" s="102" t="s">
        <v>48</v>
      </c>
      <c r="AB779" s="102" t="s">
        <v>48</v>
      </c>
      <c r="AC779" s="102" t="s">
        <v>48</v>
      </c>
      <c r="AD779" s="205" t="s">
        <v>48</v>
      </c>
      <c r="AE779" s="204" t="s">
        <v>48</v>
      </c>
      <c r="AF779" s="102" t="s">
        <v>48</v>
      </c>
      <c r="AG779" s="102" t="s">
        <v>48</v>
      </c>
      <c r="AH779" s="102" t="s">
        <v>48</v>
      </c>
      <c r="AI779" s="102" t="s">
        <v>48</v>
      </c>
      <c r="AJ779" s="102" t="s">
        <v>48</v>
      </c>
      <c r="AK779" s="205" t="s">
        <v>48</v>
      </c>
      <c r="AL779" s="204" t="s">
        <v>2740</v>
      </c>
      <c r="AM779" s="102" t="s">
        <v>2740</v>
      </c>
      <c r="AN779" s="102" t="s">
        <v>48</v>
      </c>
      <c r="AO779" s="102" t="s">
        <v>48</v>
      </c>
      <c r="AP779" s="102" t="s">
        <v>48</v>
      </c>
      <c r="AQ779" s="102" t="s">
        <v>48</v>
      </c>
      <c r="AR779" s="102" t="s">
        <v>48</v>
      </c>
      <c r="AS779" s="205" t="s">
        <v>48</v>
      </c>
      <c r="AT779" s="204" t="s">
        <v>48</v>
      </c>
      <c r="AU779" s="102" t="s">
        <v>48</v>
      </c>
      <c r="AV779" s="102" t="s">
        <v>48</v>
      </c>
      <c r="AW779" s="102" t="s">
        <v>48</v>
      </c>
      <c r="AX779" s="102" t="s">
        <v>48</v>
      </c>
      <c r="AY779" s="102" t="s">
        <v>48</v>
      </c>
      <c r="AZ779" s="205" t="s">
        <v>48</v>
      </c>
      <c r="BA779" s="206" t="s">
        <v>2759</v>
      </c>
      <c r="BB779" s="102" t="s">
        <v>49</v>
      </c>
      <c r="BC779" s="224" t="s">
        <v>2801</v>
      </c>
    </row>
    <row r="780" spans="1:55" s="11" customFormat="1" ht="75" hidden="1" customHeight="1">
      <c r="A780" s="102" t="s">
        <v>31</v>
      </c>
      <c r="B780" s="102" t="s">
        <v>2027</v>
      </c>
      <c r="C780" s="224" t="s">
        <v>2739</v>
      </c>
      <c r="D780" s="102" t="s">
        <v>2784</v>
      </c>
      <c r="E780" s="203">
        <v>30000</v>
      </c>
      <c r="F780" s="204" t="s">
        <v>2784</v>
      </c>
      <c r="G780" s="102" t="s">
        <v>2784</v>
      </c>
      <c r="H780" s="102" t="s">
        <v>48</v>
      </c>
      <c r="I780" s="102" t="s">
        <v>48</v>
      </c>
      <c r="J780" s="102" t="s">
        <v>48</v>
      </c>
      <c r="K780" s="102" t="s">
        <v>48</v>
      </c>
      <c r="L780" s="102" t="s">
        <v>48</v>
      </c>
      <c r="M780" s="102" t="s">
        <v>48</v>
      </c>
      <c r="N780" s="206" t="s">
        <v>48</v>
      </c>
      <c r="O780" s="102" t="s">
        <v>48</v>
      </c>
      <c r="P780" s="206" t="s">
        <v>48</v>
      </c>
      <c r="Q780" s="102" t="s">
        <v>48</v>
      </c>
      <c r="R780" s="102" t="s">
        <v>48</v>
      </c>
      <c r="S780" s="102" t="s">
        <v>48</v>
      </c>
      <c r="T780" s="102" t="s">
        <v>48</v>
      </c>
      <c r="U780" s="102" t="s">
        <v>48</v>
      </c>
      <c r="V780" s="205" t="s">
        <v>48</v>
      </c>
      <c r="W780" s="204" t="s">
        <v>2740</v>
      </c>
      <c r="X780" s="102" t="s">
        <v>2740</v>
      </c>
      <c r="Y780" s="102" t="s">
        <v>48</v>
      </c>
      <c r="Z780" s="102" t="s">
        <v>48</v>
      </c>
      <c r="AA780" s="102" t="s">
        <v>48</v>
      </c>
      <c r="AB780" s="102" t="s">
        <v>48</v>
      </c>
      <c r="AC780" s="102" t="s">
        <v>48</v>
      </c>
      <c r="AD780" s="205" t="s">
        <v>48</v>
      </c>
      <c r="AE780" s="204" t="s">
        <v>48</v>
      </c>
      <c r="AF780" s="102" t="s">
        <v>48</v>
      </c>
      <c r="AG780" s="102" t="s">
        <v>48</v>
      </c>
      <c r="AH780" s="102" t="s">
        <v>48</v>
      </c>
      <c r="AI780" s="102" t="s">
        <v>48</v>
      </c>
      <c r="AJ780" s="102" t="s">
        <v>48</v>
      </c>
      <c r="AK780" s="205" t="s">
        <v>48</v>
      </c>
      <c r="AL780" s="204" t="s">
        <v>2784</v>
      </c>
      <c r="AM780" s="102" t="s">
        <v>2784</v>
      </c>
      <c r="AN780" s="102" t="s">
        <v>48</v>
      </c>
      <c r="AO780" s="102" t="s">
        <v>48</v>
      </c>
      <c r="AP780" s="102" t="s">
        <v>48</v>
      </c>
      <c r="AQ780" s="102" t="s">
        <v>48</v>
      </c>
      <c r="AR780" s="102" t="s">
        <v>48</v>
      </c>
      <c r="AS780" s="205" t="s">
        <v>48</v>
      </c>
      <c r="AT780" s="204" t="s">
        <v>48</v>
      </c>
      <c r="AU780" s="102" t="s">
        <v>48</v>
      </c>
      <c r="AV780" s="102" t="s">
        <v>48</v>
      </c>
      <c r="AW780" s="102" t="s">
        <v>48</v>
      </c>
      <c r="AX780" s="102" t="s">
        <v>48</v>
      </c>
      <c r="AY780" s="102" t="s">
        <v>48</v>
      </c>
      <c r="AZ780" s="205" t="s">
        <v>48</v>
      </c>
      <c r="BA780" s="206" t="s">
        <v>2759</v>
      </c>
      <c r="BB780" s="102" t="s">
        <v>49</v>
      </c>
      <c r="BC780" s="224" t="s">
        <v>2801</v>
      </c>
    </row>
    <row r="781" spans="1:55" s="11" customFormat="1" ht="75" hidden="1" customHeight="1">
      <c r="A781" s="102" t="s">
        <v>2344</v>
      </c>
      <c r="B781" s="102" t="s">
        <v>2021</v>
      </c>
      <c r="C781" s="224" t="s">
        <v>2739</v>
      </c>
      <c r="D781" s="102" t="s">
        <v>2740</v>
      </c>
      <c r="E781" s="203">
        <v>30000</v>
      </c>
      <c r="F781" s="204" t="s">
        <v>2740</v>
      </c>
      <c r="G781" s="102" t="s">
        <v>2740</v>
      </c>
      <c r="H781" s="102" t="s">
        <v>48</v>
      </c>
      <c r="I781" s="102" t="s">
        <v>48</v>
      </c>
      <c r="J781" s="102" t="s">
        <v>48</v>
      </c>
      <c r="K781" s="102" t="s">
        <v>48</v>
      </c>
      <c r="L781" s="102" t="s">
        <v>48</v>
      </c>
      <c r="M781" s="102" t="s">
        <v>48</v>
      </c>
      <c r="N781" s="206" t="s">
        <v>48</v>
      </c>
      <c r="O781" s="102" t="s">
        <v>48</v>
      </c>
      <c r="P781" s="206" t="s">
        <v>48</v>
      </c>
      <c r="Q781" s="102" t="s">
        <v>48</v>
      </c>
      <c r="R781" s="102" t="s">
        <v>48</v>
      </c>
      <c r="S781" s="102" t="s">
        <v>48</v>
      </c>
      <c r="T781" s="102" t="s">
        <v>48</v>
      </c>
      <c r="U781" s="102" t="s">
        <v>48</v>
      </c>
      <c r="V781" s="205" t="s">
        <v>48</v>
      </c>
      <c r="W781" s="204" t="s">
        <v>2740</v>
      </c>
      <c r="X781" s="102" t="s">
        <v>2740</v>
      </c>
      <c r="Y781" s="102" t="s">
        <v>48</v>
      </c>
      <c r="Z781" s="102" t="s">
        <v>48</v>
      </c>
      <c r="AA781" s="102" t="s">
        <v>48</v>
      </c>
      <c r="AB781" s="102" t="s">
        <v>48</v>
      </c>
      <c r="AC781" s="102" t="s">
        <v>48</v>
      </c>
      <c r="AD781" s="205" t="s">
        <v>48</v>
      </c>
      <c r="AE781" s="204" t="s">
        <v>48</v>
      </c>
      <c r="AF781" s="102" t="s">
        <v>48</v>
      </c>
      <c r="AG781" s="102" t="s">
        <v>48</v>
      </c>
      <c r="AH781" s="102" t="s">
        <v>48</v>
      </c>
      <c r="AI781" s="102" t="s">
        <v>48</v>
      </c>
      <c r="AJ781" s="102" t="s">
        <v>48</v>
      </c>
      <c r="AK781" s="205" t="s">
        <v>48</v>
      </c>
      <c r="AL781" s="204" t="s">
        <v>2740</v>
      </c>
      <c r="AM781" s="102" t="s">
        <v>2740</v>
      </c>
      <c r="AN781" s="102" t="s">
        <v>48</v>
      </c>
      <c r="AO781" s="102" t="s">
        <v>48</v>
      </c>
      <c r="AP781" s="102" t="s">
        <v>48</v>
      </c>
      <c r="AQ781" s="102" t="s">
        <v>48</v>
      </c>
      <c r="AR781" s="102" t="s">
        <v>48</v>
      </c>
      <c r="AS781" s="205" t="s">
        <v>48</v>
      </c>
      <c r="AT781" s="204" t="s">
        <v>48</v>
      </c>
      <c r="AU781" s="102" t="s">
        <v>48</v>
      </c>
      <c r="AV781" s="102" t="s">
        <v>48</v>
      </c>
      <c r="AW781" s="102" t="s">
        <v>48</v>
      </c>
      <c r="AX781" s="102" t="s">
        <v>48</v>
      </c>
      <c r="AY781" s="102" t="s">
        <v>48</v>
      </c>
      <c r="AZ781" s="205" t="s">
        <v>48</v>
      </c>
      <c r="BA781" s="206" t="s">
        <v>2759</v>
      </c>
      <c r="BB781" s="102" t="s">
        <v>49</v>
      </c>
      <c r="BC781" s="224" t="s">
        <v>2801</v>
      </c>
    </row>
    <row r="782" spans="1:55" s="11" customFormat="1" ht="75" hidden="1" customHeight="1">
      <c r="A782" s="102" t="s">
        <v>2344</v>
      </c>
      <c r="B782" s="102" t="s">
        <v>2021</v>
      </c>
      <c r="C782" s="224" t="s">
        <v>2739</v>
      </c>
      <c r="D782" s="102" t="s">
        <v>2787</v>
      </c>
      <c r="E782" s="203">
        <v>30000</v>
      </c>
      <c r="F782" s="204" t="s">
        <v>2787</v>
      </c>
      <c r="G782" s="102" t="s">
        <v>2787</v>
      </c>
      <c r="H782" s="102" t="s">
        <v>48</v>
      </c>
      <c r="I782" s="102" t="s">
        <v>48</v>
      </c>
      <c r="J782" s="102" t="s">
        <v>48</v>
      </c>
      <c r="K782" s="102" t="s">
        <v>48</v>
      </c>
      <c r="L782" s="102" t="s">
        <v>48</v>
      </c>
      <c r="M782" s="102" t="s">
        <v>48</v>
      </c>
      <c r="N782" s="206" t="s">
        <v>48</v>
      </c>
      <c r="O782" s="102" t="s">
        <v>48</v>
      </c>
      <c r="P782" s="206" t="s">
        <v>48</v>
      </c>
      <c r="Q782" s="102" t="s">
        <v>48</v>
      </c>
      <c r="R782" s="102" t="s">
        <v>48</v>
      </c>
      <c r="S782" s="102" t="s">
        <v>48</v>
      </c>
      <c r="T782" s="102" t="s">
        <v>48</v>
      </c>
      <c r="U782" s="102" t="s">
        <v>48</v>
      </c>
      <c r="V782" s="205" t="s">
        <v>48</v>
      </c>
      <c r="W782" s="204" t="s">
        <v>2787</v>
      </c>
      <c r="X782" s="102" t="s">
        <v>2787</v>
      </c>
      <c r="Y782" s="102" t="s">
        <v>48</v>
      </c>
      <c r="Z782" s="102" t="s">
        <v>48</v>
      </c>
      <c r="AA782" s="102" t="s">
        <v>48</v>
      </c>
      <c r="AB782" s="102" t="s">
        <v>48</v>
      </c>
      <c r="AC782" s="102" t="s">
        <v>48</v>
      </c>
      <c r="AD782" s="205" t="s">
        <v>48</v>
      </c>
      <c r="AE782" s="204" t="s">
        <v>48</v>
      </c>
      <c r="AF782" s="102" t="s">
        <v>48</v>
      </c>
      <c r="AG782" s="102" t="s">
        <v>48</v>
      </c>
      <c r="AH782" s="102" t="s">
        <v>48</v>
      </c>
      <c r="AI782" s="102" t="s">
        <v>48</v>
      </c>
      <c r="AJ782" s="102" t="s">
        <v>48</v>
      </c>
      <c r="AK782" s="205" t="s">
        <v>48</v>
      </c>
      <c r="AL782" s="204" t="s">
        <v>2787</v>
      </c>
      <c r="AM782" s="102" t="s">
        <v>2787</v>
      </c>
      <c r="AN782" s="102" t="s">
        <v>48</v>
      </c>
      <c r="AO782" s="102" t="s">
        <v>48</v>
      </c>
      <c r="AP782" s="102" t="s">
        <v>48</v>
      </c>
      <c r="AQ782" s="102" t="s">
        <v>48</v>
      </c>
      <c r="AR782" s="102" t="s">
        <v>48</v>
      </c>
      <c r="AS782" s="205" t="s">
        <v>48</v>
      </c>
      <c r="AT782" s="204" t="s">
        <v>48</v>
      </c>
      <c r="AU782" s="102" t="s">
        <v>48</v>
      </c>
      <c r="AV782" s="102" t="s">
        <v>48</v>
      </c>
      <c r="AW782" s="102" t="s">
        <v>48</v>
      </c>
      <c r="AX782" s="102" t="s">
        <v>48</v>
      </c>
      <c r="AY782" s="102" t="s">
        <v>48</v>
      </c>
      <c r="AZ782" s="205" t="s">
        <v>48</v>
      </c>
      <c r="BA782" s="206" t="s">
        <v>2759</v>
      </c>
      <c r="BB782" s="102" t="s">
        <v>49</v>
      </c>
      <c r="BC782" s="224" t="s">
        <v>2801</v>
      </c>
    </row>
    <row r="783" spans="1:55" s="11" customFormat="1" ht="75" hidden="1" customHeight="1">
      <c r="A783" s="102" t="s">
        <v>2344</v>
      </c>
      <c r="B783" s="102" t="s">
        <v>2021</v>
      </c>
      <c r="C783" s="224" t="s">
        <v>2739</v>
      </c>
      <c r="D783" s="102" t="s">
        <v>2788</v>
      </c>
      <c r="E783" s="203">
        <v>30000</v>
      </c>
      <c r="F783" s="204" t="s">
        <v>2788</v>
      </c>
      <c r="G783" s="102" t="s">
        <v>2788</v>
      </c>
      <c r="H783" s="102" t="s">
        <v>48</v>
      </c>
      <c r="I783" s="102" t="s">
        <v>48</v>
      </c>
      <c r="J783" s="102" t="s">
        <v>48</v>
      </c>
      <c r="K783" s="102" t="s">
        <v>48</v>
      </c>
      <c r="L783" s="102" t="s">
        <v>48</v>
      </c>
      <c r="M783" s="102" t="s">
        <v>48</v>
      </c>
      <c r="N783" s="206" t="s">
        <v>48</v>
      </c>
      <c r="O783" s="102" t="s">
        <v>48</v>
      </c>
      <c r="P783" s="206" t="s">
        <v>48</v>
      </c>
      <c r="Q783" s="102" t="s">
        <v>48</v>
      </c>
      <c r="R783" s="102" t="s">
        <v>48</v>
      </c>
      <c r="S783" s="102" t="s">
        <v>48</v>
      </c>
      <c r="T783" s="102" t="s">
        <v>48</v>
      </c>
      <c r="U783" s="102" t="s">
        <v>48</v>
      </c>
      <c r="V783" s="205" t="s">
        <v>48</v>
      </c>
      <c r="W783" s="204" t="s">
        <v>2788</v>
      </c>
      <c r="X783" s="102" t="s">
        <v>2788</v>
      </c>
      <c r="Y783" s="102" t="s">
        <v>48</v>
      </c>
      <c r="Z783" s="102" t="s">
        <v>48</v>
      </c>
      <c r="AA783" s="102" t="s">
        <v>48</v>
      </c>
      <c r="AB783" s="102" t="s">
        <v>48</v>
      </c>
      <c r="AC783" s="102" t="s">
        <v>48</v>
      </c>
      <c r="AD783" s="205" t="s">
        <v>48</v>
      </c>
      <c r="AE783" s="204" t="s">
        <v>48</v>
      </c>
      <c r="AF783" s="102" t="s">
        <v>48</v>
      </c>
      <c r="AG783" s="102" t="s">
        <v>48</v>
      </c>
      <c r="AH783" s="102" t="s">
        <v>48</v>
      </c>
      <c r="AI783" s="102" t="s">
        <v>48</v>
      </c>
      <c r="AJ783" s="102" t="s">
        <v>48</v>
      </c>
      <c r="AK783" s="205" t="s">
        <v>48</v>
      </c>
      <c r="AL783" s="204" t="s">
        <v>2788</v>
      </c>
      <c r="AM783" s="102" t="s">
        <v>2788</v>
      </c>
      <c r="AN783" s="102" t="s">
        <v>48</v>
      </c>
      <c r="AO783" s="102" t="s">
        <v>48</v>
      </c>
      <c r="AP783" s="102" t="s">
        <v>48</v>
      </c>
      <c r="AQ783" s="102" t="s">
        <v>48</v>
      </c>
      <c r="AR783" s="102" t="s">
        <v>48</v>
      </c>
      <c r="AS783" s="205" t="s">
        <v>48</v>
      </c>
      <c r="AT783" s="204" t="s">
        <v>48</v>
      </c>
      <c r="AU783" s="102" t="s">
        <v>48</v>
      </c>
      <c r="AV783" s="102" t="s">
        <v>48</v>
      </c>
      <c r="AW783" s="102" t="s">
        <v>48</v>
      </c>
      <c r="AX783" s="102" t="s">
        <v>48</v>
      </c>
      <c r="AY783" s="102" t="s">
        <v>48</v>
      </c>
      <c r="AZ783" s="205" t="s">
        <v>48</v>
      </c>
      <c r="BA783" s="206" t="s">
        <v>2759</v>
      </c>
      <c r="BB783" s="102" t="s">
        <v>49</v>
      </c>
      <c r="BC783" s="224" t="s">
        <v>2801</v>
      </c>
    </row>
    <row r="784" spans="1:55" s="11" customFormat="1" ht="75" hidden="1" customHeight="1">
      <c r="A784" s="102" t="s">
        <v>40</v>
      </c>
      <c r="B784" s="102" t="s">
        <v>2020</v>
      </c>
      <c r="C784" s="224" t="s">
        <v>2739</v>
      </c>
      <c r="D784" s="102" t="s">
        <v>2740</v>
      </c>
      <c r="E784" s="203">
        <v>30000</v>
      </c>
      <c r="F784" s="204" t="s">
        <v>2740</v>
      </c>
      <c r="G784" s="102" t="s">
        <v>2740</v>
      </c>
      <c r="H784" s="102" t="s">
        <v>48</v>
      </c>
      <c r="I784" s="102" t="s">
        <v>48</v>
      </c>
      <c r="J784" s="102" t="s">
        <v>48</v>
      </c>
      <c r="K784" s="102" t="s">
        <v>48</v>
      </c>
      <c r="L784" s="102" t="s">
        <v>48</v>
      </c>
      <c r="M784" s="102" t="s">
        <v>48</v>
      </c>
      <c r="N784" s="206" t="s">
        <v>48</v>
      </c>
      <c r="O784" s="102" t="s">
        <v>48</v>
      </c>
      <c r="P784" s="206" t="s">
        <v>48</v>
      </c>
      <c r="Q784" s="102" t="s">
        <v>48</v>
      </c>
      <c r="R784" s="102" t="s">
        <v>48</v>
      </c>
      <c r="S784" s="102" t="s">
        <v>48</v>
      </c>
      <c r="T784" s="102" t="s">
        <v>48</v>
      </c>
      <c r="U784" s="102" t="s">
        <v>48</v>
      </c>
      <c r="V784" s="205" t="s">
        <v>48</v>
      </c>
      <c r="W784" s="204" t="s">
        <v>2740</v>
      </c>
      <c r="X784" s="102" t="s">
        <v>2740</v>
      </c>
      <c r="Y784" s="102" t="s">
        <v>48</v>
      </c>
      <c r="Z784" s="102" t="s">
        <v>48</v>
      </c>
      <c r="AA784" s="102" t="s">
        <v>48</v>
      </c>
      <c r="AB784" s="102" t="s">
        <v>48</v>
      </c>
      <c r="AC784" s="102" t="s">
        <v>48</v>
      </c>
      <c r="AD784" s="205" t="s">
        <v>48</v>
      </c>
      <c r="AE784" s="204" t="s">
        <v>48</v>
      </c>
      <c r="AF784" s="102" t="s">
        <v>48</v>
      </c>
      <c r="AG784" s="102" t="s">
        <v>48</v>
      </c>
      <c r="AH784" s="102" t="s">
        <v>48</v>
      </c>
      <c r="AI784" s="102" t="s">
        <v>48</v>
      </c>
      <c r="AJ784" s="102" t="s">
        <v>48</v>
      </c>
      <c r="AK784" s="205" t="s">
        <v>48</v>
      </c>
      <c r="AL784" s="204" t="s">
        <v>2740</v>
      </c>
      <c r="AM784" s="102" t="s">
        <v>2740</v>
      </c>
      <c r="AN784" s="102" t="s">
        <v>48</v>
      </c>
      <c r="AO784" s="102" t="s">
        <v>48</v>
      </c>
      <c r="AP784" s="102" t="s">
        <v>48</v>
      </c>
      <c r="AQ784" s="102" t="s">
        <v>48</v>
      </c>
      <c r="AR784" s="102" t="s">
        <v>48</v>
      </c>
      <c r="AS784" s="205" t="s">
        <v>48</v>
      </c>
      <c r="AT784" s="204" t="s">
        <v>48</v>
      </c>
      <c r="AU784" s="102" t="s">
        <v>48</v>
      </c>
      <c r="AV784" s="102" t="s">
        <v>48</v>
      </c>
      <c r="AW784" s="102" t="s">
        <v>48</v>
      </c>
      <c r="AX784" s="102" t="s">
        <v>48</v>
      </c>
      <c r="AY784" s="102" t="s">
        <v>48</v>
      </c>
      <c r="AZ784" s="205" t="s">
        <v>48</v>
      </c>
      <c r="BA784" s="206" t="s">
        <v>2759</v>
      </c>
      <c r="BB784" s="102" t="s">
        <v>49</v>
      </c>
      <c r="BC784" s="224" t="s">
        <v>2801</v>
      </c>
    </row>
    <row r="785" spans="1:55" s="11" customFormat="1" ht="75" hidden="1" customHeight="1">
      <c r="A785" s="102" t="s">
        <v>40</v>
      </c>
      <c r="B785" s="102" t="s">
        <v>2020</v>
      </c>
      <c r="C785" s="224" t="s">
        <v>2739</v>
      </c>
      <c r="D785" s="102" t="s">
        <v>2785</v>
      </c>
      <c r="E785" s="203">
        <v>30000</v>
      </c>
      <c r="F785" s="204" t="s">
        <v>2785</v>
      </c>
      <c r="G785" s="102" t="s">
        <v>2785</v>
      </c>
      <c r="H785" s="102" t="s">
        <v>48</v>
      </c>
      <c r="I785" s="102" t="s">
        <v>48</v>
      </c>
      <c r="J785" s="102" t="s">
        <v>48</v>
      </c>
      <c r="K785" s="102" t="s">
        <v>48</v>
      </c>
      <c r="L785" s="102" t="s">
        <v>48</v>
      </c>
      <c r="M785" s="102" t="s">
        <v>48</v>
      </c>
      <c r="N785" s="206" t="s">
        <v>48</v>
      </c>
      <c r="O785" s="102" t="s">
        <v>48</v>
      </c>
      <c r="P785" s="206" t="s">
        <v>48</v>
      </c>
      <c r="Q785" s="102" t="s">
        <v>48</v>
      </c>
      <c r="R785" s="102" t="s">
        <v>48</v>
      </c>
      <c r="S785" s="102" t="s">
        <v>48</v>
      </c>
      <c r="T785" s="102" t="s">
        <v>48</v>
      </c>
      <c r="U785" s="102" t="s">
        <v>48</v>
      </c>
      <c r="V785" s="205" t="s">
        <v>48</v>
      </c>
      <c r="W785" s="204" t="s">
        <v>2785</v>
      </c>
      <c r="X785" s="102" t="s">
        <v>2785</v>
      </c>
      <c r="Y785" s="102" t="s">
        <v>48</v>
      </c>
      <c r="Z785" s="102" t="s">
        <v>48</v>
      </c>
      <c r="AA785" s="102" t="s">
        <v>48</v>
      </c>
      <c r="AB785" s="102" t="s">
        <v>48</v>
      </c>
      <c r="AC785" s="102" t="s">
        <v>48</v>
      </c>
      <c r="AD785" s="205" t="s">
        <v>48</v>
      </c>
      <c r="AE785" s="204" t="s">
        <v>48</v>
      </c>
      <c r="AF785" s="102" t="s">
        <v>48</v>
      </c>
      <c r="AG785" s="102" t="s">
        <v>48</v>
      </c>
      <c r="AH785" s="102" t="s">
        <v>48</v>
      </c>
      <c r="AI785" s="102" t="s">
        <v>48</v>
      </c>
      <c r="AJ785" s="102" t="s">
        <v>48</v>
      </c>
      <c r="AK785" s="205" t="s">
        <v>48</v>
      </c>
      <c r="AL785" s="204" t="s">
        <v>2785</v>
      </c>
      <c r="AM785" s="102" t="s">
        <v>2785</v>
      </c>
      <c r="AN785" s="102" t="s">
        <v>48</v>
      </c>
      <c r="AO785" s="102" t="s">
        <v>48</v>
      </c>
      <c r="AP785" s="102" t="s">
        <v>48</v>
      </c>
      <c r="AQ785" s="102" t="s">
        <v>48</v>
      </c>
      <c r="AR785" s="102" t="s">
        <v>48</v>
      </c>
      <c r="AS785" s="205" t="s">
        <v>48</v>
      </c>
      <c r="AT785" s="204" t="s">
        <v>48</v>
      </c>
      <c r="AU785" s="102" t="s">
        <v>48</v>
      </c>
      <c r="AV785" s="102" t="s">
        <v>48</v>
      </c>
      <c r="AW785" s="102" t="s">
        <v>48</v>
      </c>
      <c r="AX785" s="102" t="s">
        <v>48</v>
      </c>
      <c r="AY785" s="102" t="s">
        <v>48</v>
      </c>
      <c r="AZ785" s="205" t="s">
        <v>48</v>
      </c>
      <c r="BA785" s="206" t="s">
        <v>2759</v>
      </c>
      <c r="BB785" s="102" t="s">
        <v>49</v>
      </c>
      <c r="BC785" s="224" t="s">
        <v>2801</v>
      </c>
    </row>
    <row r="786" spans="1:55" s="11" customFormat="1" ht="75" hidden="1" customHeight="1">
      <c r="A786" s="102" t="s">
        <v>40</v>
      </c>
      <c r="B786" s="102" t="s">
        <v>2020</v>
      </c>
      <c r="C786" s="224" t="s">
        <v>2739</v>
      </c>
      <c r="D786" s="102" t="s">
        <v>2786</v>
      </c>
      <c r="E786" s="203">
        <v>30000</v>
      </c>
      <c r="F786" s="204" t="s">
        <v>2786</v>
      </c>
      <c r="G786" s="102" t="s">
        <v>2786</v>
      </c>
      <c r="H786" s="102" t="s">
        <v>48</v>
      </c>
      <c r="I786" s="102" t="s">
        <v>48</v>
      </c>
      <c r="J786" s="102" t="s">
        <v>48</v>
      </c>
      <c r="K786" s="102" t="s">
        <v>48</v>
      </c>
      <c r="L786" s="102" t="s">
        <v>48</v>
      </c>
      <c r="M786" s="102" t="s">
        <v>48</v>
      </c>
      <c r="N786" s="206" t="s">
        <v>48</v>
      </c>
      <c r="O786" s="102" t="s">
        <v>48</v>
      </c>
      <c r="P786" s="206" t="s">
        <v>48</v>
      </c>
      <c r="Q786" s="102" t="s">
        <v>48</v>
      </c>
      <c r="R786" s="102" t="s">
        <v>48</v>
      </c>
      <c r="S786" s="102" t="s">
        <v>48</v>
      </c>
      <c r="T786" s="102" t="s">
        <v>48</v>
      </c>
      <c r="U786" s="102" t="s">
        <v>48</v>
      </c>
      <c r="V786" s="205" t="s">
        <v>48</v>
      </c>
      <c r="W786" s="204" t="s">
        <v>2786</v>
      </c>
      <c r="X786" s="102" t="s">
        <v>2786</v>
      </c>
      <c r="Y786" s="102" t="s">
        <v>48</v>
      </c>
      <c r="Z786" s="102" t="s">
        <v>48</v>
      </c>
      <c r="AA786" s="102" t="s">
        <v>48</v>
      </c>
      <c r="AB786" s="102" t="s">
        <v>48</v>
      </c>
      <c r="AC786" s="102" t="s">
        <v>48</v>
      </c>
      <c r="AD786" s="205" t="s">
        <v>48</v>
      </c>
      <c r="AE786" s="204" t="s">
        <v>48</v>
      </c>
      <c r="AF786" s="102" t="s">
        <v>48</v>
      </c>
      <c r="AG786" s="102" t="s">
        <v>48</v>
      </c>
      <c r="AH786" s="102" t="s">
        <v>48</v>
      </c>
      <c r="AI786" s="102" t="s">
        <v>48</v>
      </c>
      <c r="AJ786" s="102" t="s">
        <v>48</v>
      </c>
      <c r="AK786" s="205" t="s">
        <v>48</v>
      </c>
      <c r="AL786" s="204" t="s">
        <v>2786</v>
      </c>
      <c r="AM786" s="102" t="s">
        <v>2786</v>
      </c>
      <c r="AN786" s="102" t="s">
        <v>48</v>
      </c>
      <c r="AO786" s="102" t="s">
        <v>48</v>
      </c>
      <c r="AP786" s="102" t="s">
        <v>48</v>
      </c>
      <c r="AQ786" s="102" t="s">
        <v>48</v>
      </c>
      <c r="AR786" s="102" t="s">
        <v>48</v>
      </c>
      <c r="AS786" s="205" t="s">
        <v>48</v>
      </c>
      <c r="AT786" s="204" t="s">
        <v>48</v>
      </c>
      <c r="AU786" s="102" t="s">
        <v>48</v>
      </c>
      <c r="AV786" s="102" t="s">
        <v>48</v>
      </c>
      <c r="AW786" s="102" t="s">
        <v>48</v>
      </c>
      <c r="AX786" s="102" t="s">
        <v>48</v>
      </c>
      <c r="AY786" s="102" t="s">
        <v>48</v>
      </c>
      <c r="AZ786" s="205" t="s">
        <v>48</v>
      </c>
      <c r="BA786" s="206" t="s">
        <v>2759</v>
      </c>
      <c r="BB786" s="102" t="s">
        <v>49</v>
      </c>
      <c r="BC786" s="224" t="s">
        <v>2801</v>
      </c>
    </row>
    <row r="787" spans="1:55" s="11" customFormat="1" ht="75" hidden="1" customHeight="1">
      <c r="A787" s="102" t="s">
        <v>40</v>
      </c>
      <c r="B787" s="102" t="s">
        <v>2790</v>
      </c>
      <c r="C787" s="224" t="s">
        <v>2739</v>
      </c>
      <c r="D787" s="102" t="s">
        <v>2785</v>
      </c>
      <c r="E787" s="203">
        <v>30000</v>
      </c>
      <c r="F787" s="204" t="s">
        <v>2785</v>
      </c>
      <c r="G787" s="102" t="s">
        <v>2785</v>
      </c>
      <c r="H787" s="102" t="s">
        <v>48</v>
      </c>
      <c r="I787" s="102" t="s">
        <v>48</v>
      </c>
      <c r="J787" s="102" t="s">
        <v>48</v>
      </c>
      <c r="K787" s="102" t="s">
        <v>48</v>
      </c>
      <c r="L787" s="102" t="s">
        <v>48</v>
      </c>
      <c r="M787" s="102" t="s">
        <v>48</v>
      </c>
      <c r="N787" s="206" t="s">
        <v>48</v>
      </c>
      <c r="O787" s="102" t="s">
        <v>48</v>
      </c>
      <c r="P787" s="206" t="s">
        <v>48</v>
      </c>
      <c r="Q787" s="102" t="s">
        <v>48</v>
      </c>
      <c r="R787" s="102" t="s">
        <v>48</v>
      </c>
      <c r="S787" s="102" t="s">
        <v>48</v>
      </c>
      <c r="T787" s="102" t="s">
        <v>48</v>
      </c>
      <c r="U787" s="102" t="s">
        <v>48</v>
      </c>
      <c r="V787" s="205" t="s">
        <v>48</v>
      </c>
      <c r="W787" s="204" t="s">
        <v>2785</v>
      </c>
      <c r="X787" s="102" t="s">
        <v>2785</v>
      </c>
      <c r="Y787" s="102" t="s">
        <v>48</v>
      </c>
      <c r="Z787" s="102" t="s">
        <v>48</v>
      </c>
      <c r="AA787" s="102" t="s">
        <v>48</v>
      </c>
      <c r="AB787" s="102" t="s">
        <v>48</v>
      </c>
      <c r="AC787" s="102" t="s">
        <v>48</v>
      </c>
      <c r="AD787" s="205" t="s">
        <v>48</v>
      </c>
      <c r="AE787" s="204" t="s">
        <v>48</v>
      </c>
      <c r="AF787" s="102" t="s">
        <v>48</v>
      </c>
      <c r="AG787" s="102" t="s">
        <v>48</v>
      </c>
      <c r="AH787" s="102" t="s">
        <v>48</v>
      </c>
      <c r="AI787" s="102" t="s">
        <v>48</v>
      </c>
      <c r="AJ787" s="102" t="s">
        <v>48</v>
      </c>
      <c r="AK787" s="205" t="s">
        <v>48</v>
      </c>
      <c r="AL787" s="204" t="s">
        <v>2785</v>
      </c>
      <c r="AM787" s="102" t="s">
        <v>2785</v>
      </c>
      <c r="AN787" s="102" t="s">
        <v>48</v>
      </c>
      <c r="AO787" s="102" t="s">
        <v>48</v>
      </c>
      <c r="AP787" s="102" t="s">
        <v>48</v>
      </c>
      <c r="AQ787" s="102" t="s">
        <v>48</v>
      </c>
      <c r="AR787" s="102" t="s">
        <v>48</v>
      </c>
      <c r="AS787" s="205" t="s">
        <v>48</v>
      </c>
      <c r="AT787" s="204" t="s">
        <v>48</v>
      </c>
      <c r="AU787" s="102" t="s">
        <v>48</v>
      </c>
      <c r="AV787" s="102" t="s">
        <v>48</v>
      </c>
      <c r="AW787" s="102" t="s">
        <v>48</v>
      </c>
      <c r="AX787" s="102" t="s">
        <v>48</v>
      </c>
      <c r="AY787" s="102" t="s">
        <v>48</v>
      </c>
      <c r="AZ787" s="205" t="s">
        <v>48</v>
      </c>
      <c r="BA787" s="206" t="s">
        <v>2759</v>
      </c>
      <c r="BB787" s="102" t="s">
        <v>49</v>
      </c>
      <c r="BC787" s="224" t="s">
        <v>2801</v>
      </c>
    </row>
    <row r="788" spans="1:55" s="11" customFormat="1" ht="75" hidden="1" customHeight="1">
      <c r="A788" s="102" t="s">
        <v>40</v>
      </c>
      <c r="B788" s="102" t="s">
        <v>2029</v>
      </c>
      <c r="C788" s="224" t="s">
        <v>2739</v>
      </c>
      <c r="D788" s="102" t="s">
        <v>2740</v>
      </c>
      <c r="E788" s="203">
        <v>30000</v>
      </c>
      <c r="F788" s="204" t="s">
        <v>2740</v>
      </c>
      <c r="G788" s="102" t="s">
        <v>2740</v>
      </c>
      <c r="H788" s="102" t="s">
        <v>48</v>
      </c>
      <c r="I788" s="102" t="s">
        <v>48</v>
      </c>
      <c r="J788" s="102" t="s">
        <v>48</v>
      </c>
      <c r="K788" s="102" t="s">
        <v>48</v>
      </c>
      <c r="L788" s="102" t="s">
        <v>48</v>
      </c>
      <c r="M788" s="102" t="s">
        <v>48</v>
      </c>
      <c r="N788" s="206" t="s">
        <v>48</v>
      </c>
      <c r="O788" s="102" t="s">
        <v>48</v>
      </c>
      <c r="P788" s="206" t="s">
        <v>48</v>
      </c>
      <c r="Q788" s="102" t="s">
        <v>48</v>
      </c>
      <c r="R788" s="102" t="s">
        <v>48</v>
      </c>
      <c r="S788" s="102" t="s">
        <v>48</v>
      </c>
      <c r="T788" s="102" t="s">
        <v>48</v>
      </c>
      <c r="U788" s="102" t="s">
        <v>48</v>
      </c>
      <c r="V788" s="205" t="s">
        <v>48</v>
      </c>
      <c r="W788" s="204" t="s">
        <v>2740</v>
      </c>
      <c r="X788" s="102" t="s">
        <v>2740</v>
      </c>
      <c r="Y788" s="102" t="s">
        <v>48</v>
      </c>
      <c r="Z788" s="102" t="s">
        <v>48</v>
      </c>
      <c r="AA788" s="102" t="s">
        <v>48</v>
      </c>
      <c r="AB788" s="102" t="s">
        <v>48</v>
      </c>
      <c r="AC788" s="102" t="s">
        <v>48</v>
      </c>
      <c r="AD788" s="205" t="s">
        <v>48</v>
      </c>
      <c r="AE788" s="204" t="s">
        <v>48</v>
      </c>
      <c r="AF788" s="102" t="s">
        <v>48</v>
      </c>
      <c r="AG788" s="102" t="s">
        <v>48</v>
      </c>
      <c r="AH788" s="102" t="s">
        <v>48</v>
      </c>
      <c r="AI788" s="102" t="s">
        <v>48</v>
      </c>
      <c r="AJ788" s="102" t="s">
        <v>48</v>
      </c>
      <c r="AK788" s="205" t="s">
        <v>48</v>
      </c>
      <c r="AL788" s="204" t="s">
        <v>2740</v>
      </c>
      <c r="AM788" s="102" t="s">
        <v>2740</v>
      </c>
      <c r="AN788" s="102" t="s">
        <v>48</v>
      </c>
      <c r="AO788" s="102" t="s">
        <v>48</v>
      </c>
      <c r="AP788" s="102" t="s">
        <v>48</v>
      </c>
      <c r="AQ788" s="102" t="s">
        <v>48</v>
      </c>
      <c r="AR788" s="102" t="s">
        <v>48</v>
      </c>
      <c r="AS788" s="205" t="s">
        <v>48</v>
      </c>
      <c r="AT788" s="204" t="s">
        <v>48</v>
      </c>
      <c r="AU788" s="102" t="s">
        <v>48</v>
      </c>
      <c r="AV788" s="102" t="s">
        <v>48</v>
      </c>
      <c r="AW788" s="102" t="s">
        <v>48</v>
      </c>
      <c r="AX788" s="102" t="s">
        <v>48</v>
      </c>
      <c r="AY788" s="102" t="s">
        <v>48</v>
      </c>
      <c r="AZ788" s="205" t="s">
        <v>48</v>
      </c>
      <c r="BA788" s="206" t="s">
        <v>2759</v>
      </c>
      <c r="BB788" s="102" t="s">
        <v>49</v>
      </c>
      <c r="BC788" s="224" t="s">
        <v>2801</v>
      </c>
    </row>
    <row r="789" spans="1:55" s="11" customFormat="1" ht="75" hidden="1" customHeight="1">
      <c r="A789" s="102" t="s">
        <v>2340</v>
      </c>
      <c r="B789" s="102" t="s">
        <v>2022</v>
      </c>
      <c r="C789" s="224" t="s">
        <v>2739</v>
      </c>
      <c r="D789" s="102" t="s">
        <v>2740</v>
      </c>
      <c r="E789" s="203">
        <v>30000</v>
      </c>
      <c r="F789" s="204" t="s">
        <v>2740</v>
      </c>
      <c r="G789" s="102" t="s">
        <v>2740</v>
      </c>
      <c r="H789" s="102" t="s">
        <v>48</v>
      </c>
      <c r="I789" s="102" t="s">
        <v>48</v>
      </c>
      <c r="J789" s="102" t="s">
        <v>48</v>
      </c>
      <c r="K789" s="102" t="s">
        <v>48</v>
      </c>
      <c r="L789" s="102" t="s">
        <v>48</v>
      </c>
      <c r="M789" s="102" t="s">
        <v>48</v>
      </c>
      <c r="N789" s="206" t="s">
        <v>48</v>
      </c>
      <c r="O789" s="102" t="s">
        <v>48</v>
      </c>
      <c r="P789" s="206" t="s">
        <v>48</v>
      </c>
      <c r="Q789" s="102" t="s">
        <v>48</v>
      </c>
      <c r="R789" s="102" t="s">
        <v>48</v>
      </c>
      <c r="S789" s="102" t="s">
        <v>48</v>
      </c>
      <c r="T789" s="102" t="s">
        <v>48</v>
      </c>
      <c r="U789" s="102" t="s">
        <v>48</v>
      </c>
      <c r="V789" s="205" t="s">
        <v>48</v>
      </c>
      <c r="W789" s="204" t="s">
        <v>2740</v>
      </c>
      <c r="X789" s="102" t="s">
        <v>2740</v>
      </c>
      <c r="Y789" s="102" t="s">
        <v>48</v>
      </c>
      <c r="Z789" s="102" t="s">
        <v>48</v>
      </c>
      <c r="AA789" s="102" t="s">
        <v>48</v>
      </c>
      <c r="AB789" s="102" t="s">
        <v>48</v>
      </c>
      <c r="AC789" s="102" t="s">
        <v>48</v>
      </c>
      <c r="AD789" s="205" t="s">
        <v>48</v>
      </c>
      <c r="AE789" s="204" t="s">
        <v>48</v>
      </c>
      <c r="AF789" s="102" t="s">
        <v>48</v>
      </c>
      <c r="AG789" s="102" t="s">
        <v>48</v>
      </c>
      <c r="AH789" s="102" t="s">
        <v>48</v>
      </c>
      <c r="AI789" s="102" t="s">
        <v>48</v>
      </c>
      <c r="AJ789" s="102" t="s">
        <v>48</v>
      </c>
      <c r="AK789" s="205" t="s">
        <v>48</v>
      </c>
      <c r="AL789" s="204" t="s">
        <v>2740</v>
      </c>
      <c r="AM789" s="102" t="s">
        <v>2740</v>
      </c>
      <c r="AN789" s="102" t="s">
        <v>48</v>
      </c>
      <c r="AO789" s="102" t="s">
        <v>48</v>
      </c>
      <c r="AP789" s="102" t="s">
        <v>48</v>
      </c>
      <c r="AQ789" s="102" t="s">
        <v>48</v>
      </c>
      <c r="AR789" s="102" t="s">
        <v>48</v>
      </c>
      <c r="AS789" s="205" t="s">
        <v>48</v>
      </c>
      <c r="AT789" s="204" t="s">
        <v>48</v>
      </c>
      <c r="AU789" s="102" t="s">
        <v>48</v>
      </c>
      <c r="AV789" s="102" t="s">
        <v>48</v>
      </c>
      <c r="AW789" s="102" t="s">
        <v>48</v>
      </c>
      <c r="AX789" s="102" t="s">
        <v>48</v>
      </c>
      <c r="AY789" s="102" t="s">
        <v>48</v>
      </c>
      <c r="AZ789" s="205" t="s">
        <v>48</v>
      </c>
      <c r="BA789" s="206" t="s">
        <v>2759</v>
      </c>
      <c r="BB789" s="102" t="s">
        <v>49</v>
      </c>
      <c r="BC789" s="224" t="s">
        <v>2801</v>
      </c>
    </row>
    <row r="790" spans="1:55" s="11" customFormat="1" ht="75" hidden="1" customHeight="1">
      <c r="A790" s="102" t="s">
        <v>2340</v>
      </c>
      <c r="B790" s="102" t="s">
        <v>2022</v>
      </c>
      <c r="C790" s="224" t="s">
        <v>2739</v>
      </c>
      <c r="D790" s="102" t="s">
        <v>2783</v>
      </c>
      <c r="E790" s="203">
        <v>30000</v>
      </c>
      <c r="F790" s="204" t="s">
        <v>2783</v>
      </c>
      <c r="G790" s="102" t="s">
        <v>2783</v>
      </c>
      <c r="H790" s="102" t="s">
        <v>48</v>
      </c>
      <c r="I790" s="102" t="s">
        <v>48</v>
      </c>
      <c r="J790" s="102" t="s">
        <v>48</v>
      </c>
      <c r="K790" s="102" t="s">
        <v>48</v>
      </c>
      <c r="L790" s="102" t="s">
        <v>48</v>
      </c>
      <c r="M790" s="102" t="s">
        <v>48</v>
      </c>
      <c r="N790" s="206" t="s">
        <v>48</v>
      </c>
      <c r="O790" s="102" t="s">
        <v>48</v>
      </c>
      <c r="P790" s="206" t="s">
        <v>48</v>
      </c>
      <c r="Q790" s="102" t="s">
        <v>48</v>
      </c>
      <c r="R790" s="102" t="s">
        <v>48</v>
      </c>
      <c r="S790" s="102" t="s">
        <v>48</v>
      </c>
      <c r="T790" s="102" t="s">
        <v>48</v>
      </c>
      <c r="U790" s="102" t="s">
        <v>48</v>
      </c>
      <c r="V790" s="205" t="s">
        <v>48</v>
      </c>
      <c r="W790" s="204" t="s">
        <v>2783</v>
      </c>
      <c r="X790" s="102" t="s">
        <v>2783</v>
      </c>
      <c r="Y790" s="102" t="s">
        <v>48</v>
      </c>
      <c r="Z790" s="102" t="s">
        <v>48</v>
      </c>
      <c r="AA790" s="102" t="s">
        <v>48</v>
      </c>
      <c r="AB790" s="102" t="s">
        <v>48</v>
      </c>
      <c r="AC790" s="102" t="s">
        <v>48</v>
      </c>
      <c r="AD790" s="205" t="s">
        <v>48</v>
      </c>
      <c r="AE790" s="204" t="s">
        <v>48</v>
      </c>
      <c r="AF790" s="102" t="s">
        <v>48</v>
      </c>
      <c r="AG790" s="102" t="s">
        <v>48</v>
      </c>
      <c r="AH790" s="102" t="s">
        <v>48</v>
      </c>
      <c r="AI790" s="102" t="s">
        <v>48</v>
      </c>
      <c r="AJ790" s="102" t="s">
        <v>48</v>
      </c>
      <c r="AK790" s="205" t="s">
        <v>48</v>
      </c>
      <c r="AL790" s="204" t="s">
        <v>2783</v>
      </c>
      <c r="AM790" s="102" t="s">
        <v>2783</v>
      </c>
      <c r="AN790" s="102" t="s">
        <v>48</v>
      </c>
      <c r="AO790" s="102" t="s">
        <v>48</v>
      </c>
      <c r="AP790" s="102" t="s">
        <v>48</v>
      </c>
      <c r="AQ790" s="102" t="s">
        <v>48</v>
      </c>
      <c r="AR790" s="102" t="s">
        <v>48</v>
      </c>
      <c r="AS790" s="205" t="s">
        <v>48</v>
      </c>
      <c r="AT790" s="204" t="s">
        <v>48</v>
      </c>
      <c r="AU790" s="102" t="s">
        <v>48</v>
      </c>
      <c r="AV790" s="102" t="s">
        <v>48</v>
      </c>
      <c r="AW790" s="102" t="s">
        <v>48</v>
      </c>
      <c r="AX790" s="102" t="s">
        <v>48</v>
      </c>
      <c r="AY790" s="102" t="s">
        <v>48</v>
      </c>
      <c r="AZ790" s="205" t="s">
        <v>48</v>
      </c>
      <c r="BA790" s="206" t="s">
        <v>2759</v>
      </c>
      <c r="BB790" s="102" t="s">
        <v>49</v>
      </c>
      <c r="BC790" s="224" t="s">
        <v>2801</v>
      </c>
    </row>
    <row r="791" spans="1:55" s="11" customFormat="1" ht="75" hidden="1" customHeight="1">
      <c r="A791" s="102" t="s">
        <v>2341</v>
      </c>
      <c r="B791" s="102" t="s">
        <v>2023</v>
      </c>
      <c r="C791" s="224" t="s">
        <v>2739</v>
      </c>
      <c r="D791" s="102" t="s">
        <v>2740</v>
      </c>
      <c r="E791" s="203">
        <v>30000</v>
      </c>
      <c r="F791" s="204" t="s">
        <v>2740</v>
      </c>
      <c r="G791" s="102" t="s">
        <v>2740</v>
      </c>
      <c r="H791" s="102" t="s">
        <v>48</v>
      </c>
      <c r="I791" s="102" t="s">
        <v>48</v>
      </c>
      <c r="J791" s="102" t="s">
        <v>48</v>
      </c>
      <c r="K791" s="102" t="s">
        <v>48</v>
      </c>
      <c r="L791" s="102" t="s">
        <v>48</v>
      </c>
      <c r="M791" s="102" t="s">
        <v>48</v>
      </c>
      <c r="N791" s="206" t="s">
        <v>48</v>
      </c>
      <c r="O791" s="102" t="s">
        <v>48</v>
      </c>
      <c r="P791" s="206" t="s">
        <v>48</v>
      </c>
      <c r="Q791" s="102" t="s">
        <v>48</v>
      </c>
      <c r="R791" s="102" t="s">
        <v>48</v>
      </c>
      <c r="S791" s="102" t="s">
        <v>48</v>
      </c>
      <c r="T791" s="102" t="s">
        <v>48</v>
      </c>
      <c r="U791" s="102" t="s">
        <v>48</v>
      </c>
      <c r="V791" s="205" t="s">
        <v>48</v>
      </c>
      <c r="W791" s="204" t="s">
        <v>2740</v>
      </c>
      <c r="X791" s="102" t="s">
        <v>2740</v>
      </c>
      <c r="Y791" s="102" t="s">
        <v>48</v>
      </c>
      <c r="Z791" s="102" t="s">
        <v>48</v>
      </c>
      <c r="AA791" s="102" t="s">
        <v>48</v>
      </c>
      <c r="AB791" s="102" t="s">
        <v>48</v>
      </c>
      <c r="AC791" s="102" t="s">
        <v>48</v>
      </c>
      <c r="AD791" s="205" t="s">
        <v>48</v>
      </c>
      <c r="AE791" s="204" t="s">
        <v>48</v>
      </c>
      <c r="AF791" s="102" t="s">
        <v>48</v>
      </c>
      <c r="AG791" s="102" t="s">
        <v>48</v>
      </c>
      <c r="AH791" s="102" t="s">
        <v>48</v>
      </c>
      <c r="AI791" s="102" t="s">
        <v>48</v>
      </c>
      <c r="AJ791" s="102" t="s">
        <v>48</v>
      </c>
      <c r="AK791" s="205" t="s">
        <v>48</v>
      </c>
      <c r="AL791" s="204" t="s">
        <v>2740</v>
      </c>
      <c r="AM791" s="102" t="s">
        <v>2740</v>
      </c>
      <c r="AN791" s="102" t="s">
        <v>48</v>
      </c>
      <c r="AO791" s="102" t="s">
        <v>48</v>
      </c>
      <c r="AP791" s="102" t="s">
        <v>48</v>
      </c>
      <c r="AQ791" s="102" t="s">
        <v>48</v>
      </c>
      <c r="AR791" s="102" t="s">
        <v>48</v>
      </c>
      <c r="AS791" s="205" t="s">
        <v>48</v>
      </c>
      <c r="AT791" s="204" t="s">
        <v>48</v>
      </c>
      <c r="AU791" s="102" t="s">
        <v>48</v>
      </c>
      <c r="AV791" s="102" t="s">
        <v>48</v>
      </c>
      <c r="AW791" s="102" t="s">
        <v>48</v>
      </c>
      <c r="AX791" s="102" t="s">
        <v>48</v>
      </c>
      <c r="AY791" s="102" t="s">
        <v>48</v>
      </c>
      <c r="AZ791" s="205" t="s">
        <v>48</v>
      </c>
      <c r="BA791" s="206" t="s">
        <v>2759</v>
      </c>
      <c r="BB791" s="102" t="s">
        <v>49</v>
      </c>
      <c r="BC791" s="224" t="s">
        <v>2801</v>
      </c>
    </row>
    <row r="792" spans="1:55" s="11" customFormat="1" ht="75" hidden="1" customHeight="1">
      <c r="A792" s="102" t="s">
        <v>2341</v>
      </c>
      <c r="B792" s="102" t="s">
        <v>2023</v>
      </c>
      <c r="C792" s="224" t="s">
        <v>2739</v>
      </c>
      <c r="D792" s="102" t="s">
        <v>2783</v>
      </c>
      <c r="E792" s="203">
        <v>30000</v>
      </c>
      <c r="F792" s="204" t="s">
        <v>2783</v>
      </c>
      <c r="G792" s="102" t="s">
        <v>2783</v>
      </c>
      <c r="H792" s="102" t="s">
        <v>48</v>
      </c>
      <c r="I792" s="102" t="s">
        <v>48</v>
      </c>
      <c r="J792" s="102" t="s">
        <v>48</v>
      </c>
      <c r="K792" s="102" t="s">
        <v>48</v>
      </c>
      <c r="L792" s="102" t="s">
        <v>48</v>
      </c>
      <c r="M792" s="102" t="s">
        <v>48</v>
      </c>
      <c r="N792" s="206" t="s">
        <v>48</v>
      </c>
      <c r="O792" s="102" t="s">
        <v>48</v>
      </c>
      <c r="P792" s="206" t="s">
        <v>48</v>
      </c>
      <c r="Q792" s="102" t="s">
        <v>48</v>
      </c>
      <c r="R792" s="102" t="s">
        <v>48</v>
      </c>
      <c r="S792" s="102" t="s">
        <v>48</v>
      </c>
      <c r="T792" s="102" t="s">
        <v>48</v>
      </c>
      <c r="U792" s="102" t="s">
        <v>48</v>
      </c>
      <c r="V792" s="205" t="s">
        <v>48</v>
      </c>
      <c r="W792" s="204" t="s">
        <v>2783</v>
      </c>
      <c r="X792" s="102" t="s">
        <v>2783</v>
      </c>
      <c r="Y792" s="102" t="s">
        <v>48</v>
      </c>
      <c r="Z792" s="102" t="s">
        <v>48</v>
      </c>
      <c r="AA792" s="102" t="s">
        <v>48</v>
      </c>
      <c r="AB792" s="102" t="s">
        <v>48</v>
      </c>
      <c r="AC792" s="102" t="s">
        <v>48</v>
      </c>
      <c r="AD792" s="205" t="s">
        <v>48</v>
      </c>
      <c r="AE792" s="204" t="s">
        <v>48</v>
      </c>
      <c r="AF792" s="102" t="s">
        <v>48</v>
      </c>
      <c r="AG792" s="102" t="s">
        <v>48</v>
      </c>
      <c r="AH792" s="102" t="s">
        <v>48</v>
      </c>
      <c r="AI792" s="102" t="s">
        <v>48</v>
      </c>
      <c r="AJ792" s="102" t="s">
        <v>48</v>
      </c>
      <c r="AK792" s="205" t="s">
        <v>48</v>
      </c>
      <c r="AL792" s="204" t="s">
        <v>2783</v>
      </c>
      <c r="AM792" s="102" t="s">
        <v>2783</v>
      </c>
      <c r="AN792" s="102" t="s">
        <v>48</v>
      </c>
      <c r="AO792" s="102" t="s">
        <v>48</v>
      </c>
      <c r="AP792" s="102" t="s">
        <v>48</v>
      </c>
      <c r="AQ792" s="102" t="s">
        <v>48</v>
      </c>
      <c r="AR792" s="102" t="s">
        <v>48</v>
      </c>
      <c r="AS792" s="205" t="s">
        <v>48</v>
      </c>
      <c r="AT792" s="204" t="s">
        <v>48</v>
      </c>
      <c r="AU792" s="102" t="s">
        <v>48</v>
      </c>
      <c r="AV792" s="102" t="s">
        <v>48</v>
      </c>
      <c r="AW792" s="102" t="s">
        <v>48</v>
      </c>
      <c r="AX792" s="102" t="s">
        <v>48</v>
      </c>
      <c r="AY792" s="102" t="s">
        <v>48</v>
      </c>
      <c r="AZ792" s="205" t="s">
        <v>48</v>
      </c>
      <c r="BA792" s="206" t="s">
        <v>2759</v>
      </c>
      <c r="BB792" s="102" t="s">
        <v>49</v>
      </c>
      <c r="BC792" s="224" t="s">
        <v>2801</v>
      </c>
    </row>
    <row r="793" spans="1:55" s="244" customFormat="1" ht="75" customHeight="1">
      <c r="A793" s="7" t="s">
        <v>2793</v>
      </c>
      <c r="B793" s="115" t="s">
        <v>2803</v>
      </c>
      <c r="C793" s="7" t="s">
        <v>2781</v>
      </c>
      <c r="D793" s="7" t="s">
        <v>2867</v>
      </c>
      <c r="E793" s="240">
        <v>30000</v>
      </c>
      <c r="F793" s="7" t="s">
        <v>2867</v>
      </c>
      <c r="G793" s="7" t="s">
        <v>2867</v>
      </c>
      <c r="H793" s="7" t="s">
        <v>48</v>
      </c>
      <c r="I793" s="7" t="s">
        <v>48</v>
      </c>
      <c r="J793" s="7" t="s">
        <v>48</v>
      </c>
      <c r="K793" s="7" t="s">
        <v>48</v>
      </c>
      <c r="L793" s="7" t="s">
        <v>48</v>
      </c>
      <c r="M793" s="242" t="s">
        <v>48</v>
      </c>
      <c r="N793" s="241" t="s">
        <v>48</v>
      </c>
      <c r="O793" s="7" t="s">
        <v>48</v>
      </c>
      <c r="P793" s="241" t="s">
        <v>48</v>
      </c>
      <c r="Q793" s="7" t="s">
        <v>48</v>
      </c>
      <c r="R793" s="7" t="s">
        <v>48</v>
      </c>
      <c r="S793" s="7" t="s">
        <v>48</v>
      </c>
      <c r="T793" s="7" t="s">
        <v>48</v>
      </c>
      <c r="U793" s="7" t="s">
        <v>48</v>
      </c>
      <c r="V793" s="242" t="s">
        <v>48</v>
      </c>
      <c r="W793" s="7" t="s">
        <v>2782</v>
      </c>
      <c r="X793" s="7" t="s">
        <v>2782</v>
      </c>
      <c r="Y793" s="7" t="s">
        <v>48</v>
      </c>
      <c r="Z793" s="7" t="s">
        <v>48</v>
      </c>
      <c r="AA793" s="7" t="s">
        <v>48</v>
      </c>
      <c r="AB793" s="7" t="s">
        <v>48</v>
      </c>
      <c r="AC793" s="7" t="s">
        <v>48</v>
      </c>
      <c r="AD793" s="242" t="s">
        <v>48</v>
      </c>
      <c r="AE793" s="243" t="s">
        <v>48</v>
      </c>
      <c r="AF793" s="7" t="s">
        <v>48</v>
      </c>
      <c r="AG793" s="7" t="s">
        <v>48</v>
      </c>
      <c r="AH793" s="7" t="s">
        <v>48</v>
      </c>
      <c r="AI793" s="7" t="s">
        <v>48</v>
      </c>
      <c r="AJ793" s="7" t="s">
        <v>48</v>
      </c>
      <c r="AK793" s="242" t="s">
        <v>48</v>
      </c>
      <c r="AL793" s="7" t="s">
        <v>2867</v>
      </c>
      <c r="AM793" s="7" t="s">
        <v>2867</v>
      </c>
      <c r="AN793" s="7" t="s">
        <v>48</v>
      </c>
      <c r="AO793" s="7" t="s">
        <v>48</v>
      </c>
      <c r="AP793" s="7" t="s">
        <v>48</v>
      </c>
      <c r="AQ793" s="7" t="s">
        <v>48</v>
      </c>
      <c r="AR793" s="7" t="s">
        <v>48</v>
      </c>
      <c r="AS793" s="242" t="s">
        <v>48</v>
      </c>
      <c r="AT793" s="243" t="s">
        <v>676</v>
      </c>
      <c r="AU793" s="7" t="s">
        <v>676</v>
      </c>
      <c r="AV793" s="7" t="s">
        <v>676</v>
      </c>
      <c r="AW793" s="7" t="s">
        <v>676</v>
      </c>
      <c r="AX793" s="7" t="s">
        <v>676</v>
      </c>
      <c r="AY793" s="7" t="s">
        <v>676</v>
      </c>
      <c r="AZ793" s="242" t="s">
        <v>676</v>
      </c>
      <c r="BA793" s="247" t="s">
        <v>2838</v>
      </c>
      <c r="BB793" s="7" t="s">
        <v>2491</v>
      </c>
      <c r="BC793" s="245" t="s">
        <v>2885</v>
      </c>
    </row>
    <row r="794" spans="1:55" s="11" customFormat="1" ht="75" hidden="1" customHeight="1">
      <c r="A794" s="102" t="s">
        <v>660</v>
      </c>
      <c r="B794" s="102" t="s">
        <v>2013</v>
      </c>
      <c r="C794" s="224" t="s">
        <v>2800</v>
      </c>
      <c r="D794" s="102" t="s">
        <v>2792</v>
      </c>
      <c r="E794" s="203">
        <v>15000</v>
      </c>
      <c r="F794" s="204" t="s">
        <v>2792</v>
      </c>
      <c r="G794" s="102" t="s">
        <v>2792</v>
      </c>
      <c r="H794" s="102" t="s">
        <v>48</v>
      </c>
      <c r="I794" s="102" t="s">
        <v>48</v>
      </c>
      <c r="J794" s="102" t="s">
        <v>48</v>
      </c>
      <c r="K794" s="102" t="s">
        <v>48</v>
      </c>
      <c r="L794" s="102" t="s">
        <v>48</v>
      </c>
      <c r="M794" s="102" t="s">
        <v>48</v>
      </c>
      <c r="N794" s="206" t="s">
        <v>48</v>
      </c>
      <c r="O794" s="102" t="s">
        <v>48</v>
      </c>
      <c r="P794" s="206" t="s">
        <v>48</v>
      </c>
      <c r="Q794" s="102" t="s">
        <v>48</v>
      </c>
      <c r="R794" s="102" t="s">
        <v>48</v>
      </c>
      <c r="S794" s="102" t="s">
        <v>48</v>
      </c>
      <c r="T794" s="102" t="s">
        <v>48</v>
      </c>
      <c r="U794" s="102" t="s">
        <v>48</v>
      </c>
      <c r="V794" s="205" t="s">
        <v>48</v>
      </c>
      <c r="W794" s="204" t="s">
        <v>2792</v>
      </c>
      <c r="X794" s="102" t="s">
        <v>2792</v>
      </c>
      <c r="Y794" s="102" t="s">
        <v>48</v>
      </c>
      <c r="Z794" s="102" t="s">
        <v>48</v>
      </c>
      <c r="AA794" s="102" t="s">
        <v>48</v>
      </c>
      <c r="AB794" s="102" t="s">
        <v>48</v>
      </c>
      <c r="AC794" s="102" t="s">
        <v>48</v>
      </c>
      <c r="AD794" s="205" t="s">
        <v>2897</v>
      </c>
      <c r="AE794" s="204" t="s">
        <v>48</v>
      </c>
      <c r="AF794" s="102" t="s">
        <v>48</v>
      </c>
      <c r="AG794" s="102" t="s">
        <v>48</v>
      </c>
      <c r="AH794" s="102" t="s">
        <v>48</v>
      </c>
      <c r="AI794" s="102" t="s">
        <v>48</v>
      </c>
      <c r="AJ794" s="102" t="s">
        <v>48</v>
      </c>
      <c r="AK794" s="205" t="s">
        <v>48</v>
      </c>
      <c r="AL794" s="204" t="s">
        <v>2792</v>
      </c>
      <c r="AM794" s="102" t="s">
        <v>2792</v>
      </c>
      <c r="AN794" s="102" t="s">
        <v>48</v>
      </c>
      <c r="AO794" s="102" t="s">
        <v>48</v>
      </c>
      <c r="AP794" s="102" t="s">
        <v>48</v>
      </c>
      <c r="AQ794" s="102" t="s">
        <v>48</v>
      </c>
      <c r="AR794" s="102" t="s">
        <v>48</v>
      </c>
      <c r="AS794" s="205" t="s">
        <v>48</v>
      </c>
      <c r="AT794" s="204" t="s">
        <v>48</v>
      </c>
      <c r="AU794" s="102" t="s">
        <v>48</v>
      </c>
      <c r="AV794" s="102" t="s">
        <v>48</v>
      </c>
      <c r="AW794" s="102" t="s">
        <v>48</v>
      </c>
      <c r="AX794" s="102" t="s">
        <v>48</v>
      </c>
      <c r="AY794" s="102" t="s">
        <v>48</v>
      </c>
      <c r="AZ794" s="205" t="s">
        <v>48</v>
      </c>
      <c r="BA794" s="206" t="s">
        <v>2397</v>
      </c>
      <c r="BB794" s="102" t="s">
        <v>82</v>
      </c>
      <c r="BC794" s="224" t="s">
        <v>2802</v>
      </c>
    </row>
    <row r="795" spans="1:55" s="11" customFormat="1" ht="75" hidden="1" customHeight="1">
      <c r="A795" s="102" t="s">
        <v>660</v>
      </c>
      <c r="B795" s="102" t="s">
        <v>2013</v>
      </c>
      <c r="C795" s="224" t="s">
        <v>2800</v>
      </c>
      <c r="D795" s="102" t="s">
        <v>2665</v>
      </c>
      <c r="E795" s="203">
        <v>15000</v>
      </c>
      <c r="F795" s="204" t="s">
        <v>2665</v>
      </c>
      <c r="G795" s="102" t="s">
        <v>2665</v>
      </c>
      <c r="H795" s="102" t="s">
        <v>48</v>
      </c>
      <c r="I795" s="102" t="s">
        <v>48</v>
      </c>
      <c r="J795" s="102" t="s">
        <v>48</v>
      </c>
      <c r="K795" s="102" t="s">
        <v>48</v>
      </c>
      <c r="L795" s="102" t="s">
        <v>48</v>
      </c>
      <c r="M795" s="102" t="s">
        <v>48</v>
      </c>
      <c r="N795" s="206" t="s">
        <v>48</v>
      </c>
      <c r="O795" s="102" t="s">
        <v>48</v>
      </c>
      <c r="P795" s="206" t="s">
        <v>48</v>
      </c>
      <c r="Q795" s="102" t="s">
        <v>48</v>
      </c>
      <c r="R795" s="102" t="s">
        <v>48</v>
      </c>
      <c r="S795" s="102" t="s">
        <v>48</v>
      </c>
      <c r="T795" s="102" t="s">
        <v>48</v>
      </c>
      <c r="U795" s="102" t="s">
        <v>48</v>
      </c>
      <c r="V795" s="205" t="s">
        <v>48</v>
      </c>
      <c r="W795" s="204" t="s">
        <v>2665</v>
      </c>
      <c r="X795" s="102" t="s">
        <v>2665</v>
      </c>
      <c r="Y795" s="102" t="s">
        <v>48</v>
      </c>
      <c r="Z795" s="102" t="s">
        <v>48</v>
      </c>
      <c r="AA795" s="102" t="s">
        <v>48</v>
      </c>
      <c r="AB795" s="102" t="s">
        <v>48</v>
      </c>
      <c r="AC795" s="102" t="s">
        <v>48</v>
      </c>
      <c r="AD795" s="205" t="s">
        <v>2896</v>
      </c>
      <c r="AE795" s="204" t="s">
        <v>48</v>
      </c>
      <c r="AF795" s="102" t="s">
        <v>48</v>
      </c>
      <c r="AG795" s="102" t="s">
        <v>48</v>
      </c>
      <c r="AH795" s="102" t="s">
        <v>48</v>
      </c>
      <c r="AI795" s="102" t="s">
        <v>48</v>
      </c>
      <c r="AJ795" s="102" t="s">
        <v>48</v>
      </c>
      <c r="AK795" s="205" t="s">
        <v>48</v>
      </c>
      <c r="AL795" s="204" t="s">
        <v>2665</v>
      </c>
      <c r="AM795" s="102" t="s">
        <v>2665</v>
      </c>
      <c r="AN795" s="102" t="s">
        <v>48</v>
      </c>
      <c r="AO795" s="102" t="s">
        <v>48</v>
      </c>
      <c r="AP795" s="102" t="s">
        <v>48</v>
      </c>
      <c r="AQ795" s="102" t="s">
        <v>48</v>
      </c>
      <c r="AR795" s="102" t="s">
        <v>48</v>
      </c>
      <c r="AS795" s="205" t="s">
        <v>48</v>
      </c>
      <c r="AT795" s="204" t="s">
        <v>48</v>
      </c>
      <c r="AU795" s="102" t="s">
        <v>48</v>
      </c>
      <c r="AV795" s="102" t="s">
        <v>48</v>
      </c>
      <c r="AW795" s="102" t="s">
        <v>48</v>
      </c>
      <c r="AX795" s="102" t="s">
        <v>48</v>
      </c>
      <c r="AY795" s="102" t="s">
        <v>48</v>
      </c>
      <c r="AZ795" s="205" t="s">
        <v>48</v>
      </c>
      <c r="BA795" s="206" t="s">
        <v>2855</v>
      </c>
      <c r="BB795" s="102" t="s">
        <v>82</v>
      </c>
      <c r="BC795" s="224" t="s">
        <v>2802</v>
      </c>
    </row>
    <row r="796" spans="1:55" s="11" customFormat="1" ht="75" hidden="1" customHeight="1">
      <c r="A796" s="102" t="s">
        <v>41</v>
      </c>
      <c r="B796" s="102" t="s">
        <v>2018</v>
      </c>
      <c r="C796" s="224" t="s">
        <v>2800</v>
      </c>
      <c r="D796" s="102" t="s">
        <v>2653</v>
      </c>
      <c r="E796" s="203">
        <v>15000</v>
      </c>
      <c r="F796" s="204" t="s">
        <v>2653</v>
      </c>
      <c r="G796" s="102" t="s">
        <v>2653</v>
      </c>
      <c r="H796" s="102" t="s">
        <v>48</v>
      </c>
      <c r="I796" s="102" t="s">
        <v>48</v>
      </c>
      <c r="J796" s="102" t="s">
        <v>48</v>
      </c>
      <c r="K796" s="102" t="s">
        <v>48</v>
      </c>
      <c r="L796" s="102" t="s">
        <v>48</v>
      </c>
      <c r="M796" s="102" t="s">
        <v>48</v>
      </c>
      <c r="N796" s="206" t="s">
        <v>48</v>
      </c>
      <c r="O796" s="102" t="s">
        <v>48</v>
      </c>
      <c r="P796" s="206" t="s">
        <v>48</v>
      </c>
      <c r="Q796" s="102" t="s">
        <v>48</v>
      </c>
      <c r="R796" s="102" t="s">
        <v>48</v>
      </c>
      <c r="S796" s="102" t="s">
        <v>48</v>
      </c>
      <c r="T796" s="102" t="s">
        <v>48</v>
      </c>
      <c r="U796" s="102" t="s">
        <v>48</v>
      </c>
      <c r="V796" s="205" t="s">
        <v>48</v>
      </c>
      <c r="W796" s="204" t="s">
        <v>2653</v>
      </c>
      <c r="X796" s="102" t="s">
        <v>2653</v>
      </c>
      <c r="Y796" s="102" t="s">
        <v>48</v>
      </c>
      <c r="Z796" s="102" t="s">
        <v>48</v>
      </c>
      <c r="AA796" s="102" t="s">
        <v>48</v>
      </c>
      <c r="AB796" s="102" t="s">
        <v>48</v>
      </c>
      <c r="AC796" s="102" t="s">
        <v>48</v>
      </c>
      <c r="AD796" s="205" t="s">
        <v>2897</v>
      </c>
      <c r="AE796" s="204" t="s">
        <v>48</v>
      </c>
      <c r="AF796" s="102" t="s">
        <v>48</v>
      </c>
      <c r="AG796" s="102" t="s">
        <v>48</v>
      </c>
      <c r="AH796" s="102" t="s">
        <v>48</v>
      </c>
      <c r="AI796" s="102" t="s">
        <v>48</v>
      </c>
      <c r="AJ796" s="102" t="s">
        <v>48</v>
      </c>
      <c r="AK796" s="205" t="s">
        <v>48</v>
      </c>
      <c r="AL796" s="204" t="s">
        <v>2653</v>
      </c>
      <c r="AM796" s="102" t="s">
        <v>2653</v>
      </c>
      <c r="AN796" s="102" t="s">
        <v>48</v>
      </c>
      <c r="AO796" s="102" t="s">
        <v>48</v>
      </c>
      <c r="AP796" s="102" t="s">
        <v>48</v>
      </c>
      <c r="AQ796" s="102" t="s">
        <v>48</v>
      </c>
      <c r="AR796" s="102" t="s">
        <v>48</v>
      </c>
      <c r="AS796" s="205" t="s">
        <v>48</v>
      </c>
      <c r="AT796" s="204" t="s">
        <v>48</v>
      </c>
      <c r="AU796" s="102" t="s">
        <v>48</v>
      </c>
      <c r="AV796" s="102" t="s">
        <v>48</v>
      </c>
      <c r="AW796" s="102" t="s">
        <v>48</v>
      </c>
      <c r="AX796" s="102" t="s">
        <v>48</v>
      </c>
      <c r="AY796" s="102" t="s">
        <v>48</v>
      </c>
      <c r="AZ796" s="205" t="s">
        <v>48</v>
      </c>
      <c r="BA796" s="206" t="s">
        <v>2397</v>
      </c>
      <c r="BB796" s="102" t="s">
        <v>82</v>
      </c>
      <c r="BC796" s="224" t="s">
        <v>2802</v>
      </c>
    </row>
    <row r="797" spans="1:55" s="11" customFormat="1" ht="75" hidden="1" customHeight="1">
      <c r="A797" s="102" t="s">
        <v>38</v>
      </c>
      <c r="B797" s="102" t="s">
        <v>2032</v>
      </c>
      <c r="C797" s="224" t="s">
        <v>2800</v>
      </c>
      <c r="D797" s="102" t="s">
        <v>2653</v>
      </c>
      <c r="E797" s="203">
        <v>15000</v>
      </c>
      <c r="F797" s="204" t="s">
        <v>2653</v>
      </c>
      <c r="G797" s="102" t="s">
        <v>2653</v>
      </c>
      <c r="H797" s="102" t="s">
        <v>48</v>
      </c>
      <c r="I797" s="102" t="s">
        <v>48</v>
      </c>
      <c r="J797" s="102" t="s">
        <v>48</v>
      </c>
      <c r="K797" s="102" t="s">
        <v>48</v>
      </c>
      <c r="L797" s="102" t="s">
        <v>48</v>
      </c>
      <c r="M797" s="102" t="s">
        <v>48</v>
      </c>
      <c r="N797" s="206" t="s">
        <v>48</v>
      </c>
      <c r="O797" s="102" t="s">
        <v>48</v>
      </c>
      <c r="P797" s="206" t="s">
        <v>48</v>
      </c>
      <c r="Q797" s="102" t="s">
        <v>48</v>
      </c>
      <c r="R797" s="102" t="s">
        <v>48</v>
      </c>
      <c r="S797" s="102" t="s">
        <v>48</v>
      </c>
      <c r="T797" s="102" t="s">
        <v>48</v>
      </c>
      <c r="U797" s="102" t="s">
        <v>48</v>
      </c>
      <c r="V797" s="205" t="s">
        <v>48</v>
      </c>
      <c r="W797" s="204" t="s">
        <v>2653</v>
      </c>
      <c r="X797" s="102" t="s">
        <v>2653</v>
      </c>
      <c r="Y797" s="102" t="s">
        <v>48</v>
      </c>
      <c r="Z797" s="102" t="s">
        <v>48</v>
      </c>
      <c r="AA797" s="102" t="s">
        <v>48</v>
      </c>
      <c r="AB797" s="102" t="s">
        <v>48</v>
      </c>
      <c r="AC797" s="102" t="s">
        <v>48</v>
      </c>
      <c r="AD797" s="205" t="s">
        <v>2897</v>
      </c>
      <c r="AE797" s="204" t="s">
        <v>48</v>
      </c>
      <c r="AF797" s="102" t="s">
        <v>48</v>
      </c>
      <c r="AG797" s="102" t="s">
        <v>48</v>
      </c>
      <c r="AH797" s="102" t="s">
        <v>48</v>
      </c>
      <c r="AI797" s="102" t="s">
        <v>48</v>
      </c>
      <c r="AJ797" s="102" t="s">
        <v>48</v>
      </c>
      <c r="AK797" s="205" t="s">
        <v>48</v>
      </c>
      <c r="AL797" s="204" t="s">
        <v>2653</v>
      </c>
      <c r="AM797" s="102" t="s">
        <v>2653</v>
      </c>
      <c r="AN797" s="102" t="s">
        <v>48</v>
      </c>
      <c r="AO797" s="102" t="s">
        <v>48</v>
      </c>
      <c r="AP797" s="102" t="s">
        <v>48</v>
      </c>
      <c r="AQ797" s="102" t="s">
        <v>48</v>
      </c>
      <c r="AR797" s="102" t="s">
        <v>48</v>
      </c>
      <c r="AS797" s="205" t="s">
        <v>48</v>
      </c>
      <c r="AT797" s="204" t="s">
        <v>48</v>
      </c>
      <c r="AU797" s="102" t="s">
        <v>48</v>
      </c>
      <c r="AV797" s="102" t="s">
        <v>48</v>
      </c>
      <c r="AW797" s="102" t="s">
        <v>48</v>
      </c>
      <c r="AX797" s="102" t="s">
        <v>48</v>
      </c>
      <c r="AY797" s="102" t="s">
        <v>48</v>
      </c>
      <c r="AZ797" s="205" t="s">
        <v>48</v>
      </c>
      <c r="BA797" s="206" t="s">
        <v>2397</v>
      </c>
      <c r="BB797" s="102" t="s">
        <v>82</v>
      </c>
      <c r="BC797" s="224" t="s">
        <v>2802</v>
      </c>
    </row>
    <row r="798" spans="1:55" s="11" customFormat="1" ht="75" hidden="1" customHeight="1">
      <c r="A798" s="102" t="s">
        <v>2336</v>
      </c>
      <c r="B798" s="102" t="s">
        <v>2010</v>
      </c>
      <c r="C798" s="224" t="s">
        <v>2800</v>
      </c>
      <c r="D798" s="102" t="s">
        <v>2794</v>
      </c>
      <c r="E798" s="203">
        <v>15000</v>
      </c>
      <c r="F798" s="204" t="s">
        <v>2794</v>
      </c>
      <c r="G798" s="102" t="s">
        <v>2794</v>
      </c>
      <c r="H798" s="102" t="s">
        <v>48</v>
      </c>
      <c r="I798" s="102" t="s">
        <v>48</v>
      </c>
      <c r="J798" s="102" t="s">
        <v>48</v>
      </c>
      <c r="K798" s="102" t="s">
        <v>48</v>
      </c>
      <c r="L798" s="102" t="s">
        <v>48</v>
      </c>
      <c r="M798" s="102" t="s">
        <v>48</v>
      </c>
      <c r="N798" s="206" t="s">
        <v>48</v>
      </c>
      <c r="O798" s="102" t="s">
        <v>48</v>
      </c>
      <c r="P798" s="206" t="s">
        <v>48</v>
      </c>
      <c r="Q798" s="102" t="s">
        <v>48</v>
      </c>
      <c r="R798" s="102" t="s">
        <v>48</v>
      </c>
      <c r="S798" s="102" t="s">
        <v>48</v>
      </c>
      <c r="T798" s="102" t="s">
        <v>48</v>
      </c>
      <c r="U798" s="102" t="s">
        <v>48</v>
      </c>
      <c r="V798" s="205" t="s">
        <v>48</v>
      </c>
      <c r="W798" s="204" t="s">
        <v>2794</v>
      </c>
      <c r="X798" s="102" t="s">
        <v>2794</v>
      </c>
      <c r="Y798" s="102" t="s">
        <v>48</v>
      </c>
      <c r="Z798" s="102" t="s">
        <v>48</v>
      </c>
      <c r="AA798" s="102" t="s">
        <v>48</v>
      </c>
      <c r="AB798" s="102" t="s">
        <v>48</v>
      </c>
      <c r="AC798" s="102" t="s">
        <v>48</v>
      </c>
      <c r="AD798" s="205" t="s">
        <v>2897</v>
      </c>
      <c r="AE798" s="204" t="s">
        <v>48</v>
      </c>
      <c r="AF798" s="102" t="s">
        <v>48</v>
      </c>
      <c r="AG798" s="102" t="s">
        <v>48</v>
      </c>
      <c r="AH798" s="102" t="s">
        <v>48</v>
      </c>
      <c r="AI798" s="102" t="s">
        <v>48</v>
      </c>
      <c r="AJ798" s="102" t="s">
        <v>48</v>
      </c>
      <c r="AK798" s="205" t="s">
        <v>48</v>
      </c>
      <c r="AL798" s="204" t="s">
        <v>2794</v>
      </c>
      <c r="AM798" s="102" t="s">
        <v>2794</v>
      </c>
      <c r="AN798" s="102" t="s">
        <v>48</v>
      </c>
      <c r="AO798" s="102" t="s">
        <v>48</v>
      </c>
      <c r="AP798" s="102" t="s">
        <v>48</v>
      </c>
      <c r="AQ798" s="102" t="s">
        <v>48</v>
      </c>
      <c r="AR798" s="102" t="s">
        <v>48</v>
      </c>
      <c r="AS798" s="205" t="s">
        <v>48</v>
      </c>
      <c r="AT798" s="204" t="s">
        <v>48</v>
      </c>
      <c r="AU798" s="102" t="s">
        <v>48</v>
      </c>
      <c r="AV798" s="102" t="s">
        <v>48</v>
      </c>
      <c r="AW798" s="102" t="s">
        <v>48</v>
      </c>
      <c r="AX798" s="102" t="s">
        <v>48</v>
      </c>
      <c r="AY798" s="102" t="s">
        <v>48</v>
      </c>
      <c r="AZ798" s="205" t="s">
        <v>48</v>
      </c>
      <c r="BA798" s="206" t="s">
        <v>2397</v>
      </c>
      <c r="BB798" s="102" t="s">
        <v>82</v>
      </c>
      <c r="BC798" s="224" t="s">
        <v>2802</v>
      </c>
    </row>
    <row r="799" spans="1:55" s="244" customFormat="1" ht="75" customHeight="1">
      <c r="A799" s="7" t="s">
        <v>2793</v>
      </c>
      <c r="B799" s="115" t="s">
        <v>2803</v>
      </c>
      <c r="C799" s="7" t="s">
        <v>2843</v>
      </c>
      <c r="D799" s="7" t="s">
        <v>2866</v>
      </c>
      <c r="E799" s="240">
        <v>30000</v>
      </c>
      <c r="F799" s="7" t="s">
        <v>2866</v>
      </c>
      <c r="G799" s="7" t="s">
        <v>2866</v>
      </c>
      <c r="H799" s="7" t="s">
        <v>48</v>
      </c>
      <c r="I799" s="7" t="s">
        <v>48</v>
      </c>
      <c r="J799" s="7" t="s">
        <v>48</v>
      </c>
      <c r="K799" s="7" t="s">
        <v>48</v>
      </c>
      <c r="L799" s="7" t="s">
        <v>48</v>
      </c>
      <c r="M799" s="242" t="s">
        <v>48</v>
      </c>
      <c r="N799" s="241" t="s">
        <v>48</v>
      </c>
      <c r="O799" s="7" t="s">
        <v>48</v>
      </c>
      <c r="P799" s="241" t="s">
        <v>48</v>
      </c>
      <c r="Q799" s="7" t="s">
        <v>48</v>
      </c>
      <c r="R799" s="7" t="s">
        <v>48</v>
      </c>
      <c r="S799" s="7" t="s">
        <v>48</v>
      </c>
      <c r="T799" s="7" t="s">
        <v>48</v>
      </c>
      <c r="U799" s="7" t="s">
        <v>48</v>
      </c>
      <c r="V799" s="242" t="s">
        <v>48</v>
      </c>
      <c r="W799" s="7" t="s">
        <v>2782</v>
      </c>
      <c r="X799" s="7" t="s">
        <v>2782</v>
      </c>
      <c r="Y799" s="7" t="s">
        <v>48</v>
      </c>
      <c r="Z799" s="7" t="s">
        <v>48</v>
      </c>
      <c r="AA799" s="7" t="s">
        <v>48</v>
      </c>
      <c r="AB799" s="7" t="s">
        <v>48</v>
      </c>
      <c r="AC799" s="7" t="s">
        <v>48</v>
      </c>
      <c r="AD799" s="242" t="s">
        <v>48</v>
      </c>
      <c r="AE799" s="243" t="s">
        <v>48</v>
      </c>
      <c r="AF799" s="7" t="s">
        <v>48</v>
      </c>
      <c r="AG799" s="7" t="s">
        <v>48</v>
      </c>
      <c r="AH799" s="7" t="s">
        <v>48</v>
      </c>
      <c r="AI799" s="7" t="s">
        <v>48</v>
      </c>
      <c r="AJ799" s="7" t="s">
        <v>48</v>
      </c>
      <c r="AK799" s="242" t="s">
        <v>48</v>
      </c>
      <c r="AL799" s="7" t="s">
        <v>2866</v>
      </c>
      <c r="AM799" s="7" t="s">
        <v>2866</v>
      </c>
      <c r="AN799" s="7" t="s">
        <v>48</v>
      </c>
      <c r="AO799" s="7" t="s">
        <v>48</v>
      </c>
      <c r="AP799" s="7" t="s">
        <v>48</v>
      </c>
      <c r="AQ799" s="7" t="s">
        <v>48</v>
      </c>
      <c r="AR799" s="7" t="s">
        <v>48</v>
      </c>
      <c r="AS799" s="242" t="s">
        <v>48</v>
      </c>
      <c r="AT799" s="243" t="s">
        <v>676</v>
      </c>
      <c r="AU799" s="7" t="s">
        <v>676</v>
      </c>
      <c r="AV799" s="7" t="s">
        <v>676</v>
      </c>
      <c r="AW799" s="7" t="s">
        <v>676</v>
      </c>
      <c r="AX799" s="7" t="s">
        <v>676</v>
      </c>
      <c r="AY799" s="7" t="s">
        <v>676</v>
      </c>
      <c r="AZ799" s="242" t="s">
        <v>676</v>
      </c>
      <c r="BA799" s="247" t="s">
        <v>2839</v>
      </c>
      <c r="BB799" s="7" t="s">
        <v>2491</v>
      </c>
      <c r="BC799" s="245" t="s">
        <v>2884</v>
      </c>
    </row>
    <row r="800" spans="1:55" s="11" customFormat="1" ht="75" customHeight="1">
      <c r="A800" s="102" t="s">
        <v>1118</v>
      </c>
      <c r="B800" s="102" t="s">
        <v>2030</v>
      </c>
      <c r="C800" s="224" t="s">
        <v>2800</v>
      </c>
      <c r="D800" s="102" t="s">
        <v>2671</v>
      </c>
      <c r="E800" s="203">
        <v>15000</v>
      </c>
      <c r="F800" s="204" t="s">
        <v>2671</v>
      </c>
      <c r="G800" s="102" t="s">
        <v>2671</v>
      </c>
      <c r="H800" s="102" t="s">
        <v>48</v>
      </c>
      <c r="I800" s="102" t="s">
        <v>48</v>
      </c>
      <c r="J800" s="102" t="s">
        <v>48</v>
      </c>
      <c r="K800" s="102" t="s">
        <v>48</v>
      </c>
      <c r="L800" s="102" t="s">
        <v>48</v>
      </c>
      <c r="M800" s="102" t="s">
        <v>48</v>
      </c>
      <c r="N800" s="206" t="s">
        <v>48</v>
      </c>
      <c r="O800" s="102" t="s">
        <v>48</v>
      </c>
      <c r="P800" s="206" t="s">
        <v>48</v>
      </c>
      <c r="Q800" s="102" t="s">
        <v>48</v>
      </c>
      <c r="R800" s="102" t="s">
        <v>48</v>
      </c>
      <c r="S800" s="102" t="s">
        <v>48</v>
      </c>
      <c r="T800" s="102" t="s">
        <v>48</v>
      </c>
      <c r="U800" s="102" t="s">
        <v>48</v>
      </c>
      <c r="V800" s="205" t="s">
        <v>48</v>
      </c>
      <c r="W800" s="204" t="s">
        <v>2671</v>
      </c>
      <c r="X800" s="102" t="s">
        <v>2671</v>
      </c>
      <c r="Y800" s="102" t="s">
        <v>48</v>
      </c>
      <c r="Z800" s="102" t="s">
        <v>48</v>
      </c>
      <c r="AA800" s="102" t="s">
        <v>48</v>
      </c>
      <c r="AB800" s="102" t="s">
        <v>48</v>
      </c>
      <c r="AC800" s="102" t="s">
        <v>48</v>
      </c>
      <c r="AD800" s="205" t="s">
        <v>2896</v>
      </c>
      <c r="AE800" s="204" t="s">
        <v>48</v>
      </c>
      <c r="AF800" s="102" t="s">
        <v>48</v>
      </c>
      <c r="AG800" s="102" t="s">
        <v>48</v>
      </c>
      <c r="AH800" s="102" t="s">
        <v>48</v>
      </c>
      <c r="AI800" s="102" t="s">
        <v>48</v>
      </c>
      <c r="AJ800" s="102" t="s">
        <v>48</v>
      </c>
      <c r="AK800" s="205" t="s">
        <v>48</v>
      </c>
      <c r="AL800" s="204" t="s">
        <v>2671</v>
      </c>
      <c r="AM800" s="102" t="s">
        <v>2671</v>
      </c>
      <c r="AN800" s="102" t="s">
        <v>48</v>
      </c>
      <c r="AO800" s="102" t="s">
        <v>48</v>
      </c>
      <c r="AP800" s="102" t="s">
        <v>48</v>
      </c>
      <c r="AQ800" s="102" t="s">
        <v>48</v>
      </c>
      <c r="AR800" s="102" t="s">
        <v>48</v>
      </c>
      <c r="AS800" s="205" t="s">
        <v>48</v>
      </c>
      <c r="AT800" s="204" t="s">
        <v>48</v>
      </c>
      <c r="AU800" s="102" t="s">
        <v>48</v>
      </c>
      <c r="AV800" s="102" t="s">
        <v>48</v>
      </c>
      <c r="AW800" s="102" t="s">
        <v>48</v>
      </c>
      <c r="AX800" s="102" t="s">
        <v>48</v>
      </c>
      <c r="AY800" s="102" t="s">
        <v>48</v>
      </c>
      <c r="AZ800" s="205" t="s">
        <v>48</v>
      </c>
      <c r="BA800" s="206" t="s">
        <v>2397</v>
      </c>
      <c r="BB800" s="102" t="s">
        <v>82</v>
      </c>
      <c r="BC800" s="224" t="s">
        <v>2802</v>
      </c>
    </row>
    <row r="801" spans="1:55" s="11" customFormat="1" ht="75" hidden="1" customHeight="1">
      <c r="A801" s="102" t="s">
        <v>1583</v>
      </c>
      <c r="B801" s="102" t="s">
        <v>2016</v>
      </c>
      <c r="C801" s="224" t="s">
        <v>2800</v>
      </c>
      <c r="D801" s="102" t="s">
        <v>2671</v>
      </c>
      <c r="E801" s="203">
        <v>15000</v>
      </c>
      <c r="F801" s="204" t="s">
        <v>2671</v>
      </c>
      <c r="G801" s="102" t="s">
        <v>2671</v>
      </c>
      <c r="H801" s="102" t="s">
        <v>48</v>
      </c>
      <c r="I801" s="102" t="s">
        <v>48</v>
      </c>
      <c r="J801" s="102" t="s">
        <v>48</v>
      </c>
      <c r="K801" s="102" t="s">
        <v>48</v>
      </c>
      <c r="L801" s="102" t="s">
        <v>48</v>
      </c>
      <c r="M801" s="102" t="s">
        <v>48</v>
      </c>
      <c r="N801" s="206" t="s">
        <v>48</v>
      </c>
      <c r="O801" s="102" t="s">
        <v>48</v>
      </c>
      <c r="P801" s="206" t="s">
        <v>48</v>
      </c>
      <c r="Q801" s="102" t="s">
        <v>48</v>
      </c>
      <c r="R801" s="102" t="s">
        <v>48</v>
      </c>
      <c r="S801" s="102" t="s">
        <v>48</v>
      </c>
      <c r="T801" s="102" t="s">
        <v>48</v>
      </c>
      <c r="U801" s="102" t="s">
        <v>48</v>
      </c>
      <c r="V801" s="205" t="s">
        <v>48</v>
      </c>
      <c r="W801" s="204" t="s">
        <v>2671</v>
      </c>
      <c r="X801" s="102" t="s">
        <v>2671</v>
      </c>
      <c r="Y801" s="102" t="s">
        <v>48</v>
      </c>
      <c r="Z801" s="102" t="s">
        <v>48</v>
      </c>
      <c r="AA801" s="102" t="s">
        <v>48</v>
      </c>
      <c r="AB801" s="102" t="s">
        <v>48</v>
      </c>
      <c r="AC801" s="102" t="s">
        <v>48</v>
      </c>
      <c r="AD801" s="205" t="s">
        <v>2896</v>
      </c>
      <c r="AE801" s="204" t="s">
        <v>48</v>
      </c>
      <c r="AF801" s="102" t="s">
        <v>48</v>
      </c>
      <c r="AG801" s="102" t="s">
        <v>48</v>
      </c>
      <c r="AH801" s="102" t="s">
        <v>48</v>
      </c>
      <c r="AI801" s="102" t="s">
        <v>48</v>
      </c>
      <c r="AJ801" s="102" t="s">
        <v>48</v>
      </c>
      <c r="AK801" s="205" t="s">
        <v>48</v>
      </c>
      <c r="AL801" s="204" t="s">
        <v>2671</v>
      </c>
      <c r="AM801" s="102" t="s">
        <v>2671</v>
      </c>
      <c r="AN801" s="102" t="s">
        <v>48</v>
      </c>
      <c r="AO801" s="102" t="s">
        <v>48</v>
      </c>
      <c r="AP801" s="102" t="s">
        <v>48</v>
      </c>
      <c r="AQ801" s="102" t="s">
        <v>48</v>
      </c>
      <c r="AR801" s="102" t="s">
        <v>48</v>
      </c>
      <c r="AS801" s="205" t="s">
        <v>48</v>
      </c>
      <c r="AT801" s="204" t="s">
        <v>48</v>
      </c>
      <c r="AU801" s="102" t="s">
        <v>48</v>
      </c>
      <c r="AV801" s="102" t="s">
        <v>48</v>
      </c>
      <c r="AW801" s="102" t="s">
        <v>48</v>
      </c>
      <c r="AX801" s="102" t="s">
        <v>48</v>
      </c>
      <c r="AY801" s="102" t="s">
        <v>48</v>
      </c>
      <c r="AZ801" s="205" t="s">
        <v>48</v>
      </c>
      <c r="BA801" s="206" t="s">
        <v>2397</v>
      </c>
      <c r="BB801" s="102" t="s">
        <v>82</v>
      </c>
      <c r="BC801" s="224" t="s">
        <v>2802</v>
      </c>
    </row>
    <row r="802" spans="1:55" s="11" customFormat="1" ht="75" hidden="1" customHeight="1">
      <c r="A802" s="102" t="s">
        <v>1584</v>
      </c>
      <c r="B802" s="102" t="s">
        <v>2016</v>
      </c>
      <c r="C802" s="224" t="s">
        <v>2800</v>
      </c>
      <c r="D802" s="102" t="s">
        <v>2671</v>
      </c>
      <c r="E802" s="203">
        <v>15000</v>
      </c>
      <c r="F802" s="204" t="s">
        <v>2671</v>
      </c>
      <c r="G802" s="102" t="s">
        <v>2671</v>
      </c>
      <c r="H802" s="102" t="s">
        <v>48</v>
      </c>
      <c r="I802" s="102" t="s">
        <v>48</v>
      </c>
      <c r="J802" s="102" t="s">
        <v>48</v>
      </c>
      <c r="K802" s="102" t="s">
        <v>48</v>
      </c>
      <c r="L802" s="102" t="s">
        <v>48</v>
      </c>
      <c r="M802" s="102" t="s">
        <v>48</v>
      </c>
      <c r="N802" s="206" t="s">
        <v>48</v>
      </c>
      <c r="O802" s="102" t="s">
        <v>48</v>
      </c>
      <c r="P802" s="206" t="s">
        <v>48</v>
      </c>
      <c r="Q802" s="102" t="s">
        <v>48</v>
      </c>
      <c r="R802" s="102" t="s">
        <v>48</v>
      </c>
      <c r="S802" s="102" t="s">
        <v>48</v>
      </c>
      <c r="T802" s="102" t="s">
        <v>48</v>
      </c>
      <c r="U802" s="102" t="s">
        <v>48</v>
      </c>
      <c r="V802" s="205" t="s">
        <v>48</v>
      </c>
      <c r="W802" s="204" t="s">
        <v>2671</v>
      </c>
      <c r="X802" s="102" t="s">
        <v>2671</v>
      </c>
      <c r="Y802" s="102" t="s">
        <v>48</v>
      </c>
      <c r="Z802" s="102" t="s">
        <v>48</v>
      </c>
      <c r="AA802" s="102" t="s">
        <v>48</v>
      </c>
      <c r="AB802" s="102" t="s">
        <v>48</v>
      </c>
      <c r="AC802" s="102" t="s">
        <v>48</v>
      </c>
      <c r="AD802" s="205" t="s">
        <v>2896</v>
      </c>
      <c r="AE802" s="204" t="s">
        <v>48</v>
      </c>
      <c r="AF802" s="102" t="s">
        <v>48</v>
      </c>
      <c r="AG802" s="102" t="s">
        <v>48</v>
      </c>
      <c r="AH802" s="102" t="s">
        <v>48</v>
      </c>
      <c r="AI802" s="102" t="s">
        <v>48</v>
      </c>
      <c r="AJ802" s="102" t="s">
        <v>48</v>
      </c>
      <c r="AK802" s="205" t="s">
        <v>48</v>
      </c>
      <c r="AL802" s="204" t="s">
        <v>2671</v>
      </c>
      <c r="AM802" s="102" t="s">
        <v>2671</v>
      </c>
      <c r="AN802" s="102" t="s">
        <v>48</v>
      </c>
      <c r="AO802" s="102" t="s">
        <v>48</v>
      </c>
      <c r="AP802" s="102" t="s">
        <v>48</v>
      </c>
      <c r="AQ802" s="102" t="s">
        <v>48</v>
      </c>
      <c r="AR802" s="102" t="s">
        <v>48</v>
      </c>
      <c r="AS802" s="205" t="s">
        <v>48</v>
      </c>
      <c r="AT802" s="204" t="s">
        <v>48</v>
      </c>
      <c r="AU802" s="102" t="s">
        <v>48</v>
      </c>
      <c r="AV802" s="102" t="s">
        <v>48</v>
      </c>
      <c r="AW802" s="102" t="s">
        <v>48</v>
      </c>
      <c r="AX802" s="102" t="s">
        <v>48</v>
      </c>
      <c r="AY802" s="102" t="s">
        <v>48</v>
      </c>
      <c r="AZ802" s="205" t="s">
        <v>48</v>
      </c>
      <c r="BA802" s="206" t="s">
        <v>2397</v>
      </c>
      <c r="BB802" s="102" t="s">
        <v>82</v>
      </c>
      <c r="BC802" s="224" t="s">
        <v>2802</v>
      </c>
    </row>
    <row r="803" spans="1:55" s="11" customFormat="1" ht="75" hidden="1" customHeight="1">
      <c r="A803" s="102" t="s">
        <v>2340</v>
      </c>
      <c r="B803" s="102" t="s">
        <v>2022</v>
      </c>
      <c r="C803" s="224" t="s">
        <v>2800</v>
      </c>
      <c r="D803" s="102" t="s">
        <v>2798</v>
      </c>
      <c r="E803" s="203">
        <v>30000</v>
      </c>
      <c r="F803" s="204" t="s">
        <v>2798</v>
      </c>
      <c r="G803" s="102" t="s">
        <v>2798</v>
      </c>
      <c r="H803" s="102" t="s">
        <v>48</v>
      </c>
      <c r="I803" s="102" t="s">
        <v>48</v>
      </c>
      <c r="J803" s="102" t="s">
        <v>48</v>
      </c>
      <c r="K803" s="102" t="s">
        <v>48</v>
      </c>
      <c r="L803" s="102" t="s">
        <v>48</v>
      </c>
      <c r="M803" s="102" t="s">
        <v>48</v>
      </c>
      <c r="N803" s="206" t="s">
        <v>48</v>
      </c>
      <c r="O803" s="102" t="s">
        <v>48</v>
      </c>
      <c r="P803" s="206" t="s">
        <v>48</v>
      </c>
      <c r="Q803" s="102" t="s">
        <v>48</v>
      </c>
      <c r="R803" s="102" t="s">
        <v>48</v>
      </c>
      <c r="S803" s="102" t="s">
        <v>48</v>
      </c>
      <c r="T803" s="102" t="s">
        <v>48</v>
      </c>
      <c r="U803" s="102" t="s">
        <v>48</v>
      </c>
      <c r="V803" s="205" t="s">
        <v>48</v>
      </c>
      <c r="W803" s="204" t="s">
        <v>2798</v>
      </c>
      <c r="X803" s="102" t="s">
        <v>2798</v>
      </c>
      <c r="Y803" s="102" t="s">
        <v>48</v>
      </c>
      <c r="Z803" s="102" t="s">
        <v>48</v>
      </c>
      <c r="AA803" s="102" t="s">
        <v>48</v>
      </c>
      <c r="AB803" s="102" t="s">
        <v>48</v>
      </c>
      <c r="AC803" s="102" t="s">
        <v>48</v>
      </c>
      <c r="AD803" s="205" t="s">
        <v>2896</v>
      </c>
      <c r="AE803" s="204" t="s">
        <v>48</v>
      </c>
      <c r="AF803" s="102" t="s">
        <v>48</v>
      </c>
      <c r="AG803" s="102" t="s">
        <v>48</v>
      </c>
      <c r="AH803" s="102" t="s">
        <v>48</v>
      </c>
      <c r="AI803" s="102" t="s">
        <v>48</v>
      </c>
      <c r="AJ803" s="102" t="s">
        <v>48</v>
      </c>
      <c r="AK803" s="205" t="s">
        <v>48</v>
      </c>
      <c r="AL803" s="204" t="s">
        <v>2798</v>
      </c>
      <c r="AM803" s="102" t="s">
        <v>2798</v>
      </c>
      <c r="AN803" s="102" t="s">
        <v>48</v>
      </c>
      <c r="AO803" s="102" t="s">
        <v>48</v>
      </c>
      <c r="AP803" s="102" t="s">
        <v>48</v>
      </c>
      <c r="AQ803" s="102" t="s">
        <v>48</v>
      </c>
      <c r="AR803" s="102" t="s">
        <v>48</v>
      </c>
      <c r="AS803" s="205" t="s">
        <v>48</v>
      </c>
      <c r="AT803" s="204" t="s">
        <v>48</v>
      </c>
      <c r="AU803" s="102" t="s">
        <v>48</v>
      </c>
      <c r="AV803" s="102" t="s">
        <v>48</v>
      </c>
      <c r="AW803" s="102" t="s">
        <v>48</v>
      </c>
      <c r="AX803" s="102" t="s">
        <v>48</v>
      </c>
      <c r="AY803" s="102" t="s">
        <v>48</v>
      </c>
      <c r="AZ803" s="205" t="s">
        <v>48</v>
      </c>
      <c r="BA803" s="206" t="s">
        <v>2397</v>
      </c>
      <c r="BB803" s="102" t="s">
        <v>82</v>
      </c>
      <c r="BC803" s="224" t="s">
        <v>2802</v>
      </c>
    </row>
    <row r="804" spans="1:55" s="11" customFormat="1" ht="75" hidden="1" customHeight="1">
      <c r="A804" s="102" t="s">
        <v>2341</v>
      </c>
      <c r="B804" s="102" t="s">
        <v>2023</v>
      </c>
      <c r="C804" s="224" t="s">
        <v>2800</v>
      </c>
      <c r="D804" s="102" t="s">
        <v>2798</v>
      </c>
      <c r="E804" s="203">
        <v>30000</v>
      </c>
      <c r="F804" s="204" t="s">
        <v>2798</v>
      </c>
      <c r="G804" s="102" t="s">
        <v>2798</v>
      </c>
      <c r="H804" s="102" t="s">
        <v>48</v>
      </c>
      <c r="I804" s="102" t="s">
        <v>48</v>
      </c>
      <c r="J804" s="102" t="s">
        <v>48</v>
      </c>
      <c r="K804" s="102" t="s">
        <v>48</v>
      </c>
      <c r="L804" s="102" t="s">
        <v>48</v>
      </c>
      <c r="M804" s="102" t="s">
        <v>48</v>
      </c>
      <c r="N804" s="206" t="s">
        <v>48</v>
      </c>
      <c r="O804" s="102" t="s">
        <v>48</v>
      </c>
      <c r="P804" s="206" t="s">
        <v>48</v>
      </c>
      <c r="Q804" s="102" t="s">
        <v>48</v>
      </c>
      <c r="R804" s="102" t="s">
        <v>48</v>
      </c>
      <c r="S804" s="102" t="s">
        <v>48</v>
      </c>
      <c r="T804" s="102" t="s">
        <v>48</v>
      </c>
      <c r="U804" s="102" t="s">
        <v>48</v>
      </c>
      <c r="V804" s="205" t="s">
        <v>48</v>
      </c>
      <c r="W804" s="204" t="s">
        <v>2798</v>
      </c>
      <c r="X804" s="102" t="s">
        <v>2798</v>
      </c>
      <c r="Y804" s="102" t="s">
        <v>48</v>
      </c>
      <c r="Z804" s="102" t="s">
        <v>48</v>
      </c>
      <c r="AA804" s="102" t="s">
        <v>48</v>
      </c>
      <c r="AB804" s="102" t="s">
        <v>48</v>
      </c>
      <c r="AC804" s="102" t="s">
        <v>48</v>
      </c>
      <c r="AD804" s="205" t="s">
        <v>2896</v>
      </c>
      <c r="AE804" s="204" t="s">
        <v>48</v>
      </c>
      <c r="AF804" s="102" t="s">
        <v>48</v>
      </c>
      <c r="AG804" s="102" t="s">
        <v>48</v>
      </c>
      <c r="AH804" s="102" t="s">
        <v>48</v>
      </c>
      <c r="AI804" s="102" t="s">
        <v>48</v>
      </c>
      <c r="AJ804" s="102" t="s">
        <v>48</v>
      </c>
      <c r="AK804" s="205" t="s">
        <v>48</v>
      </c>
      <c r="AL804" s="204" t="s">
        <v>2798</v>
      </c>
      <c r="AM804" s="102" t="s">
        <v>2798</v>
      </c>
      <c r="AN804" s="102" t="s">
        <v>48</v>
      </c>
      <c r="AO804" s="102" t="s">
        <v>48</v>
      </c>
      <c r="AP804" s="102" t="s">
        <v>48</v>
      </c>
      <c r="AQ804" s="102" t="s">
        <v>48</v>
      </c>
      <c r="AR804" s="102" t="s">
        <v>48</v>
      </c>
      <c r="AS804" s="205" t="s">
        <v>48</v>
      </c>
      <c r="AT804" s="204" t="s">
        <v>48</v>
      </c>
      <c r="AU804" s="102" t="s">
        <v>48</v>
      </c>
      <c r="AV804" s="102" t="s">
        <v>48</v>
      </c>
      <c r="AW804" s="102" t="s">
        <v>48</v>
      </c>
      <c r="AX804" s="102" t="s">
        <v>48</v>
      </c>
      <c r="AY804" s="102" t="s">
        <v>48</v>
      </c>
      <c r="AZ804" s="205" t="s">
        <v>48</v>
      </c>
      <c r="BA804" s="206" t="s">
        <v>2397</v>
      </c>
      <c r="BB804" s="102" t="s">
        <v>82</v>
      </c>
      <c r="BC804" s="224" t="s">
        <v>2802</v>
      </c>
    </row>
    <row r="805" spans="1:55" s="11" customFormat="1" ht="75" hidden="1" customHeight="1">
      <c r="A805" s="102" t="s">
        <v>2340</v>
      </c>
      <c r="B805" s="102" t="s">
        <v>2022</v>
      </c>
      <c r="C805" s="224" t="s">
        <v>2800</v>
      </c>
      <c r="D805" s="102" t="s">
        <v>2653</v>
      </c>
      <c r="E805" s="203">
        <v>30000</v>
      </c>
      <c r="F805" s="204" t="s">
        <v>2653</v>
      </c>
      <c r="G805" s="102" t="s">
        <v>2653</v>
      </c>
      <c r="H805" s="102" t="s">
        <v>48</v>
      </c>
      <c r="I805" s="102" t="s">
        <v>48</v>
      </c>
      <c r="J805" s="102" t="s">
        <v>48</v>
      </c>
      <c r="K805" s="102" t="s">
        <v>48</v>
      </c>
      <c r="L805" s="102" t="s">
        <v>48</v>
      </c>
      <c r="M805" s="102" t="s">
        <v>48</v>
      </c>
      <c r="N805" s="206" t="s">
        <v>48</v>
      </c>
      <c r="O805" s="102" t="s">
        <v>48</v>
      </c>
      <c r="P805" s="206" t="s">
        <v>48</v>
      </c>
      <c r="Q805" s="102" t="s">
        <v>48</v>
      </c>
      <c r="R805" s="102" t="s">
        <v>48</v>
      </c>
      <c r="S805" s="102" t="s">
        <v>48</v>
      </c>
      <c r="T805" s="102" t="s">
        <v>48</v>
      </c>
      <c r="U805" s="102" t="s">
        <v>48</v>
      </c>
      <c r="V805" s="205" t="s">
        <v>48</v>
      </c>
      <c r="W805" s="204" t="s">
        <v>2653</v>
      </c>
      <c r="X805" s="102" t="s">
        <v>2653</v>
      </c>
      <c r="Y805" s="102" t="s">
        <v>48</v>
      </c>
      <c r="Z805" s="102" t="s">
        <v>48</v>
      </c>
      <c r="AA805" s="102" t="s">
        <v>48</v>
      </c>
      <c r="AB805" s="102" t="s">
        <v>48</v>
      </c>
      <c r="AC805" s="102" t="s">
        <v>48</v>
      </c>
      <c r="AD805" s="205" t="s">
        <v>2897</v>
      </c>
      <c r="AE805" s="204" t="s">
        <v>48</v>
      </c>
      <c r="AF805" s="102" t="s">
        <v>48</v>
      </c>
      <c r="AG805" s="102" t="s">
        <v>48</v>
      </c>
      <c r="AH805" s="102" t="s">
        <v>48</v>
      </c>
      <c r="AI805" s="102" t="s">
        <v>48</v>
      </c>
      <c r="AJ805" s="102" t="s">
        <v>48</v>
      </c>
      <c r="AK805" s="205" t="s">
        <v>48</v>
      </c>
      <c r="AL805" s="204" t="s">
        <v>2653</v>
      </c>
      <c r="AM805" s="102" t="s">
        <v>2653</v>
      </c>
      <c r="AN805" s="102" t="s">
        <v>48</v>
      </c>
      <c r="AO805" s="102" t="s">
        <v>48</v>
      </c>
      <c r="AP805" s="102" t="s">
        <v>48</v>
      </c>
      <c r="AQ805" s="102" t="s">
        <v>48</v>
      </c>
      <c r="AR805" s="102" t="s">
        <v>48</v>
      </c>
      <c r="AS805" s="205" t="s">
        <v>48</v>
      </c>
      <c r="AT805" s="204" t="s">
        <v>48</v>
      </c>
      <c r="AU805" s="102" t="s">
        <v>48</v>
      </c>
      <c r="AV805" s="102" t="s">
        <v>48</v>
      </c>
      <c r="AW805" s="102" t="s">
        <v>48</v>
      </c>
      <c r="AX805" s="102" t="s">
        <v>48</v>
      </c>
      <c r="AY805" s="102" t="s">
        <v>48</v>
      </c>
      <c r="AZ805" s="205" t="s">
        <v>48</v>
      </c>
      <c r="BA805" s="206" t="s">
        <v>2397</v>
      </c>
      <c r="BB805" s="102" t="s">
        <v>82</v>
      </c>
      <c r="BC805" s="224" t="s">
        <v>2802</v>
      </c>
    </row>
    <row r="806" spans="1:55" s="11" customFormat="1" ht="75" hidden="1" customHeight="1">
      <c r="A806" s="102" t="s">
        <v>2341</v>
      </c>
      <c r="B806" s="102" t="s">
        <v>2023</v>
      </c>
      <c r="C806" s="224" t="s">
        <v>2800</v>
      </c>
      <c r="D806" s="102" t="s">
        <v>2653</v>
      </c>
      <c r="E806" s="203">
        <v>30000</v>
      </c>
      <c r="F806" s="204" t="s">
        <v>2653</v>
      </c>
      <c r="G806" s="102" t="s">
        <v>2653</v>
      </c>
      <c r="H806" s="102" t="s">
        <v>48</v>
      </c>
      <c r="I806" s="102" t="s">
        <v>48</v>
      </c>
      <c r="J806" s="102" t="s">
        <v>48</v>
      </c>
      <c r="K806" s="102" t="s">
        <v>48</v>
      </c>
      <c r="L806" s="102" t="s">
        <v>48</v>
      </c>
      <c r="M806" s="102" t="s">
        <v>48</v>
      </c>
      <c r="N806" s="206" t="s">
        <v>48</v>
      </c>
      <c r="O806" s="102" t="s">
        <v>48</v>
      </c>
      <c r="P806" s="206" t="s">
        <v>48</v>
      </c>
      <c r="Q806" s="102" t="s">
        <v>48</v>
      </c>
      <c r="R806" s="102" t="s">
        <v>48</v>
      </c>
      <c r="S806" s="102" t="s">
        <v>48</v>
      </c>
      <c r="T806" s="102" t="s">
        <v>48</v>
      </c>
      <c r="U806" s="102" t="s">
        <v>48</v>
      </c>
      <c r="V806" s="205" t="s">
        <v>48</v>
      </c>
      <c r="W806" s="204" t="s">
        <v>2653</v>
      </c>
      <c r="X806" s="102" t="s">
        <v>2653</v>
      </c>
      <c r="Y806" s="102" t="s">
        <v>48</v>
      </c>
      <c r="Z806" s="102" t="s">
        <v>48</v>
      </c>
      <c r="AA806" s="102" t="s">
        <v>48</v>
      </c>
      <c r="AB806" s="102" t="s">
        <v>48</v>
      </c>
      <c r="AC806" s="102" t="s">
        <v>48</v>
      </c>
      <c r="AD806" s="205" t="s">
        <v>2897</v>
      </c>
      <c r="AE806" s="204" t="s">
        <v>48</v>
      </c>
      <c r="AF806" s="102" t="s">
        <v>48</v>
      </c>
      <c r="AG806" s="102" t="s">
        <v>48</v>
      </c>
      <c r="AH806" s="102" t="s">
        <v>48</v>
      </c>
      <c r="AI806" s="102" t="s">
        <v>48</v>
      </c>
      <c r="AJ806" s="102" t="s">
        <v>48</v>
      </c>
      <c r="AK806" s="205" t="s">
        <v>48</v>
      </c>
      <c r="AL806" s="204" t="s">
        <v>2653</v>
      </c>
      <c r="AM806" s="102" t="s">
        <v>2653</v>
      </c>
      <c r="AN806" s="102" t="s">
        <v>48</v>
      </c>
      <c r="AO806" s="102" t="s">
        <v>48</v>
      </c>
      <c r="AP806" s="102" t="s">
        <v>48</v>
      </c>
      <c r="AQ806" s="102" t="s">
        <v>48</v>
      </c>
      <c r="AR806" s="102" t="s">
        <v>48</v>
      </c>
      <c r="AS806" s="205" t="s">
        <v>48</v>
      </c>
      <c r="AT806" s="204" t="s">
        <v>48</v>
      </c>
      <c r="AU806" s="102" t="s">
        <v>48</v>
      </c>
      <c r="AV806" s="102" t="s">
        <v>48</v>
      </c>
      <c r="AW806" s="102" t="s">
        <v>48</v>
      </c>
      <c r="AX806" s="102" t="s">
        <v>48</v>
      </c>
      <c r="AY806" s="102" t="s">
        <v>48</v>
      </c>
      <c r="AZ806" s="205" t="s">
        <v>48</v>
      </c>
      <c r="BA806" s="206" t="s">
        <v>2397</v>
      </c>
      <c r="BB806" s="102" t="s">
        <v>82</v>
      </c>
      <c r="BC806" s="224" t="s">
        <v>2802</v>
      </c>
    </row>
    <row r="807" spans="1:55" s="11" customFormat="1" ht="75" hidden="1" customHeight="1">
      <c r="A807" s="102" t="s">
        <v>31</v>
      </c>
      <c r="B807" s="102" t="s">
        <v>2019</v>
      </c>
      <c r="C807" s="224" t="s">
        <v>2800</v>
      </c>
      <c r="D807" s="102" t="s">
        <v>2797</v>
      </c>
      <c r="E807" s="203">
        <v>30000</v>
      </c>
      <c r="F807" s="204" t="s">
        <v>2797</v>
      </c>
      <c r="G807" s="102" t="s">
        <v>2797</v>
      </c>
      <c r="H807" s="102" t="s">
        <v>48</v>
      </c>
      <c r="I807" s="102" t="s">
        <v>48</v>
      </c>
      <c r="J807" s="102" t="s">
        <v>48</v>
      </c>
      <c r="K807" s="102" t="s">
        <v>48</v>
      </c>
      <c r="L807" s="102" t="s">
        <v>48</v>
      </c>
      <c r="M807" s="102" t="s">
        <v>48</v>
      </c>
      <c r="N807" s="206" t="s">
        <v>48</v>
      </c>
      <c r="O807" s="102" t="s">
        <v>48</v>
      </c>
      <c r="P807" s="206" t="s">
        <v>48</v>
      </c>
      <c r="Q807" s="102" t="s">
        <v>48</v>
      </c>
      <c r="R807" s="102" t="s">
        <v>48</v>
      </c>
      <c r="S807" s="102" t="s">
        <v>48</v>
      </c>
      <c r="T807" s="102" t="s">
        <v>48</v>
      </c>
      <c r="U807" s="102" t="s">
        <v>48</v>
      </c>
      <c r="V807" s="205" t="s">
        <v>48</v>
      </c>
      <c r="W807" s="204" t="s">
        <v>2797</v>
      </c>
      <c r="X807" s="102" t="s">
        <v>2797</v>
      </c>
      <c r="Y807" s="102" t="s">
        <v>48</v>
      </c>
      <c r="Z807" s="102" t="s">
        <v>48</v>
      </c>
      <c r="AA807" s="102" t="s">
        <v>48</v>
      </c>
      <c r="AB807" s="102" t="s">
        <v>48</v>
      </c>
      <c r="AC807" s="102" t="s">
        <v>48</v>
      </c>
      <c r="AD807" s="205" t="s">
        <v>2897</v>
      </c>
      <c r="AE807" s="204" t="s">
        <v>48</v>
      </c>
      <c r="AF807" s="102" t="s">
        <v>48</v>
      </c>
      <c r="AG807" s="102" t="s">
        <v>48</v>
      </c>
      <c r="AH807" s="102" t="s">
        <v>48</v>
      </c>
      <c r="AI807" s="102" t="s">
        <v>48</v>
      </c>
      <c r="AJ807" s="102" t="s">
        <v>48</v>
      </c>
      <c r="AK807" s="205" t="s">
        <v>48</v>
      </c>
      <c r="AL807" s="204" t="s">
        <v>2797</v>
      </c>
      <c r="AM807" s="102" t="s">
        <v>2797</v>
      </c>
      <c r="AN807" s="102" t="s">
        <v>48</v>
      </c>
      <c r="AO807" s="102" t="s">
        <v>48</v>
      </c>
      <c r="AP807" s="102" t="s">
        <v>48</v>
      </c>
      <c r="AQ807" s="102" t="s">
        <v>48</v>
      </c>
      <c r="AR807" s="102" t="s">
        <v>48</v>
      </c>
      <c r="AS807" s="205" t="s">
        <v>48</v>
      </c>
      <c r="AT807" s="204" t="s">
        <v>48</v>
      </c>
      <c r="AU807" s="102" t="s">
        <v>48</v>
      </c>
      <c r="AV807" s="102" t="s">
        <v>48</v>
      </c>
      <c r="AW807" s="102" t="s">
        <v>48</v>
      </c>
      <c r="AX807" s="102" t="s">
        <v>48</v>
      </c>
      <c r="AY807" s="102" t="s">
        <v>48</v>
      </c>
      <c r="AZ807" s="205" t="s">
        <v>48</v>
      </c>
      <c r="BA807" s="206" t="s">
        <v>2397</v>
      </c>
      <c r="BB807" s="102" t="s">
        <v>82</v>
      </c>
      <c r="BC807" s="224" t="s">
        <v>2802</v>
      </c>
    </row>
    <row r="808" spans="1:55" s="11" customFormat="1" ht="75" hidden="1" customHeight="1">
      <c r="A808" s="102" t="s">
        <v>31</v>
      </c>
      <c r="B808" s="102" t="s">
        <v>2027</v>
      </c>
      <c r="C808" s="224" t="s">
        <v>2800</v>
      </c>
      <c r="D808" s="102" t="s">
        <v>2797</v>
      </c>
      <c r="E808" s="203">
        <v>30000</v>
      </c>
      <c r="F808" s="204" t="s">
        <v>2797</v>
      </c>
      <c r="G808" s="102" t="s">
        <v>2797</v>
      </c>
      <c r="H808" s="102" t="s">
        <v>48</v>
      </c>
      <c r="I808" s="102" t="s">
        <v>48</v>
      </c>
      <c r="J808" s="102" t="s">
        <v>48</v>
      </c>
      <c r="K808" s="102" t="s">
        <v>48</v>
      </c>
      <c r="L808" s="102" t="s">
        <v>48</v>
      </c>
      <c r="M808" s="102" t="s">
        <v>48</v>
      </c>
      <c r="N808" s="206" t="s">
        <v>48</v>
      </c>
      <c r="O808" s="102" t="s">
        <v>48</v>
      </c>
      <c r="P808" s="206" t="s">
        <v>48</v>
      </c>
      <c r="Q808" s="102" t="s">
        <v>48</v>
      </c>
      <c r="R808" s="102" t="s">
        <v>48</v>
      </c>
      <c r="S808" s="102" t="s">
        <v>48</v>
      </c>
      <c r="T808" s="102" t="s">
        <v>48</v>
      </c>
      <c r="U808" s="102" t="s">
        <v>48</v>
      </c>
      <c r="V808" s="205" t="s">
        <v>48</v>
      </c>
      <c r="W808" s="204" t="s">
        <v>2797</v>
      </c>
      <c r="X808" s="102" t="s">
        <v>2797</v>
      </c>
      <c r="Y808" s="102" t="s">
        <v>48</v>
      </c>
      <c r="Z808" s="102" t="s">
        <v>48</v>
      </c>
      <c r="AA808" s="102" t="s">
        <v>48</v>
      </c>
      <c r="AB808" s="102" t="s">
        <v>48</v>
      </c>
      <c r="AC808" s="102" t="s">
        <v>48</v>
      </c>
      <c r="AD808" s="205" t="s">
        <v>2897</v>
      </c>
      <c r="AE808" s="204" t="s">
        <v>48</v>
      </c>
      <c r="AF808" s="102" t="s">
        <v>48</v>
      </c>
      <c r="AG808" s="102" t="s">
        <v>48</v>
      </c>
      <c r="AH808" s="102" t="s">
        <v>48</v>
      </c>
      <c r="AI808" s="102" t="s">
        <v>48</v>
      </c>
      <c r="AJ808" s="102" t="s">
        <v>48</v>
      </c>
      <c r="AK808" s="205" t="s">
        <v>48</v>
      </c>
      <c r="AL808" s="204" t="s">
        <v>2797</v>
      </c>
      <c r="AM808" s="102" t="s">
        <v>2797</v>
      </c>
      <c r="AN808" s="102" t="s">
        <v>48</v>
      </c>
      <c r="AO808" s="102" t="s">
        <v>48</v>
      </c>
      <c r="AP808" s="102" t="s">
        <v>48</v>
      </c>
      <c r="AQ808" s="102" t="s">
        <v>48</v>
      </c>
      <c r="AR808" s="102" t="s">
        <v>48</v>
      </c>
      <c r="AS808" s="205" t="s">
        <v>48</v>
      </c>
      <c r="AT808" s="204" t="s">
        <v>48</v>
      </c>
      <c r="AU808" s="102" t="s">
        <v>48</v>
      </c>
      <c r="AV808" s="102" t="s">
        <v>48</v>
      </c>
      <c r="AW808" s="102" t="s">
        <v>48</v>
      </c>
      <c r="AX808" s="102" t="s">
        <v>48</v>
      </c>
      <c r="AY808" s="102" t="s">
        <v>48</v>
      </c>
      <c r="AZ808" s="205" t="s">
        <v>48</v>
      </c>
      <c r="BA808" s="206" t="s">
        <v>2397</v>
      </c>
      <c r="BB808" s="102" t="s">
        <v>82</v>
      </c>
      <c r="BC808" s="224" t="s">
        <v>2802</v>
      </c>
    </row>
    <row r="809" spans="1:55" s="11" customFormat="1" ht="75" hidden="1" customHeight="1">
      <c r="A809" s="102" t="s">
        <v>2344</v>
      </c>
      <c r="B809" s="102" t="s">
        <v>2021</v>
      </c>
      <c r="C809" s="224" t="s">
        <v>2800</v>
      </c>
      <c r="D809" s="102" t="s">
        <v>2657</v>
      </c>
      <c r="E809" s="203">
        <v>30000</v>
      </c>
      <c r="F809" s="204" t="s">
        <v>2657</v>
      </c>
      <c r="G809" s="102" t="s">
        <v>2657</v>
      </c>
      <c r="H809" s="102" t="s">
        <v>48</v>
      </c>
      <c r="I809" s="102" t="s">
        <v>48</v>
      </c>
      <c r="J809" s="102" t="s">
        <v>48</v>
      </c>
      <c r="K809" s="102" t="s">
        <v>48</v>
      </c>
      <c r="L809" s="102" t="s">
        <v>48</v>
      </c>
      <c r="M809" s="102" t="s">
        <v>48</v>
      </c>
      <c r="N809" s="206" t="s">
        <v>48</v>
      </c>
      <c r="O809" s="102" t="s">
        <v>48</v>
      </c>
      <c r="P809" s="206" t="s">
        <v>48</v>
      </c>
      <c r="Q809" s="102" t="s">
        <v>48</v>
      </c>
      <c r="R809" s="102" t="s">
        <v>48</v>
      </c>
      <c r="S809" s="102" t="s">
        <v>48</v>
      </c>
      <c r="T809" s="102" t="s">
        <v>48</v>
      </c>
      <c r="U809" s="102" t="s">
        <v>48</v>
      </c>
      <c r="V809" s="205" t="s">
        <v>48</v>
      </c>
      <c r="W809" s="204" t="s">
        <v>2657</v>
      </c>
      <c r="X809" s="102" t="s">
        <v>2657</v>
      </c>
      <c r="Y809" s="102" t="s">
        <v>48</v>
      </c>
      <c r="Z809" s="102" t="s">
        <v>48</v>
      </c>
      <c r="AA809" s="102" t="s">
        <v>48</v>
      </c>
      <c r="AB809" s="102" t="s">
        <v>48</v>
      </c>
      <c r="AC809" s="102" t="s">
        <v>48</v>
      </c>
      <c r="AD809" s="205" t="s">
        <v>2897</v>
      </c>
      <c r="AE809" s="204" t="s">
        <v>48</v>
      </c>
      <c r="AF809" s="102" t="s">
        <v>48</v>
      </c>
      <c r="AG809" s="102" t="s">
        <v>48</v>
      </c>
      <c r="AH809" s="102" t="s">
        <v>48</v>
      </c>
      <c r="AI809" s="102" t="s">
        <v>48</v>
      </c>
      <c r="AJ809" s="102" t="s">
        <v>48</v>
      </c>
      <c r="AK809" s="205" t="s">
        <v>48</v>
      </c>
      <c r="AL809" s="204" t="s">
        <v>2657</v>
      </c>
      <c r="AM809" s="102" t="s">
        <v>2657</v>
      </c>
      <c r="AN809" s="102" t="s">
        <v>48</v>
      </c>
      <c r="AO809" s="102" t="s">
        <v>48</v>
      </c>
      <c r="AP809" s="102" t="s">
        <v>48</v>
      </c>
      <c r="AQ809" s="102" t="s">
        <v>48</v>
      </c>
      <c r="AR809" s="102" t="s">
        <v>48</v>
      </c>
      <c r="AS809" s="205" t="s">
        <v>48</v>
      </c>
      <c r="AT809" s="204" t="s">
        <v>48</v>
      </c>
      <c r="AU809" s="102" t="s">
        <v>48</v>
      </c>
      <c r="AV809" s="102" t="s">
        <v>48</v>
      </c>
      <c r="AW809" s="102" t="s">
        <v>48</v>
      </c>
      <c r="AX809" s="102" t="s">
        <v>48</v>
      </c>
      <c r="AY809" s="102" t="s">
        <v>48</v>
      </c>
      <c r="AZ809" s="205" t="s">
        <v>48</v>
      </c>
      <c r="BA809" s="206" t="s">
        <v>2397</v>
      </c>
      <c r="BB809" s="102" t="s">
        <v>82</v>
      </c>
      <c r="BC809" s="224" t="s">
        <v>2802</v>
      </c>
    </row>
    <row r="810" spans="1:55" s="11" customFormat="1" ht="75" hidden="1" customHeight="1">
      <c r="A810" s="102" t="s">
        <v>40</v>
      </c>
      <c r="B810" s="102" t="s">
        <v>2020</v>
      </c>
      <c r="C810" s="224" t="s">
        <v>2800</v>
      </c>
      <c r="D810" s="102" t="s">
        <v>2653</v>
      </c>
      <c r="E810" s="203">
        <v>30000</v>
      </c>
      <c r="F810" s="204" t="s">
        <v>2653</v>
      </c>
      <c r="G810" s="102" t="s">
        <v>2653</v>
      </c>
      <c r="H810" s="102" t="s">
        <v>48</v>
      </c>
      <c r="I810" s="102" t="s">
        <v>48</v>
      </c>
      <c r="J810" s="102" t="s">
        <v>48</v>
      </c>
      <c r="K810" s="102" t="s">
        <v>48</v>
      </c>
      <c r="L810" s="102" t="s">
        <v>48</v>
      </c>
      <c r="M810" s="102" t="s">
        <v>48</v>
      </c>
      <c r="N810" s="206" t="s">
        <v>48</v>
      </c>
      <c r="O810" s="102" t="s">
        <v>48</v>
      </c>
      <c r="P810" s="206" t="s">
        <v>48</v>
      </c>
      <c r="Q810" s="102" t="s">
        <v>48</v>
      </c>
      <c r="R810" s="102" t="s">
        <v>48</v>
      </c>
      <c r="S810" s="102" t="s">
        <v>48</v>
      </c>
      <c r="T810" s="102" t="s">
        <v>48</v>
      </c>
      <c r="U810" s="102" t="s">
        <v>48</v>
      </c>
      <c r="V810" s="205" t="s">
        <v>48</v>
      </c>
      <c r="W810" s="204" t="s">
        <v>2653</v>
      </c>
      <c r="X810" s="102" t="s">
        <v>2653</v>
      </c>
      <c r="Y810" s="102" t="s">
        <v>48</v>
      </c>
      <c r="Z810" s="102" t="s">
        <v>48</v>
      </c>
      <c r="AA810" s="102" t="s">
        <v>48</v>
      </c>
      <c r="AB810" s="102" t="s">
        <v>48</v>
      </c>
      <c r="AC810" s="102" t="s">
        <v>48</v>
      </c>
      <c r="AD810" s="205" t="s">
        <v>2897</v>
      </c>
      <c r="AE810" s="204" t="s">
        <v>48</v>
      </c>
      <c r="AF810" s="102" t="s">
        <v>48</v>
      </c>
      <c r="AG810" s="102" t="s">
        <v>48</v>
      </c>
      <c r="AH810" s="102" t="s">
        <v>48</v>
      </c>
      <c r="AI810" s="102" t="s">
        <v>48</v>
      </c>
      <c r="AJ810" s="102" t="s">
        <v>48</v>
      </c>
      <c r="AK810" s="205" t="s">
        <v>48</v>
      </c>
      <c r="AL810" s="204" t="s">
        <v>2653</v>
      </c>
      <c r="AM810" s="102" t="s">
        <v>2653</v>
      </c>
      <c r="AN810" s="102" t="s">
        <v>48</v>
      </c>
      <c r="AO810" s="102" t="s">
        <v>48</v>
      </c>
      <c r="AP810" s="102" t="s">
        <v>48</v>
      </c>
      <c r="AQ810" s="102" t="s">
        <v>48</v>
      </c>
      <c r="AR810" s="102" t="s">
        <v>48</v>
      </c>
      <c r="AS810" s="205" t="s">
        <v>48</v>
      </c>
      <c r="AT810" s="204" t="s">
        <v>48</v>
      </c>
      <c r="AU810" s="102" t="s">
        <v>48</v>
      </c>
      <c r="AV810" s="102" t="s">
        <v>48</v>
      </c>
      <c r="AW810" s="102" t="s">
        <v>48</v>
      </c>
      <c r="AX810" s="102" t="s">
        <v>48</v>
      </c>
      <c r="AY810" s="102" t="s">
        <v>48</v>
      </c>
      <c r="AZ810" s="205" t="s">
        <v>48</v>
      </c>
      <c r="BA810" s="206" t="s">
        <v>2397</v>
      </c>
      <c r="BB810" s="102" t="s">
        <v>82</v>
      </c>
      <c r="BC810" s="224" t="s">
        <v>2802</v>
      </c>
    </row>
    <row r="811" spans="1:55" s="11" customFormat="1" ht="75" hidden="1" customHeight="1">
      <c r="A811" s="102" t="s">
        <v>40</v>
      </c>
      <c r="B811" s="102" t="s">
        <v>2020</v>
      </c>
      <c r="C811" s="224" t="s">
        <v>2800</v>
      </c>
      <c r="D811" s="102" t="s">
        <v>2795</v>
      </c>
      <c r="E811" s="203">
        <v>30000</v>
      </c>
      <c r="F811" s="204" t="s">
        <v>2795</v>
      </c>
      <c r="G811" s="102" t="s">
        <v>2795</v>
      </c>
      <c r="H811" s="102" t="s">
        <v>48</v>
      </c>
      <c r="I811" s="102" t="s">
        <v>48</v>
      </c>
      <c r="J811" s="102" t="s">
        <v>48</v>
      </c>
      <c r="K811" s="102" t="s">
        <v>48</v>
      </c>
      <c r="L811" s="102" t="s">
        <v>48</v>
      </c>
      <c r="M811" s="102" t="s">
        <v>48</v>
      </c>
      <c r="N811" s="206" t="s">
        <v>48</v>
      </c>
      <c r="O811" s="102" t="s">
        <v>48</v>
      </c>
      <c r="P811" s="206" t="s">
        <v>48</v>
      </c>
      <c r="Q811" s="102" t="s">
        <v>48</v>
      </c>
      <c r="R811" s="102" t="s">
        <v>48</v>
      </c>
      <c r="S811" s="102" t="s">
        <v>48</v>
      </c>
      <c r="T811" s="102" t="s">
        <v>48</v>
      </c>
      <c r="U811" s="102" t="s">
        <v>48</v>
      </c>
      <c r="V811" s="205" t="s">
        <v>48</v>
      </c>
      <c r="W811" s="204" t="s">
        <v>2795</v>
      </c>
      <c r="X811" s="102" t="s">
        <v>2795</v>
      </c>
      <c r="Y811" s="102" t="s">
        <v>48</v>
      </c>
      <c r="Z811" s="102" t="s">
        <v>48</v>
      </c>
      <c r="AA811" s="102" t="s">
        <v>48</v>
      </c>
      <c r="AB811" s="102" t="s">
        <v>48</v>
      </c>
      <c r="AC811" s="102" t="s">
        <v>48</v>
      </c>
      <c r="AD811" s="205" t="s">
        <v>2898</v>
      </c>
      <c r="AE811" s="204" t="s">
        <v>48</v>
      </c>
      <c r="AF811" s="102" t="s">
        <v>48</v>
      </c>
      <c r="AG811" s="102" t="s">
        <v>48</v>
      </c>
      <c r="AH811" s="102" t="s">
        <v>48</v>
      </c>
      <c r="AI811" s="102" t="s">
        <v>48</v>
      </c>
      <c r="AJ811" s="102" t="s">
        <v>48</v>
      </c>
      <c r="AK811" s="205" t="s">
        <v>48</v>
      </c>
      <c r="AL811" s="204" t="s">
        <v>2795</v>
      </c>
      <c r="AM811" s="102" t="s">
        <v>2795</v>
      </c>
      <c r="AN811" s="102" t="s">
        <v>48</v>
      </c>
      <c r="AO811" s="102" t="s">
        <v>48</v>
      </c>
      <c r="AP811" s="102" t="s">
        <v>48</v>
      </c>
      <c r="AQ811" s="102" t="s">
        <v>48</v>
      </c>
      <c r="AR811" s="102" t="s">
        <v>48</v>
      </c>
      <c r="AS811" s="205" t="s">
        <v>48</v>
      </c>
      <c r="AT811" s="204" t="s">
        <v>48</v>
      </c>
      <c r="AU811" s="102" t="s">
        <v>48</v>
      </c>
      <c r="AV811" s="102" t="s">
        <v>48</v>
      </c>
      <c r="AW811" s="102" t="s">
        <v>48</v>
      </c>
      <c r="AX811" s="102" t="s">
        <v>48</v>
      </c>
      <c r="AY811" s="102" t="s">
        <v>48</v>
      </c>
      <c r="AZ811" s="205" t="s">
        <v>48</v>
      </c>
      <c r="BA811" s="206" t="s">
        <v>2397</v>
      </c>
      <c r="BB811" s="102" t="s">
        <v>82</v>
      </c>
      <c r="BC811" s="224" t="s">
        <v>2802</v>
      </c>
    </row>
    <row r="812" spans="1:55" s="11" customFormat="1" ht="75" hidden="1" customHeight="1">
      <c r="A812" s="102" t="s">
        <v>40</v>
      </c>
      <c r="B812" s="102" t="s">
        <v>2020</v>
      </c>
      <c r="C812" s="224" t="s">
        <v>2800</v>
      </c>
      <c r="D812" s="102" t="s">
        <v>2796</v>
      </c>
      <c r="E812" s="203">
        <v>30000</v>
      </c>
      <c r="F812" s="204" t="s">
        <v>2796</v>
      </c>
      <c r="G812" s="102" t="s">
        <v>2796</v>
      </c>
      <c r="H812" s="102" t="s">
        <v>48</v>
      </c>
      <c r="I812" s="102" t="s">
        <v>48</v>
      </c>
      <c r="J812" s="102" t="s">
        <v>48</v>
      </c>
      <c r="K812" s="102" t="s">
        <v>48</v>
      </c>
      <c r="L812" s="102" t="s">
        <v>48</v>
      </c>
      <c r="M812" s="102" t="s">
        <v>48</v>
      </c>
      <c r="N812" s="206" t="s">
        <v>48</v>
      </c>
      <c r="O812" s="102" t="s">
        <v>48</v>
      </c>
      <c r="P812" s="206" t="s">
        <v>48</v>
      </c>
      <c r="Q812" s="102" t="s">
        <v>48</v>
      </c>
      <c r="R812" s="102" t="s">
        <v>48</v>
      </c>
      <c r="S812" s="102" t="s">
        <v>48</v>
      </c>
      <c r="T812" s="102" t="s">
        <v>48</v>
      </c>
      <c r="U812" s="102" t="s">
        <v>48</v>
      </c>
      <c r="V812" s="205" t="s">
        <v>48</v>
      </c>
      <c r="W812" s="204" t="s">
        <v>2796</v>
      </c>
      <c r="X812" s="102" t="s">
        <v>2796</v>
      </c>
      <c r="Y812" s="102" t="s">
        <v>48</v>
      </c>
      <c r="Z812" s="102" t="s">
        <v>48</v>
      </c>
      <c r="AA812" s="102" t="s">
        <v>48</v>
      </c>
      <c r="AB812" s="102" t="s">
        <v>48</v>
      </c>
      <c r="AC812" s="102" t="s">
        <v>48</v>
      </c>
      <c r="AD812" s="205" t="s">
        <v>2898</v>
      </c>
      <c r="AE812" s="204" t="s">
        <v>48</v>
      </c>
      <c r="AF812" s="102" t="s">
        <v>48</v>
      </c>
      <c r="AG812" s="102" t="s">
        <v>48</v>
      </c>
      <c r="AH812" s="102" t="s">
        <v>48</v>
      </c>
      <c r="AI812" s="102" t="s">
        <v>48</v>
      </c>
      <c r="AJ812" s="102" t="s">
        <v>48</v>
      </c>
      <c r="AK812" s="205" t="s">
        <v>48</v>
      </c>
      <c r="AL812" s="204" t="s">
        <v>2796</v>
      </c>
      <c r="AM812" s="102" t="s">
        <v>2796</v>
      </c>
      <c r="AN812" s="102" t="s">
        <v>48</v>
      </c>
      <c r="AO812" s="102" t="s">
        <v>48</v>
      </c>
      <c r="AP812" s="102" t="s">
        <v>48</v>
      </c>
      <c r="AQ812" s="102" t="s">
        <v>48</v>
      </c>
      <c r="AR812" s="102" t="s">
        <v>48</v>
      </c>
      <c r="AS812" s="205" t="s">
        <v>48</v>
      </c>
      <c r="AT812" s="204" t="s">
        <v>48</v>
      </c>
      <c r="AU812" s="102" t="s">
        <v>48</v>
      </c>
      <c r="AV812" s="102" t="s">
        <v>48</v>
      </c>
      <c r="AW812" s="102" t="s">
        <v>48</v>
      </c>
      <c r="AX812" s="102" t="s">
        <v>48</v>
      </c>
      <c r="AY812" s="102" t="s">
        <v>48</v>
      </c>
      <c r="AZ812" s="205" t="s">
        <v>48</v>
      </c>
      <c r="BA812" s="206" t="s">
        <v>2397</v>
      </c>
      <c r="BB812" s="102" t="s">
        <v>82</v>
      </c>
      <c r="BC812" s="224" t="s">
        <v>2802</v>
      </c>
    </row>
    <row r="813" spans="1:55" ht="75" hidden="1" customHeight="1">
      <c r="A813" s="109" t="s">
        <v>1115</v>
      </c>
      <c r="B813" s="109" t="s">
        <v>2030</v>
      </c>
      <c r="C813" s="118" t="s">
        <v>949</v>
      </c>
      <c r="D813" s="109" t="s">
        <v>1377</v>
      </c>
      <c r="E813" s="161">
        <v>15000</v>
      </c>
      <c r="F813" s="165" t="s">
        <v>1843</v>
      </c>
      <c r="G813" s="109" t="s">
        <v>1843</v>
      </c>
      <c r="H813" s="109" t="s">
        <v>1953</v>
      </c>
      <c r="I813" s="109" t="s">
        <v>1908</v>
      </c>
      <c r="J813" s="109" t="s">
        <v>1708</v>
      </c>
      <c r="K813" s="109" t="s">
        <v>1708</v>
      </c>
      <c r="L813" s="109" t="s">
        <v>1996</v>
      </c>
      <c r="M813" s="166" t="s">
        <v>1687</v>
      </c>
      <c r="N813" s="162" t="s">
        <v>48</v>
      </c>
      <c r="O813" s="109" t="s">
        <v>48</v>
      </c>
      <c r="P813" s="162" t="s">
        <v>48</v>
      </c>
      <c r="Q813" s="109" t="s">
        <v>48</v>
      </c>
      <c r="R813" s="109" t="s">
        <v>48</v>
      </c>
      <c r="S813" s="109" t="s">
        <v>48</v>
      </c>
      <c r="T813" s="109" t="s">
        <v>48</v>
      </c>
      <c r="U813" s="109" t="s">
        <v>48</v>
      </c>
      <c r="V813" s="166" t="s">
        <v>48</v>
      </c>
      <c r="W813" s="165" t="s">
        <v>1377</v>
      </c>
      <c r="X813" s="109" t="s">
        <v>1377</v>
      </c>
      <c r="Y813" s="109" t="s">
        <v>48</v>
      </c>
      <c r="Z813" s="109" t="s">
        <v>48</v>
      </c>
      <c r="AA813" s="109" t="s">
        <v>48</v>
      </c>
      <c r="AB813" s="109" t="s">
        <v>48</v>
      </c>
      <c r="AC813" s="109" t="s">
        <v>48</v>
      </c>
      <c r="AD813" s="166" t="s">
        <v>48</v>
      </c>
      <c r="AE813" s="174" t="s">
        <v>48</v>
      </c>
      <c r="AF813" s="117" t="s">
        <v>48</v>
      </c>
      <c r="AG813" s="117" t="s">
        <v>48</v>
      </c>
      <c r="AH813" s="109" t="s">
        <v>48</v>
      </c>
      <c r="AI813" s="117" t="s">
        <v>48</v>
      </c>
      <c r="AJ813" s="117" t="s">
        <v>48</v>
      </c>
      <c r="AK813" s="182" t="s">
        <v>48</v>
      </c>
      <c r="AL813" s="109" t="s">
        <v>2586</v>
      </c>
      <c r="AM813" s="109" t="s">
        <v>2586</v>
      </c>
      <c r="AN813" s="109" t="s">
        <v>2587</v>
      </c>
      <c r="AO813" s="109" t="s">
        <v>2419</v>
      </c>
      <c r="AP813" s="109" t="s">
        <v>2413</v>
      </c>
      <c r="AQ813" s="109" t="s">
        <v>2413</v>
      </c>
      <c r="AR813" s="109" t="s">
        <v>2588</v>
      </c>
      <c r="AS813" s="166" t="s">
        <v>2589</v>
      </c>
      <c r="AT813" s="165" t="s">
        <v>48</v>
      </c>
      <c r="AU813" s="109" t="s">
        <v>48</v>
      </c>
      <c r="AV813" s="109" t="s">
        <v>48</v>
      </c>
      <c r="AW813" s="109" t="s">
        <v>48</v>
      </c>
      <c r="AX813" s="109" t="s">
        <v>48</v>
      </c>
      <c r="AY813" s="109" t="s">
        <v>48</v>
      </c>
      <c r="AZ813" s="166" t="s">
        <v>48</v>
      </c>
      <c r="BA813" s="162" t="s">
        <v>1850</v>
      </c>
      <c r="BB813" s="109" t="s">
        <v>82</v>
      </c>
      <c r="BC813" s="109" t="s">
        <v>1110</v>
      </c>
    </row>
    <row r="814" spans="1:55" ht="75" hidden="1" customHeight="1">
      <c r="A814" s="109" t="s">
        <v>1115</v>
      </c>
      <c r="B814" s="109" t="s">
        <v>2030</v>
      </c>
      <c r="C814" s="118" t="s">
        <v>949</v>
      </c>
      <c r="D814" s="109" t="s">
        <v>1377</v>
      </c>
      <c r="E814" s="161">
        <v>15000</v>
      </c>
      <c r="F814" s="165" t="s">
        <v>1843</v>
      </c>
      <c r="G814" s="109" t="s">
        <v>1843</v>
      </c>
      <c r="H814" s="109" t="s">
        <v>1953</v>
      </c>
      <c r="I814" s="109" t="s">
        <v>1908</v>
      </c>
      <c r="J814" s="109" t="s">
        <v>1708</v>
      </c>
      <c r="K814" s="109" t="s">
        <v>1708</v>
      </c>
      <c r="L814" s="109" t="s">
        <v>1996</v>
      </c>
      <c r="M814" s="166" t="s">
        <v>1687</v>
      </c>
      <c r="N814" s="162" t="s">
        <v>48</v>
      </c>
      <c r="O814" s="109" t="s">
        <v>48</v>
      </c>
      <c r="P814" s="162" t="s">
        <v>48</v>
      </c>
      <c r="Q814" s="109" t="s">
        <v>48</v>
      </c>
      <c r="R814" s="109" t="s">
        <v>48</v>
      </c>
      <c r="S814" s="109" t="s">
        <v>48</v>
      </c>
      <c r="T814" s="109" t="s">
        <v>48</v>
      </c>
      <c r="U814" s="109" t="s">
        <v>48</v>
      </c>
      <c r="V814" s="166" t="s">
        <v>48</v>
      </c>
      <c r="W814" s="165" t="s">
        <v>1377</v>
      </c>
      <c r="X814" s="109" t="s">
        <v>1377</v>
      </c>
      <c r="Y814" s="109" t="s">
        <v>48</v>
      </c>
      <c r="Z814" s="109" t="s">
        <v>48</v>
      </c>
      <c r="AA814" s="109" t="s">
        <v>48</v>
      </c>
      <c r="AB814" s="109" t="s">
        <v>48</v>
      </c>
      <c r="AC814" s="109" t="s">
        <v>48</v>
      </c>
      <c r="AD814" s="166" t="s">
        <v>48</v>
      </c>
      <c r="AE814" s="174" t="s">
        <v>48</v>
      </c>
      <c r="AF814" s="117" t="s">
        <v>48</v>
      </c>
      <c r="AG814" s="117" t="s">
        <v>48</v>
      </c>
      <c r="AH814" s="109" t="s">
        <v>48</v>
      </c>
      <c r="AI814" s="117" t="s">
        <v>48</v>
      </c>
      <c r="AJ814" s="117" t="s">
        <v>48</v>
      </c>
      <c r="AK814" s="182" t="s">
        <v>48</v>
      </c>
      <c r="AL814" s="165" t="s">
        <v>2433</v>
      </c>
      <c r="AM814" s="109" t="s">
        <v>2433</v>
      </c>
      <c r="AN814" s="109" t="s">
        <v>2434</v>
      </c>
      <c r="AO814" s="109" t="s">
        <v>2412</v>
      </c>
      <c r="AP814" s="109" t="s">
        <v>2413</v>
      </c>
      <c r="AQ814" s="109" t="s">
        <v>2413</v>
      </c>
      <c r="AR814" s="109" t="s">
        <v>2435</v>
      </c>
      <c r="AS814" s="166" t="s">
        <v>2414</v>
      </c>
      <c r="AT814" s="165" t="s">
        <v>48</v>
      </c>
      <c r="AU814" s="109" t="s">
        <v>48</v>
      </c>
      <c r="AV814" s="109" t="s">
        <v>48</v>
      </c>
      <c r="AW814" s="109" t="s">
        <v>48</v>
      </c>
      <c r="AX814" s="109" t="s">
        <v>48</v>
      </c>
      <c r="AY814" s="109" t="s">
        <v>48</v>
      </c>
      <c r="AZ814" s="166" t="s">
        <v>48</v>
      </c>
      <c r="BA814" s="162" t="s">
        <v>1850</v>
      </c>
      <c r="BB814" s="109" t="s">
        <v>82</v>
      </c>
      <c r="BC814" s="109" t="s">
        <v>1110</v>
      </c>
    </row>
    <row r="815" spans="1:55" ht="75" hidden="1" customHeight="1">
      <c r="A815" s="109" t="s">
        <v>1115</v>
      </c>
      <c r="B815" s="109" t="s">
        <v>2030</v>
      </c>
      <c r="C815" s="118" t="s">
        <v>949</v>
      </c>
      <c r="D815" s="109" t="s">
        <v>1582</v>
      </c>
      <c r="E815" s="161">
        <v>15000</v>
      </c>
      <c r="F815" s="165" t="s">
        <v>1843</v>
      </c>
      <c r="G815" s="109" t="s">
        <v>1843</v>
      </c>
      <c r="H815" s="109" t="s">
        <v>1953</v>
      </c>
      <c r="I815" s="109" t="s">
        <v>1908</v>
      </c>
      <c r="J815" s="109" t="s">
        <v>1708</v>
      </c>
      <c r="K815" s="109" t="s">
        <v>1708</v>
      </c>
      <c r="L815" s="109" t="s">
        <v>1996</v>
      </c>
      <c r="M815" s="166" t="s">
        <v>1687</v>
      </c>
      <c r="N815" s="162" t="s">
        <v>48</v>
      </c>
      <c r="O815" s="109" t="s">
        <v>48</v>
      </c>
      <c r="P815" s="162" t="s">
        <v>48</v>
      </c>
      <c r="Q815" s="109" t="s">
        <v>48</v>
      </c>
      <c r="R815" s="109" t="s">
        <v>48</v>
      </c>
      <c r="S815" s="109" t="s">
        <v>48</v>
      </c>
      <c r="T815" s="109" t="s">
        <v>48</v>
      </c>
      <c r="U815" s="109" t="s">
        <v>48</v>
      </c>
      <c r="V815" s="166" t="s">
        <v>48</v>
      </c>
      <c r="W815" s="165" t="s">
        <v>1582</v>
      </c>
      <c r="X815" s="109" t="s">
        <v>1582</v>
      </c>
      <c r="Y815" s="109" t="s">
        <v>48</v>
      </c>
      <c r="Z815" s="109" t="s">
        <v>48</v>
      </c>
      <c r="AA815" s="109" t="s">
        <v>48</v>
      </c>
      <c r="AB815" s="109" t="s">
        <v>48</v>
      </c>
      <c r="AC815" s="109" t="s">
        <v>48</v>
      </c>
      <c r="AD815" s="166" t="s">
        <v>48</v>
      </c>
      <c r="AE815" s="174" t="s">
        <v>48</v>
      </c>
      <c r="AF815" s="117" t="s">
        <v>48</v>
      </c>
      <c r="AG815" s="117" t="s">
        <v>48</v>
      </c>
      <c r="AH815" s="109" t="s">
        <v>48</v>
      </c>
      <c r="AI815" s="117" t="s">
        <v>48</v>
      </c>
      <c r="AJ815" s="117" t="s">
        <v>48</v>
      </c>
      <c r="AK815" s="182" t="s">
        <v>48</v>
      </c>
      <c r="AL815" s="109" t="s">
        <v>2586</v>
      </c>
      <c r="AM815" s="109" t="s">
        <v>2586</v>
      </c>
      <c r="AN815" s="109" t="s">
        <v>2587</v>
      </c>
      <c r="AO815" s="109" t="s">
        <v>2419</v>
      </c>
      <c r="AP815" s="109" t="s">
        <v>2413</v>
      </c>
      <c r="AQ815" s="109" t="s">
        <v>2413</v>
      </c>
      <c r="AR815" s="109" t="s">
        <v>2588</v>
      </c>
      <c r="AS815" s="166" t="s">
        <v>2589</v>
      </c>
      <c r="AT815" s="165" t="s">
        <v>48</v>
      </c>
      <c r="AU815" s="109" t="s">
        <v>48</v>
      </c>
      <c r="AV815" s="109" t="s">
        <v>48</v>
      </c>
      <c r="AW815" s="109" t="s">
        <v>48</v>
      </c>
      <c r="AX815" s="109" t="s">
        <v>48</v>
      </c>
      <c r="AY815" s="109" t="s">
        <v>48</v>
      </c>
      <c r="AZ815" s="166" t="s">
        <v>48</v>
      </c>
      <c r="BA815" s="162" t="s">
        <v>1850</v>
      </c>
      <c r="BB815" s="109" t="s">
        <v>82</v>
      </c>
      <c r="BC815" s="109" t="s">
        <v>1110</v>
      </c>
    </row>
    <row r="816" spans="1:55" ht="75" hidden="1" customHeight="1">
      <c r="A816" s="109" t="s">
        <v>1115</v>
      </c>
      <c r="B816" s="109" t="s">
        <v>2030</v>
      </c>
      <c r="C816" s="118" t="s">
        <v>949</v>
      </c>
      <c r="D816" s="109" t="s">
        <v>1582</v>
      </c>
      <c r="E816" s="161">
        <v>15000</v>
      </c>
      <c r="F816" s="165" t="s">
        <v>1843</v>
      </c>
      <c r="G816" s="109" t="s">
        <v>1843</v>
      </c>
      <c r="H816" s="109" t="s">
        <v>1953</v>
      </c>
      <c r="I816" s="109" t="s">
        <v>1908</v>
      </c>
      <c r="J816" s="109" t="s">
        <v>1708</v>
      </c>
      <c r="K816" s="109" t="s">
        <v>1708</v>
      </c>
      <c r="L816" s="109" t="s">
        <v>1996</v>
      </c>
      <c r="M816" s="166" t="s">
        <v>1687</v>
      </c>
      <c r="N816" s="162" t="s">
        <v>48</v>
      </c>
      <c r="O816" s="109" t="s">
        <v>48</v>
      </c>
      <c r="P816" s="162" t="s">
        <v>48</v>
      </c>
      <c r="Q816" s="109" t="s">
        <v>48</v>
      </c>
      <c r="R816" s="109" t="s">
        <v>48</v>
      </c>
      <c r="S816" s="109" t="s">
        <v>48</v>
      </c>
      <c r="T816" s="109" t="s">
        <v>48</v>
      </c>
      <c r="U816" s="109" t="s">
        <v>48</v>
      </c>
      <c r="V816" s="166" t="s">
        <v>48</v>
      </c>
      <c r="W816" s="165" t="s">
        <v>1582</v>
      </c>
      <c r="X816" s="109" t="s">
        <v>1582</v>
      </c>
      <c r="Y816" s="109" t="s">
        <v>48</v>
      </c>
      <c r="Z816" s="109" t="s">
        <v>48</v>
      </c>
      <c r="AA816" s="109" t="s">
        <v>48</v>
      </c>
      <c r="AB816" s="109" t="s">
        <v>48</v>
      </c>
      <c r="AC816" s="109" t="s">
        <v>48</v>
      </c>
      <c r="AD816" s="166" t="s">
        <v>48</v>
      </c>
      <c r="AE816" s="174" t="s">
        <v>48</v>
      </c>
      <c r="AF816" s="117" t="s">
        <v>48</v>
      </c>
      <c r="AG816" s="117" t="s">
        <v>48</v>
      </c>
      <c r="AH816" s="109" t="s">
        <v>48</v>
      </c>
      <c r="AI816" s="117" t="s">
        <v>48</v>
      </c>
      <c r="AJ816" s="117" t="s">
        <v>48</v>
      </c>
      <c r="AK816" s="182" t="s">
        <v>48</v>
      </c>
      <c r="AL816" s="165" t="s">
        <v>2433</v>
      </c>
      <c r="AM816" s="109" t="s">
        <v>2433</v>
      </c>
      <c r="AN816" s="109" t="s">
        <v>2434</v>
      </c>
      <c r="AO816" s="109" t="s">
        <v>2412</v>
      </c>
      <c r="AP816" s="109" t="s">
        <v>2413</v>
      </c>
      <c r="AQ816" s="109" t="s">
        <v>2413</v>
      </c>
      <c r="AR816" s="109" t="s">
        <v>2435</v>
      </c>
      <c r="AS816" s="166" t="s">
        <v>2414</v>
      </c>
      <c r="AT816" s="165" t="s">
        <v>48</v>
      </c>
      <c r="AU816" s="109" t="s">
        <v>48</v>
      </c>
      <c r="AV816" s="109" t="s">
        <v>48</v>
      </c>
      <c r="AW816" s="109" t="s">
        <v>48</v>
      </c>
      <c r="AX816" s="109" t="s">
        <v>48</v>
      </c>
      <c r="AY816" s="109" t="s">
        <v>48</v>
      </c>
      <c r="AZ816" s="166" t="s">
        <v>48</v>
      </c>
      <c r="BA816" s="162" t="s">
        <v>1850</v>
      </c>
      <c r="BB816" s="109" t="s">
        <v>82</v>
      </c>
      <c r="BC816" s="109" t="s">
        <v>1110</v>
      </c>
    </row>
    <row r="817" spans="1:55" ht="75" hidden="1" customHeight="1">
      <c r="A817" s="109" t="s">
        <v>1115</v>
      </c>
      <c r="B817" s="109" t="s">
        <v>2030</v>
      </c>
      <c r="C817" s="109" t="s">
        <v>1844</v>
      </c>
      <c r="D817" s="109" t="s">
        <v>2577</v>
      </c>
      <c r="E817" s="161">
        <v>15000</v>
      </c>
      <c r="F817" s="165" t="s">
        <v>1843</v>
      </c>
      <c r="G817" s="109" t="s">
        <v>1843</v>
      </c>
      <c r="H817" s="109" t="s">
        <v>48</v>
      </c>
      <c r="I817" s="109" t="s">
        <v>48</v>
      </c>
      <c r="J817" s="109" t="s">
        <v>48</v>
      </c>
      <c r="K817" s="109" t="s">
        <v>48</v>
      </c>
      <c r="L817" s="109" t="s">
        <v>48</v>
      </c>
      <c r="M817" s="166" t="s">
        <v>1687</v>
      </c>
      <c r="N817" s="162" t="s">
        <v>48</v>
      </c>
      <c r="O817" s="109" t="s">
        <v>48</v>
      </c>
      <c r="P817" s="162" t="s">
        <v>48</v>
      </c>
      <c r="Q817" s="109" t="s">
        <v>48</v>
      </c>
      <c r="R817" s="109" t="s">
        <v>48</v>
      </c>
      <c r="S817" s="109" t="s">
        <v>48</v>
      </c>
      <c r="T817" s="109" t="s">
        <v>48</v>
      </c>
      <c r="U817" s="109" t="s">
        <v>48</v>
      </c>
      <c r="V817" s="166" t="s">
        <v>48</v>
      </c>
      <c r="W817" s="165" t="s">
        <v>1843</v>
      </c>
      <c r="X817" s="109" t="s">
        <v>1843</v>
      </c>
      <c r="Y817" s="109" t="s">
        <v>48</v>
      </c>
      <c r="Z817" s="109" t="s">
        <v>48</v>
      </c>
      <c r="AA817" s="109" t="s">
        <v>48</v>
      </c>
      <c r="AB817" s="109" t="s">
        <v>48</v>
      </c>
      <c r="AC817" s="109" t="s">
        <v>48</v>
      </c>
      <c r="AD817" s="166" t="s">
        <v>48</v>
      </c>
      <c r="AE817" s="165" t="s">
        <v>48</v>
      </c>
      <c r="AF817" s="109" t="s">
        <v>48</v>
      </c>
      <c r="AG817" s="109" t="s">
        <v>48</v>
      </c>
      <c r="AH817" s="109" t="s">
        <v>48</v>
      </c>
      <c r="AI817" s="109" t="s">
        <v>48</v>
      </c>
      <c r="AJ817" s="109" t="s">
        <v>48</v>
      </c>
      <c r="AK817" s="166" t="s">
        <v>48</v>
      </c>
      <c r="AL817" s="109" t="s">
        <v>2586</v>
      </c>
      <c r="AM817" s="109" t="s">
        <v>2586</v>
      </c>
      <c r="AN817" s="109" t="s">
        <v>2587</v>
      </c>
      <c r="AO817" s="109" t="s">
        <v>2419</v>
      </c>
      <c r="AP817" s="109" t="s">
        <v>2413</v>
      </c>
      <c r="AQ817" s="109" t="s">
        <v>2413</v>
      </c>
      <c r="AR817" s="109" t="s">
        <v>2588</v>
      </c>
      <c r="AS817" s="166" t="s">
        <v>2589</v>
      </c>
      <c r="AT817" s="165" t="s">
        <v>48</v>
      </c>
      <c r="AU817" s="109" t="s">
        <v>48</v>
      </c>
      <c r="AV817" s="109" t="s">
        <v>48</v>
      </c>
      <c r="AW817" s="109" t="s">
        <v>48</v>
      </c>
      <c r="AX817" s="109" t="s">
        <v>48</v>
      </c>
      <c r="AY817" s="109" t="s">
        <v>48</v>
      </c>
      <c r="AZ817" s="166" t="s">
        <v>48</v>
      </c>
      <c r="BA817" s="162" t="s">
        <v>2852</v>
      </c>
      <c r="BB817" s="109" t="s">
        <v>82</v>
      </c>
      <c r="BC817" s="109" t="s">
        <v>1110</v>
      </c>
    </row>
    <row r="818" spans="1:55" ht="75" hidden="1" customHeight="1">
      <c r="A818" s="109" t="s">
        <v>1115</v>
      </c>
      <c r="B818" s="109" t="s">
        <v>2030</v>
      </c>
      <c r="C818" s="109" t="s">
        <v>1844</v>
      </c>
      <c r="D818" s="109" t="s">
        <v>2577</v>
      </c>
      <c r="E818" s="161">
        <v>15000</v>
      </c>
      <c r="F818" s="165" t="s">
        <v>1843</v>
      </c>
      <c r="G818" s="109" t="s">
        <v>1843</v>
      </c>
      <c r="H818" s="109" t="s">
        <v>48</v>
      </c>
      <c r="I818" s="109" t="s">
        <v>48</v>
      </c>
      <c r="J818" s="109" t="s">
        <v>48</v>
      </c>
      <c r="K818" s="109" t="s">
        <v>48</v>
      </c>
      <c r="L818" s="109" t="s">
        <v>48</v>
      </c>
      <c r="M818" s="166" t="s">
        <v>1687</v>
      </c>
      <c r="N818" s="162" t="s">
        <v>48</v>
      </c>
      <c r="O818" s="109" t="s">
        <v>48</v>
      </c>
      <c r="P818" s="162" t="s">
        <v>48</v>
      </c>
      <c r="Q818" s="109" t="s">
        <v>48</v>
      </c>
      <c r="R818" s="109" t="s">
        <v>48</v>
      </c>
      <c r="S818" s="109" t="s">
        <v>48</v>
      </c>
      <c r="T818" s="109" t="s">
        <v>48</v>
      </c>
      <c r="U818" s="109" t="s">
        <v>48</v>
      </c>
      <c r="V818" s="166" t="s">
        <v>48</v>
      </c>
      <c r="W818" s="165" t="s">
        <v>1843</v>
      </c>
      <c r="X818" s="109" t="s">
        <v>1843</v>
      </c>
      <c r="Y818" s="109" t="s">
        <v>48</v>
      </c>
      <c r="Z818" s="109" t="s">
        <v>48</v>
      </c>
      <c r="AA818" s="109" t="s">
        <v>48</v>
      </c>
      <c r="AB818" s="109" t="s">
        <v>48</v>
      </c>
      <c r="AC818" s="109" t="s">
        <v>48</v>
      </c>
      <c r="AD818" s="166" t="s">
        <v>48</v>
      </c>
      <c r="AE818" s="165" t="s">
        <v>48</v>
      </c>
      <c r="AF818" s="109" t="s">
        <v>48</v>
      </c>
      <c r="AG818" s="109" t="s">
        <v>48</v>
      </c>
      <c r="AH818" s="109" t="s">
        <v>48</v>
      </c>
      <c r="AI818" s="109" t="s">
        <v>48</v>
      </c>
      <c r="AJ818" s="109" t="s">
        <v>48</v>
      </c>
      <c r="AK818" s="166" t="s">
        <v>48</v>
      </c>
      <c r="AL818" s="165" t="s">
        <v>2433</v>
      </c>
      <c r="AM818" s="109" t="s">
        <v>2433</v>
      </c>
      <c r="AN818" s="109" t="s">
        <v>2434</v>
      </c>
      <c r="AO818" s="109" t="s">
        <v>2412</v>
      </c>
      <c r="AP818" s="109" t="s">
        <v>2413</v>
      </c>
      <c r="AQ818" s="109" t="s">
        <v>2413</v>
      </c>
      <c r="AR818" s="109" t="s">
        <v>2435</v>
      </c>
      <c r="AS818" s="166" t="s">
        <v>2414</v>
      </c>
      <c r="AT818" s="165" t="s">
        <v>48</v>
      </c>
      <c r="AU818" s="109" t="s">
        <v>48</v>
      </c>
      <c r="AV818" s="109" t="s">
        <v>48</v>
      </c>
      <c r="AW818" s="109" t="s">
        <v>48</v>
      </c>
      <c r="AX818" s="109" t="s">
        <v>48</v>
      </c>
      <c r="AY818" s="109" t="s">
        <v>48</v>
      </c>
      <c r="AZ818" s="166" t="s">
        <v>48</v>
      </c>
      <c r="BA818" s="162" t="s">
        <v>2850</v>
      </c>
      <c r="BB818" s="109" t="s">
        <v>82</v>
      </c>
      <c r="BC818" s="109" t="s">
        <v>1110</v>
      </c>
    </row>
    <row r="819" spans="1:55" ht="75" customHeight="1">
      <c r="A819" s="109" t="s">
        <v>2437</v>
      </c>
      <c r="B819" s="109" t="s">
        <v>2030</v>
      </c>
      <c r="C819" s="109" t="s">
        <v>2408</v>
      </c>
      <c r="D819" s="109" t="s">
        <v>2769</v>
      </c>
      <c r="E819" s="161">
        <v>15000</v>
      </c>
      <c r="F819" s="165" t="s">
        <v>2769</v>
      </c>
      <c r="G819" s="109" t="s">
        <v>2769</v>
      </c>
      <c r="H819" s="109" t="s">
        <v>48</v>
      </c>
      <c r="I819" s="109" t="s">
        <v>48</v>
      </c>
      <c r="J819" s="109" t="s">
        <v>48</v>
      </c>
      <c r="K819" s="109" t="s">
        <v>48</v>
      </c>
      <c r="L819" s="109" t="s">
        <v>48</v>
      </c>
      <c r="M819" s="166" t="s">
        <v>2410</v>
      </c>
      <c r="N819" s="162" t="s">
        <v>48</v>
      </c>
      <c r="O819" s="109" t="s">
        <v>48</v>
      </c>
      <c r="P819" s="162" t="s">
        <v>48</v>
      </c>
      <c r="Q819" s="109" t="s">
        <v>48</v>
      </c>
      <c r="R819" s="109" t="s">
        <v>48</v>
      </c>
      <c r="S819" s="109" t="s">
        <v>48</v>
      </c>
      <c r="T819" s="109" t="s">
        <v>48</v>
      </c>
      <c r="U819" s="109" t="s">
        <v>48</v>
      </c>
      <c r="V819" s="166" t="s">
        <v>48</v>
      </c>
      <c r="W819" s="165" t="s">
        <v>2769</v>
      </c>
      <c r="X819" s="109" t="s">
        <v>2769</v>
      </c>
      <c r="Y819" s="109" t="s">
        <v>48</v>
      </c>
      <c r="Z819" s="109" t="s">
        <v>48</v>
      </c>
      <c r="AA819" s="109" t="s">
        <v>48</v>
      </c>
      <c r="AB819" s="109" t="s">
        <v>48</v>
      </c>
      <c r="AC819" s="109" t="s">
        <v>48</v>
      </c>
      <c r="AD819" s="166" t="s">
        <v>48</v>
      </c>
      <c r="AE819" s="165" t="s">
        <v>48</v>
      </c>
      <c r="AF819" s="109" t="s">
        <v>48</v>
      </c>
      <c r="AG819" s="109" t="s">
        <v>48</v>
      </c>
      <c r="AH819" s="109" t="s">
        <v>48</v>
      </c>
      <c r="AI819" s="109" t="s">
        <v>48</v>
      </c>
      <c r="AJ819" s="109" t="s">
        <v>48</v>
      </c>
      <c r="AK819" s="166" t="s">
        <v>48</v>
      </c>
      <c r="AL819" s="109" t="s">
        <v>2769</v>
      </c>
      <c r="AM819" s="109" t="s">
        <v>2769</v>
      </c>
      <c r="AN819" s="109" t="s">
        <v>48</v>
      </c>
      <c r="AO819" s="109" t="s">
        <v>48</v>
      </c>
      <c r="AP819" s="109" t="s">
        <v>48</v>
      </c>
      <c r="AQ819" s="109" t="s">
        <v>48</v>
      </c>
      <c r="AR819" s="109" t="s">
        <v>48</v>
      </c>
      <c r="AS819" s="166" t="s">
        <v>2589</v>
      </c>
      <c r="AT819" s="165" t="s">
        <v>676</v>
      </c>
      <c r="AU819" s="109" t="s">
        <v>676</v>
      </c>
      <c r="AV819" s="109" t="s">
        <v>676</v>
      </c>
      <c r="AW819" s="109" t="s">
        <v>676</v>
      </c>
      <c r="AX819" s="109" t="s">
        <v>676</v>
      </c>
      <c r="AY819" s="109" t="s">
        <v>676</v>
      </c>
      <c r="AZ819" s="166" t="s">
        <v>676</v>
      </c>
      <c r="BA819" s="162" t="s">
        <v>2850</v>
      </c>
      <c r="BB819" s="109" t="s">
        <v>82</v>
      </c>
      <c r="BC819" s="109" t="s">
        <v>2436</v>
      </c>
    </row>
    <row r="820" spans="1:55" ht="75" hidden="1" customHeight="1">
      <c r="A820" s="109" t="s">
        <v>1115</v>
      </c>
      <c r="B820" s="109" t="s">
        <v>2030</v>
      </c>
      <c r="C820" s="109" t="s">
        <v>2408</v>
      </c>
      <c r="D820" s="109" t="s">
        <v>2769</v>
      </c>
      <c r="E820" s="161">
        <v>15000</v>
      </c>
      <c r="F820" s="165" t="s">
        <v>2769</v>
      </c>
      <c r="G820" s="109" t="s">
        <v>2769</v>
      </c>
      <c r="H820" s="109" t="s">
        <v>48</v>
      </c>
      <c r="I820" s="109" t="s">
        <v>48</v>
      </c>
      <c r="J820" s="109" t="s">
        <v>48</v>
      </c>
      <c r="K820" s="109" t="s">
        <v>48</v>
      </c>
      <c r="L820" s="109" t="s">
        <v>48</v>
      </c>
      <c r="M820" s="166" t="s">
        <v>2410</v>
      </c>
      <c r="N820" s="162" t="s">
        <v>48</v>
      </c>
      <c r="O820" s="109" t="s">
        <v>48</v>
      </c>
      <c r="P820" s="162" t="s">
        <v>48</v>
      </c>
      <c r="Q820" s="109" t="s">
        <v>48</v>
      </c>
      <c r="R820" s="109" t="s">
        <v>48</v>
      </c>
      <c r="S820" s="109" t="s">
        <v>48</v>
      </c>
      <c r="T820" s="109" t="s">
        <v>48</v>
      </c>
      <c r="U820" s="109" t="s">
        <v>48</v>
      </c>
      <c r="V820" s="166" t="s">
        <v>48</v>
      </c>
      <c r="W820" s="165" t="s">
        <v>2769</v>
      </c>
      <c r="X820" s="109" t="s">
        <v>2769</v>
      </c>
      <c r="Y820" s="109" t="s">
        <v>48</v>
      </c>
      <c r="Z820" s="109" t="s">
        <v>48</v>
      </c>
      <c r="AA820" s="109" t="s">
        <v>48</v>
      </c>
      <c r="AB820" s="109" t="s">
        <v>48</v>
      </c>
      <c r="AC820" s="109" t="s">
        <v>48</v>
      </c>
      <c r="AD820" s="166" t="s">
        <v>48</v>
      </c>
      <c r="AE820" s="165" t="s">
        <v>48</v>
      </c>
      <c r="AF820" s="109" t="s">
        <v>48</v>
      </c>
      <c r="AG820" s="109" t="s">
        <v>48</v>
      </c>
      <c r="AH820" s="109" t="s">
        <v>48</v>
      </c>
      <c r="AI820" s="109" t="s">
        <v>48</v>
      </c>
      <c r="AJ820" s="109" t="s">
        <v>48</v>
      </c>
      <c r="AK820" s="166" t="s">
        <v>48</v>
      </c>
      <c r="AL820" s="109" t="s">
        <v>2769</v>
      </c>
      <c r="AM820" s="109" t="s">
        <v>2769</v>
      </c>
      <c r="AN820" s="109" t="s">
        <v>48</v>
      </c>
      <c r="AO820" s="109" t="s">
        <v>48</v>
      </c>
      <c r="AP820" s="109" t="s">
        <v>48</v>
      </c>
      <c r="AQ820" s="109" t="s">
        <v>48</v>
      </c>
      <c r="AR820" s="109" t="s">
        <v>48</v>
      </c>
      <c r="AS820" s="166" t="s">
        <v>2414</v>
      </c>
      <c r="AT820" s="165" t="s">
        <v>676</v>
      </c>
      <c r="AU820" s="109" t="s">
        <v>676</v>
      </c>
      <c r="AV820" s="109" t="s">
        <v>676</v>
      </c>
      <c r="AW820" s="109" t="s">
        <v>676</v>
      </c>
      <c r="AX820" s="109" t="s">
        <v>676</v>
      </c>
      <c r="AY820" s="109" t="s">
        <v>676</v>
      </c>
      <c r="AZ820" s="166" t="s">
        <v>676</v>
      </c>
      <c r="BA820" s="162" t="s">
        <v>2850</v>
      </c>
      <c r="BB820" s="109" t="s">
        <v>82</v>
      </c>
      <c r="BC820" s="109" t="s">
        <v>2436</v>
      </c>
    </row>
    <row r="821" spans="1:55" s="11" customFormat="1" ht="75" customHeight="1">
      <c r="A821" s="102" t="s">
        <v>2616</v>
      </c>
      <c r="B821" s="103" t="s">
        <v>2594</v>
      </c>
      <c r="C821" s="102" t="s">
        <v>2900</v>
      </c>
      <c r="D821" s="102" t="s">
        <v>2815</v>
      </c>
      <c r="E821" s="203">
        <v>15000</v>
      </c>
      <c r="F821" s="102" t="s">
        <v>2815</v>
      </c>
      <c r="G821" s="102" t="s">
        <v>2815</v>
      </c>
      <c r="H821" s="102" t="s">
        <v>48</v>
      </c>
      <c r="I821" s="102" t="s">
        <v>48</v>
      </c>
      <c r="J821" s="102" t="s">
        <v>48</v>
      </c>
      <c r="K821" s="102" t="s">
        <v>48</v>
      </c>
      <c r="L821" s="102" t="s">
        <v>48</v>
      </c>
      <c r="M821" s="224" t="s">
        <v>48</v>
      </c>
      <c r="N821" s="206" t="s">
        <v>48</v>
      </c>
      <c r="O821" s="102" t="s">
        <v>48</v>
      </c>
      <c r="P821" s="206" t="s">
        <v>48</v>
      </c>
      <c r="Q821" s="102" t="s">
        <v>48</v>
      </c>
      <c r="R821" s="102" t="s">
        <v>48</v>
      </c>
      <c r="S821" s="102" t="s">
        <v>48</v>
      </c>
      <c r="T821" s="102" t="s">
        <v>48</v>
      </c>
      <c r="U821" s="102" t="s">
        <v>48</v>
      </c>
      <c r="V821" s="205" t="s">
        <v>48</v>
      </c>
      <c r="W821" s="102" t="s">
        <v>2815</v>
      </c>
      <c r="X821" s="102" t="s">
        <v>2815</v>
      </c>
      <c r="Y821" s="102" t="s">
        <v>48</v>
      </c>
      <c r="Z821" s="102" t="s">
        <v>1908</v>
      </c>
      <c r="AA821" s="102" t="s">
        <v>48</v>
      </c>
      <c r="AB821" s="102" t="s">
        <v>48</v>
      </c>
      <c r="AC821" s="102" t="s">
        <v>48</v>
      </c>
      <c r="AD821" s="205" t="s">
        <v>2841</v>
      </c>
      <c r="AE821" s="204" t="s">
        <v>48</v>
      </c>
      <c r="AF821" s="102" t="s">
        <v>48</v>
      </c>
      <c r="AG821" s="102" t="s">
        <v>48</v>
      </c>
      <c r="AH821" s="102" t="s">
        <v>48</v>
      </c>
      <c r="AI821" s="102" t="s">
        <v>48</v>
      </c>
      <c r="AJ821" s="102" t="s">
        <v>48</v>
      </c>
      <c r="AK821" s="205" t="s">
        <v>48</v>
      </c>
      <c r="AL821" s="102" t="s">
        <v>2815</v>
      </c>
      <c r="AM821" s="102" t="s">
        <v>2815</v>
      </c>
      <c r="AN821" s="102" t="s">
        <v>48</v>
      </c>
      <c r="AO821" s="102" t="s">
        <v>48</v>
      </c>
      <c r="AP821" s="102" t="s">
        <v>48</v>
      </c>
      <c r="AQ821" s="102" t="s">
        <v>48</v>
      </c>
      <c r="AR821" s="102" t="s">
        <v>48</v>
      </c>
      <c r="AS821" s="205" t="s">
        <v>48</v>
      </c>
      <c r="AT821" s="204" t="s">
        <v>48</v>
      </c>
      <c r="AU821" s="102" t="s">
        <v>48</v>
      </c>
      <c r="AV821" s="102" t="s">
        <v>48</v>
      </c>
      <c r="AW821" s="102" t="s">
        <v>48</v>
      </c>
      <c r="AX821" s="102" t="s">
        <v>48</v>
      </c>
      <c r="AY821" s="102" t="s">
        <v>48</v>
      </c>
      <c r="AZ821" s="254" t="s">
        <v>48</v>
      </c>
      <c r="BA821" s="206" t="s">
        <v>2835</v>
      </c>
      <c r="BB821" s="102" t="s">
        <v>677</v>
      </c>
      <c r="BC821" s="224" t="s">
        <v>2821</v>
      </c>
    </row>
    <row r="822" spans="1:55" s="11" customFormat="1" ht="75" customHeight="1">
      <c r="A822" s="102" t="s">
        <v>2816</v>
      </c>
      <c r="B822" s="103" t="s">
        <v>2817</v>
      </c>
      <c r="C822" s="102" t="s">
        <v>2900</v>
      </c>
      <c r="D822" s="102" t="s">
        <v>2815</v>
      </c>
      <c r="E822" s="203">
        <v>15000</v>
      </c>
      <c r="F822" s="102" t="s">
        <v>2815</v>
      </c>
      <c r="G822" s="102" t="s">
        <v>2815</v>
      </c>
      <c r="H822" s="102" t="s">
        <v>48</v>
      </c>
      <c r="I822" s="102" t="s">
        <v>48</v>
      </c>
      <c r="J822" s="102" t="s">
        <v>48</v>
      </c>
      <c r="K822" s="102" t="s">
        <v>48</v>
      </c>
      <c r="L822" s="102" t="s">
        <v>48</v>
      </c>
      <c r="M822" s="224" t="s">
        <v>48</v>
      </c>
      <c r="N822" s="206" t="s">
        <v>48</v>
      </c>
      <c r="O822" s="102" t="s">
        <v>48</v>
      </c>
      <c r="P822" s="206" t="s">
        <v>48</v>
      </c>
      <c r="Q822" s="102" t="s">
        <v>48</v>
      </c>
      <c r="R822" s="102" t="s">
        <v>48</v>
      </c>
      <c r="S822" s="102" t="s">
        <v>48</v>
      </c>
      <c r="T822" s="102" t="s">
        <v>48</v>
      </c>
      <c r="U822" s="102" t="s">
        <v>48</v>
      </c>
      <c r="V822" s="205" t="s">
        <v>48</v>
      </c>
      <c r="W822" s="102" t="s">
        <v>2815</v>
      </c>
      <c r="X822" s="102" t="s">
        <v>2815</v>
      </c>
      <c r="Y822" s="102" t="s">
        <v>48</v>
      </c>
      <c r="Z822" s="102" t="s">
        <v>1908</v>
      </c>
      <c r="AA822" s="102" t="s">
        <v>48</v>
      </c>
      <c r="AB822" s="102" t="s">
        <v>48</v>
      </c>
      <c r="AC822" s="102" t="s">
        <v>48</v>
      </c>
      <c r="AD822" s="205" t="s">
        <v>2841</v>
      </c>
      <c r="AE822" s="204" t="s">
        <v>48</v>
      </c>
      <c r="AF822" s="102" t="s">
        <v>48</v>
      </c>
      <c r="AG822" s="102" t="s">
        <v>48</v>
      </c>
      <c r="AH822" s="102" t="s">
        <v>48</v>
      </c>
      <c r="AI822" s="102" t="s">
        <v>48</v>
      </c>
      <c r="AJ822" s="102" t="s">
        <v>48</v>
      </c>
      <c r="AK822" s="205" t="s">
        <v>48</v>
      </c>
      <c r="AL822" s="102" t="s">
        <v>2815</v>
      </c>
      <c r="AM822" s="102" t="s">
        <v>2815</v>
      </c>
      <c r="AN822" s="102" t="s">
        <v>48</v>
      </c>
      <c r="AO822" s="102" t="s">
        <v>48</v>
      </c>
      <c r="AP822" s="102" t="s">
        <v>48</v>
      </c>
      <c r="AQ822" s="102" t="s">
        <v>48</v>
      </c>
      <c r="AR822" s="102" t="s">
        <v>48</v>
      </c>
      <c r="AS822" s="205" t="s">
        <v>48</v>
      </c>
      <c r="AT822" s="204" t="s">
        <v>48</v>
      </c>
      <c r="AU822" s="102" t="s">
        <v>48</v>
      </c>
      <c r="AV822" s="102" t="s">
        <v>48</v>
      </c>
      <c r="AW822" s="102" t="s">
        <v>48</v>
      </c>
      <c r="AX822" s="102" t="s">
        <v>48</v>
      </c>
      <c r="AY822" s="102" t="s">
        <v>48</v>
      </c>
      <c r="AZ822" s="254" t="s">
        <v>48</v>
      </c>
      <c r="BA822" s="206" t="s">
        <v>2835</v>
      </c>
      <c r="BB822" s="102" t="s">
        <v>82</v>
      </c>
      <c r="BC822" s="224" t="s">
        <v>2821</v>
      </c>
    </row>
    <row r="823" spans="1:55" s="11" customFormat="1" ht="75" customHeight="1">
      <c r="A823" s="102" t="s">
        <v>2818</v>
      </c>
      <c r="B823" s="103" t="s">
        <v>2819</v>
      </c>
      <c r="C823" s="102" t="s">
        <v>2900</v>
      </c>
      <c r="D823" s="102" t="s">
        <v>2815</v>
      </c>
      <c r="E823" s="203">
        <v>15000</v>
      </c>
      <c r="F823" s="102" t="s">
        <v>2815</v>
      </c>
      <c r="G823" s="102" t="s">
        <v>2815</v>
      </c>
      <c r="H823" s="102" t="s">
        <v>48</v>
      </c>
      <c r="I823" s="102" t="s">
        <v>48</v>
      </c>
      <c r="J823" s="102" t="s">
        <v>48</v>
      </c>
      <c r="K823" s="102" t="s">
        <v>48</v>
      </c>
      <c r="L823" s="102" t="s">
        <v>48</v>
      </c>
      <c r="M823" s="224" t="s">
        <v>48</v>
      </c>
      <c r="N823" s="206" t="s">
        <v>48</v>
      </c>
      <c r="O823" s="102" t="s">
        <v>48</v>
      </c>
      <c r="P823" s="206" t="s">
        <v>48</v>
      </c>
      <c r="Q823" s="102" t="s">
        <v>48</v>
      </c>
      <c r="R823" s="102" t="s">
        <v>48</v>
      </c>
      <c r="S823" s="102" t="s">
        <v>48</v>
      </c>
      <c r="T823" s="102" t="s">
        <v>48</v>
      </c>
      <c r="U823" s="102" t="s">
        <v>48</v>
      </c>
      <c r="V823" s="205" t="s">
        <v>48</v>
      </c>
      <c r="W823" s="102" t="s">
        <v>2815</v>
      </c>
      <c r="X823" s="102" t="s">
        <v>2815</v>
      </c>
      <c r="Y823" s="102" t="s">
        <v>48</v>
      </c>
      <c r="Z823" s="102" t="s">
        <v>1908</v>
      </c>
      <c r="AA823" s="102" t="s">
        <v>48</v>
      </c>
      <c r="AB823" s="102" t="s">
        <v>48</v>
      </c>
      <c r="AC823" s="102" t="s">
        <v>48</v>
      </c>
      <c r="AD823" s="205" t="s">
        <v>2841</v>
      </c>
      <c r="AE823" s="204" t="s">
        <v>48</v>
      </c>
      <c r="AF823" s="102" t="s">
        <v>48</v>
      </c>
      <c r="AG823" s="102" t="s">
        <v>48</v>
      </c>
      <c r="AH823" s="102" t="s">
        <v>48</v>
      </c>
      <c r="AI823" s="102" t="s">
        <v>48</v>
      </c>
      <c r="AJ823" s="102" t="s">
        <v>48</v>
      </c>
      <c r="AK823" s="205" t="s">
        <v>48</v>
      </c>
      <c r="AL823" s="102" t="s">
        <v>2815</v>
      </c>
      <c r="AM823" s="102" t="s">
        <v>2815</v>
      </c>
      <c r="AN823" s="102" t="s">
        <v>48</v>
      </c>
      <c r="AO823" s="102" t="s">
        <v>48</v>
      </c>
      <c r="AP823" s="102" t="s">
        <v>48</v>
      </c>
      <c r="AQ823" s="102" t="s">
        <v>48</v>
      </c>
      <c r="AR823" s="102" t="s">
        <v>48</v>
      </c>
      <c r="AS823" s="205" t="s">
        <v>48</v>
      </c>
      <c r="AT823" s="204" t="s">
        <v>48</v>
      </c>
      <c r="AU823" s="102" t="s">
        <v>48</v>
      </c>
      <c r="AV823" s="102" t="s">
        <v>48</v>
      </c>
      <c r="AW823" s="102" t="s">
        <v>48</v>
      </c>
      <c r="AX823" s="102" t="s">
        <v>48</v>
      </c>
      <c r="AY823" s="102" t="s">
        <v>48</v>
      </c>
      <c r="AZ823" s="254" t="s">
        <v>48</v>
      </c>
      <c r="BA823" s="206" t="s">
        <v>2835</v>
      </c>
      <c r="BB823" s="102" t="s">
        <v>677</v>
      </c>
      <c r="BC823" s="224" t="s">
        <v>2821</v>
      </c>
    </row>
    <row r="824" spans="1:55" s="11" customFormat="1" ht="75" customHeight="1">
      <c r="A824" s="102" t="s">
        <v>2626</v>
      </c>
      <c r="B824" s="103" t="s">
        <v>2822</v>
      </c>
      <c r="C824" s="102" t="s">
        <v>2900</v>
      </c>
      <c r="D824" s="102" t="s">
        <v>2815</v>
      </c>
      <c r="E824" s="203">
        <v>15000</v>
      </c>
      <c r="F824" s="102" t="s">
        <v>2815</v>
      </c>
      <c r="G824" s="102" t="s">
        <v>2815</v>
      </c>
      <c r="H824" s="102" t="s">
        <v>48</v>
      </c>
      <c r="I824" s="102" t="s">
        <v>48</v>
      </c>
      <c r="J824" s="102" t="s">
        <v>48</v>
      </c>
      <c r="K824" s="102" t="s">
        <v>48</v>
      </c>
      <c r="L824" s="102" t="s">
        <v>48</v>
      </c>
      <c r="M824" s="224" t="s">
        <v>48</v>
      </c>
      <c r="N824" s="206" t="s">
        <v>48</v>
      </c>
      <c r="O824" s="102" t="s">
        <v>48</v>
      </c>
      <c r="P824" s="206" t="s">
        <v>48</v>
      </c>
      <c r="Q824" s="102" t="s">
        <v>48</v>
      </c>
      <c r="R824" s="102" t="s">
        <v>48</v>
      </c>
      <c r="S824" s="102" t="s">
        <v>48</v>
      </c>
      <c r="T824" s="102" t="s">
        <v>48</v>
      </c>
      <c r="U824" s="102" t="s">
        <v>48</v>
      </c>
      <c r="V824" s="205" t="s">
        <v>48</v>
      </c>
      <c r="W824" s="102" t="s">
        <v>2815</v>
      </c>
      <c r="X824" s="102" t="s">
        <v>2815</v>
      </c>
      <c r="Y824" s="102" t="s">
        <v>48</v>
      </c>
      <c r="Z824" s="102" t="s">
        <v>1908</v>
      </c>
      <c r="AA824" s="102" t="s">
        <v>48</v>
      </c>
      <c r="AB824" s="102" t="s">
        <v>48</v>
      </c>
      <c r="AC824" s="102" t="s">
        <v>48</v>
      </c>
      <c r="AD824" s="205" t="s">
        <v>2841</v>
      </c>
      <c r="AE824" s="204" t="s">
        <v>48</v>
      </c>
      <c r="AF824" s="102" t="s">
        <v>48</v>
      </c>
      <c r="AG824" s="102" t="s">
        <v>48</v>
      </c>
      <c r="AH824" s="102" t="s">
        <v>48</v>
      </c>
      <c r="AI824" s="102" t="s">
        <v>48</v>
      </c>
      <c r="AJ824" s="102" t="s">
        <v>48</v>
      </c>
      <c r="AK824" s="205" t="s">
        <v>48</v>
      </c>
      <c r="AL824" s="102" t="s">
        <v>2815</v>
      </c>
      <c r="AM824" s="102" t="s">
        <v>2815</v>
      </c>
      <c r="AN824" s="102" t="s">
        <v>48</v>
      </c>
      <c r="AO824" s="102" t="s">
        <v>48</v>
      </c>
      <c r="AP824" s="102" t="s">
        <v>48</v>
      </c>
      <c r="AQ824" s="102" t="s">
        <v>48</v>
      </c>
      <c r="AR824" s="102" t="s">
        <v>48</v>
      </c>
      <c r="AS824" s="205" t="s">
        <v>48</v>
      </c>
      <c r="AT824" s="204" t="s">
        <v>48</v>
      </c>
      <c r="AU824" s="102" t="s">
        <v>48</v>
      </c>
      <c r="AV824" s="102" t="s">
        <v>48</v>
      </c>
      <c r="AW824" s="102" t="s">
        <v>48</v>
      </c>
      <c r="AX824" s="102" t="s">
        <v>48</v>
      </c>
      <c r="AY824" s="102" t="s">
        <v>48</v>
      </c>
      <c r="AZ824" s="254" t="s">
        <v>48</v>
      </c>
      <c r="BA824" s="206" t="s">
        <v>2835</v>
      </c>
      <c r="BB824" s="102" t="s">
        <v>677</v>
      </c>
      <c r="BC824" s="224" t="s">
        <v>2821</v>
      </c>
    </row>
    <row r="825" spans="1:55" s="11" customFormat="1" ht="75" customHeight="1">
      <c r="A825" s="102" t="s">
        <v>2437</v>
      </c>
      <c r="B825" s="102" t="s">
        <v>2030</v>
      </c>
      <c r="C825" s="102" t="s">
        <v>2899</v>
      </c>
      <c r="D825" s="102" t="s">
        <v>2811</v>
      </c>
      <c r="E825" s="203">
        <v>15000</v>
      </c>
      <c r="F825" s="204" t="s">
        <v>2811</v>
      </c>
      <c r="G825" s="102" t="s">
        <v>2811</v>
      </c>
      <c r="H825" s="102" t="s">
        <v>48</v>
      </c>
      <c r="I825" s="102" t="s">
        <v>48</v>
      </c>
      <c r="J825" s="102" t="s">
        <v>48</v>
      </c>
      <c r="K825" s="102" t="s">
        <v>48</v>
      </c>
      <c r="L825" s="102" t="s">
        <v>48</v>
      </c>
      <c r="M825" s="224" t="s">
        <v>48</v>
      </c>
      <c r="N825" s="206" t="s">
        <v>48</v>
      </c>
      <c r="O825" s="102" t="s">
        <v>48</v>
      </c>
      <c r="P825" s="206" t="s">
        <v>48</v>
      </c>
      <c r="Q825" s="102" t="s">
        <v>48</v>
      </c>
      <c r="R825" s="102" t="s">
        <v>48</v>
      </c>
      <c r="S825" s="102" t="s">
        <v>48</v>
      </c>
      <c r="T825" s="102" t="s">
        <v>48</v>
      </c>
      <c r="U825" s="102" t="s">
        <v>48</v>
      </c>
      <c r="V825" s="205" t="s">
        <v>48</v>
      </c>
      <c r="W825" s="204" t="s">
        <v>2811</v>
      </c>
      <c r="X825" s="102" t="s">
        <v>2811</v>
      </c>
      <c r="Y825" s="102" t="s">
        <v>48</v>
      </c>
      <c r="Z825" s="102" t="s">
        <v>1908</v>
      </c>
      <c r="AA825" s="102" t="s">
        <v>48</v>
      </c>
      <c r="AB825" s="102" t="s">
        <v>48</v>
      </c>
      <c r="AC825" s="102" t="s">
        <v>48</v>
      </c>
      <c r="AD825" s="205" t="s">
        <v>48</v>
      </c>
      <c r="AE825" s="204" t="s">
        <v>48</v>
      </c>
      <c r="AF825" s="102" t="s">
        <v>48</v>
      </c>
      <c r="AG825" s="102" t="s">
        <v>48</v>
      </c>
      <c r="AH825" s="102" t="s">
        <v>48</v>
      </c>
      <c r="AI825" s="102" t="s">
        <v>48</v>
      </c>
      <c r="AJ825" s="102" t="s">
        <v>48</v>
      </c>
      <c r="AK825" s="205" t="s">
        <v>48</v>
      </c>
      <c r="AL825" s="102" t="s">
        <v>2811</v>
      </c>
      <c r="AM825" s="102" t="s">
        <v>2811</v>
      </c>
      <c r="AN825" s="102" t="s">
        <v>2842</v>
      </c>
      <c r="AO825" s="102" t="s">
        <v>1908</v>
      </c>
      <c r="AP825" s="102" t="s">
        <v>2873</v>
      </c>
      <c r="AQ825" s="102" t="s">
        <v>48</v>
      </c>
      <c r="AR825" s="102" t="s">
        <v>2879</v>
      </c>
      <c r="AS825" s="205" t="s">
        <v>2875</v>
      </c>
      <c r="AT825" s="204" t="s">
        <v>676</v>
      </c>
      <c r="AU825" s="102" t="s">
        <v>676</v>
      </c>
      <c r="AV825" s="102" t="s">
        <v>676</v>
      </c>
      <c r="AW825" s="102" t="s">
        <v>676</v>
      </c>
      <c r="AX825" s="102" t="s">
        <v>676</v>
      </c>
      <c r="AY825" s="102" t="s">
        <v>676</v>
      </c>
      <c r="AZ825" s="205" t="s">
        <v>676</v>
      </c>
      <c r="BA825" s="206" t="s">
        <v>2836</v>
      </c>
      <c r="BB825" s="102" t="s">
        <v>82</v>
      </c>
      <c r="BC825" s="102" t="s">
        <v>2844</v>
      </c>
    </row>
    <row r="826" spans="1:55" s="244" customFormat="1" ht="75" hidden="1" customHeight="1">
      <c r="A826" s="7" t="s">
        <v>1115</v>
      </c>
      <c r="B826" s="7" t="s">
        <v>2030</v>
      </c>
      <c r="C826" s="7" t="s">
        <v>2899</v>
      </c>
      <c r="D826" s="7" t="s">
        <v>2811</v>
      </c>
      <c r="E826" s="240">
        <v>15000</v>
      </c>
      <c r="F826" s="243" t="s">
        <v>2811</v>
      </c>
      <c r="G826" s="7" t="s">
        <v>2811</v>
      </c>
      <c r="H826" s="7" t="s">
        <v>48</v>
      </c>
      <c r="I826" s="7" t="s">
        <v>48</v>
      </c>
      <c r="J826" s="7" t="s">
        <v>48</v>
      </c>
      <c r="K826" s="7" t="s">
        <v>48</v>
      </c>
      <c r="L826" s="7" t="s">
        <v>48</v>
      </c>
      <c r="M826" s="245" t="s">
        <v>48</v>
      </c>
      <c r="N826" s="241" t="s">
        <v>48</v>
      </c>
      <c r="O826" s="7" t="s">
        <v>48</v>
      </c>
      <c r="P826" s="241" t="s">
        <v>48</v>
      </c>
      <c r="Q826" s="7" t="s">
        <v>48</v>
      </c>
      <c r="R826" s="7" t="s">
        <v>48</v>
      </c>
      <c r="S826" s="7" t="s">
        <v>48</v>
      </c>
      <c r="T826" s="7" t="s">
        <v>48</v>
      </c>
      <c r="U826" s="7" t="s">
        <v>48</v>
      </c>
      <c r="V826" s="242" t="s">
        <v>48</v>
      </c>
      <c r="W826" s="243" t="s">
        <v>2811</v>
      </c>
      <c r="X826" s="7" t="s">
        <v>2811</v>
      </c>
      <c r="Y826" s="7" t="s">
        <v>48</v>
      </c>
      <c r="Z826" s="7" t="s">
        <v>1908</v>
      </c>
      <c r="AA826" s="7" t="s">
        <v>48</v>
      </c>
      <c r="AB826" s="7" t="s">
        <v>48</v>
      </c>
      <c r="AC826" s="7" t="s">
        <v>48</v>
      </c>
      <c r="AD826" s="242" t="s">
        <v>48</v>
      </c>
      <c r="AE826" s="243" t="s">
        <v>48</v>
      </c>
      <c r="AF826" s="7" t="s">
        <v>48</v>
      </c>
      <c r="AG826" s="7" t="s">
        <v>48</v>
      </c>
      <c r="AH826" s="7" t="s">
        <v>48</v>
      </c>
      <c r="AI826" s="7" t="s">
        <v>48</v>
      </c>
      <c r="AJ826" s="7" t="s">
        <v>48</v>
      </c>
      <c r="AK826" s="242" t="s">
        <v>48</v>
      </c>
      <c r="AL826" s="7" t="s">
        <v>2811</v>
      </c>
      <c r="AM826" s="7" t="s">
        <v>2811</v>
      </c>
      <c r="AN826" s="7" t="s">
        <v>2842</v>
      </c>
      <c r="AO826" s="7" t="s">
        <v>1908</v>
      </c>
      <c r="AP826" s="7" t="s">
        <v>2873</v>
      </c>
      <c r="AQ826" s="7" t="s">
        <v>48</v>
      </c>
      <c r="AR826" s="7" t="s">
        <v>2879</v>
      </c>
      <c r="AS826" s="242" t="s">
        <v>2875</v>
      </c>
      <c r="AT826" s="243" t="s">
        <v>676</v>
      </c>
      <c r="AU826" s="7" t="s">
        <v>676</v>
      </c>
      <c r="AV826" s="7" t="s">
        <v>676</v>
      </c>
      <c r="AW826" s="7" t="s">
        <v>676</v>
      </c>
      <c r="AX826" s="7" t="s">
        <v>676</v>
      </c>
      <c r="AY826" s="7" t="s">
        <v>676</v>
      </c>
      <c r="AZ826" s="242" t="s">
        <v>676</v>
      </c>
      <c r="BA826" s="241" t="s">
        <v>2836</v>
      </c>
      <c r="BB826" s="7" t="s">
        <v>82</v>
      </c>
      <c r="BC826" s="7" t="s">
        <v>2844</v>
      </c>
    </row>
    <row r="827" spans="1:55" s="239" customFormat="1" ht="75" customHeight="1">
      <c r="A827" s="102" t="s">
        <v>34</v>
      </c>
      <c r="B827" s="102" t="s">
        <v>2025</v>
      </c>
      <c r="C827" s="224" t="s">
        <v>2899</v>
      </c>
      <c r="D827" s="102" t="s">
        <v>2812</v>
      </c>
      <c r="E827" s="203">
        <v>15000</v>
      </c>
      <c r="F827" s="204" t="s">
        <v>2812</v>
      </c>
      <c r="G827" s="102" t="s">
        <v>2812</v>
      </c>
      <c r="H827" s="102" t="s">
        <v>48</v>
      </c>
      <c r="I827" s="102" t="s">
        <v>48</v>
      </c>
      <c r="J827" s="102" t="s">
        <v>48</v>
      </c>
      <c r="K827" s="102" t="s">
        <v>48</v>
      </c>
      <c r="L827" s="102" t="s">
        <v>48</v>
      </c>
      <c r="M827" s="102" t="s">
        <v>48</v>
      </c>
      <c r="N827" s="206" t="s">
        <v>48</v>
      </c>
      <c r="O827" s="102" t="s">
        <v>48</v>
      </c>
      <c r="P827" s="206" t="s">
        <v>48</v>
      </c>
      <c r="Q827" s="102" t="s">
        <v>48</v>
      </c>
      <c r="R827" s="102" t="s">
        <v>48</v>
      </c>
      <c r="S827" s="102" t="s">
        <v>48</v>
      </c>
      <c r="T827" s="102" t="s">
        <v>48</v>
      </c>
      <c r="U827" s="102" t="s">
        <v>48</v>
      </c>
      <c r="V827" s="205" t="s">
        <v>48</v>
      </c>
      <c r="W827" s="204" t="s">
        <v>2812</v>
      </c>
      <c r="X827" s="102" t="s">
        <v>2812</v>
      </c>
      <c r="Y827" s="102" t="s">
        <v>48</v>
      </c>
      <c r="Z827" s="102" t="s">
        <v>48</v>
      </c>
      <c r="AA827" s="102" t="s">
        <v>48</v>
      </c>
      <c r="AB827" s="102" t="s">
        <v>48</v>
      </c>
      <c r="AC827" s="102" t="s">
        <v>48</v>
      </c>
      <c r="AD827" s="205" t="s">
        <v>48</v>
      </c>
      <c r="AE827" s="204" t="s">
        <v>48</v>
      </c>
      <c r="AF827" s="102" t="s">
        <v>48</v>
      </c>
      <c r="AG827" s="102" t="s">
        <v>48</v>
      </c>
      <c r="AH827" s="102" t="s">
        <v>48</v>
      </c>
      <c r="AI827" s="102" t="s">
        <v>48</v>
      </c>
      <c r="AJ827" s="102" t="s">
        <v>48</v>
      </c>
      <c r="AK827" s="205" t="s">
        <v>48</v>
      </c>
      <c r="AL827" s="204" t="s">
        <v>2812</v>
      </c>
      <c r="AM827" s="102" t="s">
        <v>2812</v>
      </c>
      <c r="AN827" s="224" t="s">
        <v>2823</v>
      </c>
      <c r="AO827" s="102" t="s">
        <v>1908</v>
      </c>
      <c r="AP827" s="102" t="s">
        <v>2873</v>
      </c>
      <c r="AQ827" s="102" t="s">
        <v>48</v>
      </c>
      <c r="AR827" s="102" t="s">
        <v>2880</v>
      </c>
      <c r="AS827" s="224" t="s">
        <v>2876</v>
      </c>
      <c r="AT827" s="204" t="s">
        <v>48</v>
      </c>
      <c r="AU827" s="102" t="s">
        <v>48</v>
      </c>
      <c r="AV827" s="102" t="s">
        <v>48</v>
      </c>
      <c r="AW827" s="102" t="s">
        <v>48</v>
      </c>
      <c r="AX827" s="102" t="s">
        <v>48</v>
      </c>
      <c r="AY827" s="102" t="s">
        <v>48</v>
      </c>
      <c r="AZ827" s="205" t="s">
        <v>48</v>
      </c>
      <c r="BA827" s="206" t="s">
        <v>2836</v>
      </c>
      <c r="BB827" s="102" t="s">
        <v>82</v>
      </c>
      <c r="BC827" s="102" t="s">
        <v>2844</v>
      </c>
    </row>
    <row r="828" spans="1:55" s="239" customFormat="1" ht="75" customHeight="1">
      <c r="A828" s="102" t="s">
        <v>35</v>
      </c>
      <c r="B828" s="102" t="s">
        <v>2017</v>
      </c>
      <c r="C828" s="224" t="s">
        <v>2899</v>
      </c>
      <c r="D828" s="102" t="s">
        <v>2812</v>
      </c>
      <c r="E828" s="203">
        <v>15000</v>
      </c>
      <c r="F828" s="204" t="s">
        <v>2812</v>
      </c>
      <c r="G828" s="102" t="s">
        <v>2812</v>
      </c>
      <c r="H828" s="102" t="s">
        <v>48</v>
      </c>
      <c r="I828" s="102" t="s">
        <v>48</v>
      </c>
      <c r="J828" s="102" t="s">
        <v>48</v>
      </c>
      <c r="K828" s="102" t="s">
        <v>48</v>
      </c>
      <c r="L828" s="102" t="s">
        <v>48</v>
      </c>
      <c r="M828" s="102" t="s">
        <v>48</v>
      </c>
      <c r="N828" s="206" t="s">
        <v>48</v>
      </c>
      <c r="O828" s="102" t="s">
        <v>48</v>
      </c>
      <c r="P828" s="206" t="s">
        <v>48</v>
      </c>
      <c r="Q828" s="102" t="s">
        <v>48</v>
      </c>
      <c r="R828" s="102" t="s">
        <v>48</v>
      </c>
      <c r="S828" s="102" t="s">
        <v>48</v>
      </c>
      <c r="T828" s="102" t="s">
        <v>48</v>
      </c>
      <c r="U828" s="102" t="s">
        <v>48</v>
      </c>
      <c r="V828" s="205" t="s">
        <v>48</v>
      </c>
      <c r="W828" s="204" t="s">
        <v>2812</v>
      </c>
      <c r="X828" s="102" t="s">
        <v>2812</v>
      </c>
      <c r="Y828" s="102" t="s">
        <v>48</v>
      </c>
      <c r="Z828" s="102" t="s">
        <v>48</v>
      </c>
      <c r="AA828" s="102" t="s">
        <v>48</v>
      </c>
      <c r="AB828" s="102" t="s">
        <v>48</v>
      </c>
      <c r="AC828" s="102" t="s">
        <v>48</v>
      </c>
      <c r="AD828" s="205" t="s">
        <v>48</v>
      </c>
      <c r="AE828" s="204" t="s">
        <v>48</v>
      </c>
      <c r="AF828" s="102" t="s">
        <v>48</v>
      </c>
      <c r="AG828" s="102" t="s">
        <v>48</v>
      </c>
      <c r="AH828" s="102" t="s">
        <v>48</v>
      </c>
      <c r="AI828" s="102" t="s">
        <v>48</v>
      </c>
      <c r="AJ828" s="102" t="s">
        <v>48</v>
      </c>
      <c r="AK828" s="205" t="s">
        <v>48</v>
      </c>
      <c r="AL828" s="204" t="s">
        <v>2812</v>
      </c>
      <c r="AM828" s="102" t="s">
        <v>2812</v>
      </c>
      <c r="AN828" s="224" t="s">
        <v>2823</v>
      </c>
      <c r="AO828" s="102" t="s">
        <v>1908</v>
      </c>
      <c r="AP828" s="102" t="s">
        <v>2873</v>
      </c>
      <c r="AQ828" s="102" t="s">
        <v>48</v>
      </c>
      <c r="AR828" s="102" t="s">
        <v>2880</v>
      </c>
      <c r="AS828" s="224" t="s">
        <v>2876</v>
      </c>
      <c r="AT828" s="204" t="s">
        <v>48</v>
      </c>
      <c r="AU828" s="102" t="s">
        <v>48</v>
      </c>
      <c r="AV828" s="102" t="s">
        <v>48</v>
      </c>
      <c r="AW828" s="102" t="s">
        <v>48</v>
      </c>
      <c r="AX828" s="102" t="s">
        <v>48</v>
      </c>
      <c r="AY828" s="102" t="s">
        <v>48</v>
      </c>
      <c r="AZ828" s="205" t="s">
        <v>48</v>
      </c>
      <c r="BA828" s="206" t="s">
        <v>2836</v>
      </c>
      <c r="BB828" s="102" t="s">
        <v>82</v>
      </c>
      <c r="BC828" s="102" t="s">
        <v>2844</v>
      </c>
    </row>
    <row r="829" spans="1:55" s="239" customFormat="1" ht="75" customHeight="1">
      <c r="A829" s="102" t="s">
        <v>34</v>
      </c>
      <c r="B829" s="102" t="s">
        <v>2025</v>
      </c>
      <c r="C829" s="224" t="s">
        <v>2899</v>
      </c>
      <c r="D829" s="102" t="s">
        <v>2813</v>
      </c>
      <c r="E829" s="203">
        <v>15000</v>
      </c>
      <c r="F829" s="204" t="s">
        <v>2813</v>
      </c>
      <c r="G829" s="102" t="s">
        <v>2813</v>
      </c>
      <c r="H829" s="102" t="s">
        <v>48</v>
      </c>
      <c r="I829" s="102" t="s">
        <v>48</v>
      </c>
      <c r="J829" s="102" t="s">
        <v>48</v>
      </c>
      <c r="K829" s="102" t="s">
        <v>48</v>
      </c>
      <c r="L829" s="102" t="s">
        <v>48</v>
      </c>
      <c r="M829" s="102" t="s">
        <v>48</v>
      </c>
      <c r="N829" s="206" t="s">
        <v>48</v>
      </c>
      <c r="O829" s="102" t="s">
        <v>48</v>
      </c>
      <c r="P829" s="206" t="s">
        <v>48</v>
      </c>
      <c r="Q829" s="102" t="s">
        <v>48</v>
      </c>
      <c r="R829" s="102" t="s">
        <v>48</v>
      </c>
      <c r="S829" s="102" t="s">
        <v>48</v>
      </c>
      <c r="T829" s="102" t="s">
        <v>48</v>
      </c>
      <c r="U829" s="102" t="s">
        <v>48</v>
      </c>
      <c r="V829" s="205" t="s">
        <v>48</v>
      </c>
      <c r="W829" s="204" t="s">
        <v>2813</v>
      </c>
      <c r="X829" s="102" t="s">
        <v>2813</v>
      </c>
      <c r="Y829" s="102" t="s">
        <v>48</v>
      </c>
      <c r="Z829" s="102" t="s">
        <v>48</v>
      </c>
      <c r="AA829" s="102" t="s">
        <v>48</v>
      </c>
      <c r="AB829" s="102" t="s">
        <v>48</v>
      </c>
      <c r="AC829" s="102" t="s">
        <v>48</v>
      </c>
      <c r="AD829" s="205" t="s">
        <v>48</v>
      </c>
      <c r="AE829" s="204" t="s">
        <v>48</v>
      </c>
      <c r="AF829" s="102" t="s">
        <v>48</v>
      </c>
      <c r="AG829" s="102" t="s">
        <v>48</v>
      </c>
      <c r="AH829" s="102" t="s">
        <v>48</v>
      </c>
      <c r="AI829" s="102" t="s">
        <v>48</v>
      </c>
      <c r="AJ829" s="102" t="s">
        <v>48</v>
      </c>
      <c r="AK829" s="205" t="s">
        <v>48</v>
      </c>
      <c r="AL829" s="204" t="s">
        <v>2813</v>
      </c>
      <c r="AM829" s="102" t="s">
        <v>2813</v>
      </c>
      <c r="AN829" s="224" t="s">
        <v>2824</v>
      </c>
      <c r="AO829" s="102" t="s">
        <v>2039</v>
      </c>
      <c r="AP829" s="102" t="s">
        <v>2873</v>
      </c>
      <c r="AQ829" s="102" t="s">
        <v>48</v>
      </c>
      <c r="AR829" s="102" t="s">
        <v>2877</v>
      </c>
      <c r="AS829" s="224" t="s">
        <v>2874</v>
      </c>
      <c r="AT829" s="204" t="s">
        <v>48</v>
      </c>
      <c r="AU829" s="102" t="s">
        <v>48</v>
      </c>
      <c r="AV829" s="102" t="s">
        <v>48</v>
      </c>
      <c r="AW829" s="102" t="s">
        <v>48</v>
      </c>
      <c r="AX829" s="102" t="s">
        <v>48</v>
      </c>
      <c r="AY829" s="102" t="s">
        <v>48</v>
      </c>
      <c r="AZ829" s="205" t="s">
        <v>48</v>
      </c>
      <c r="BA829" s="206" t="s">
        <v>2836</v>
      </c>
      <c r="BB829" s="102" t="s">
        <v>82</v>
      </c>
      <c r="BC829" s="102" t="s">
        <v>2844</v>
      </c>
    </row>
    <row r="830" spans="1:55" s="239" customFormat="1" ht="75" customHeight="1">
      <c r="A830" s="102" t="s">
        <v>35</v>
      </c>
      <c r="B830" s="102" t="s">
        <v>2017</v>
      </c>
      <c r="C830" s="224" t="s">
        <v>2899</v>
      </c>
      <c r="D830" s="102" t="s">
        <v>2813</v>
      </c>
      <c r="E830" s="203">
        <v>15000</v>
      </c>
      <c r="F830" s="204" t="s">
        <v>2813</v>
      </c>
      <c r="G830" s="102" t="s">
        <v>2813</v>
      </c>
      <c r="H830" s="102" t="s">
        <v>48</v>
      </c>
      <c r="I830" s="102" t="s">
        <v>48</v>
      </c>
      <c r="J830" s="102" t="s">
        <v>48</v>
      </c>
      <c r="K830" s="102" t="s">
        <v>48</v>
      </c>
      <c r="L830" s="102" t="s">
        <v>48</v>
      </c>
      <c r="M830" s="102" t="s">
        <v>48</v>
      </c>
      <c r="N830" s="206" t="s">
        <v>48</v>
      </c>
      <c r="O830" s="102" t="s">
        <v>48</v>
      </c>
      <c r="P830" s="206" t="s">
        <v>48</v>
      </c>
      <c r="Q830" s="102" t="s">
        <v>48</v>
      </c>
      <c r="R830" s="102" t="s">
        <v>48</v>
      </c>
      <c r="S830" s="102" t="s">
        <v>48</v>
      </c>
      <c r="T830" s="102" t="s">
        <v>48</v>
      </c>
      <c r="U830" s="102" t="s">
        <v>48</v>
      </c>
      <c r="V830" s="205" t="s">
        <v>48</v>
      </c>
      <c r="W830" s="204" t="s">
        <v>2813</v>
      </c>
      <c r="X830" s="102" t="s">
        <v>2813</v>
      </c>
      <c r="Y830" s="102" t="s">
        <v>48</v>
      </c>
      <c r="Z830" s="102" t="s">
        <v>48</v>
      </c>
      <c r="AA830" s="102" t="s">
        <v>48</v>
      </c>
      <c r="AB830" s="102" t="s">
        <v>48</v>
      </c>
      <c r="AC830" s="102" t="s">
        <v>48</v>
      </c>
      <c r="AD830" s="205" t="s">
        <v>48</v>
      </c>
      <c r="AE830" s="204" t="s">
        <v>48</v>
      </c>
      <c r="AF830" s="102" t="s">
        <v>48</v>
      </c>
      <c r="AG830" s="102" t="s">
        <v>48</v>
      </c>
      <c r="AH830" s="102" t="s">
        <v>48</v>
      </c>
      <c r="AI830" s="102" t="s">
        <v>48</v>
      </c>
      <c r="AJ830" s="102" t="s">
        <v>48</v>
      </c>
      <c r="AK830" s="205" t="s">
        <v>48</v>
      </c>
      <c r="AL830" s="204" t="s">
        <v>2813</v>
      </c>
      <c r="AM830" s="102" t="s">
        <v>2813</v>
      </c>
      <c r="AN830" s="224" t="s">
        <v>2824</v>
      </c>
      <c r="AO830" s="102" t="s">
        <v>2039</v>
      </c>
      <c r="AP830" s="102" t="s">
        <v>2873</v>
      </c>
      <c r="AQ830" s="102" t="s">
        <v>48</v>
      </c>
      <c r="AR830" s="102" t="s">
        <v>2877</v>
      </c>
      <c r="AS830" s="224" t="s">
        <v>2874</v>
      </c>
      <c r="AT830" s="204" t="s">
        <v>48</v>
      </c>
      <c r="AU830" s="102" t="s">
        <v>48</v>
      </c>
      <c r="AV830" s="102" t="s">
        <v>48</v>
      </c>
      <c r="AW830" s="102" t="s">
        <v>48</v>
      </c>
      <c r="AX830" s="102" t="s">
        <v>48</v>
      </c>
      <c r="AY830" s="102" t="s">
        <v>48</v>
      </c>
      <c r="AZ830" s="205" t="s">
        <v>48</v>
      </c>
      <c r="BA830" s="206" t="s">
        <v>2836</v>
      </c>
      <c r="BB830" s="102" t="s">
        <v>82</v>
      </c>
      <c r="BC830" s="102" t="s">
        <v>2844</v>
      </c>
    </row>
    <row r="831" spans="1:55" s="239" customFormat="1" ht="75" customHeight="1">
      <c r="A831" s="102" t="s">
        <v>34</v>
      </c>
      <c r="B831" s="102" t="s">
        <v>2025</v>
      </c>
      <c r="C831" s="224" t="s">
        <v>2899</v>
      </c>
      <c r="D831" s="102" t="s">
        <v>2814</v>
      </c>
      <c r="E831" s="203">
        <v>15000</v>
      </c>
      <c r="F831" s="204" t="s">
        <v>2814</v>
      </c>
      <c r="G831" s="102" t="s">
        <v>2814</v>
      </c>
      <c r="H831" s="102" t="s">
        <v>48</v>
      </c>
      <c r="I831" s="102" t="s">
        <v>48</v>
      </c>
      <c r="J831" s="102" t="s">
        <v>48</v>
      </c>
      <c r="K831" s="102" t="s">
        <v>48</v>
      </c>
      <c r="L831" s="102" t="s">
        <v>48</v>
      </c>
      <c r="M831" s="102" t="s">
        <v>48</v>
      </c>
      <c r="N831" s="206" t="s">
        <v>48</v>
      </c>
      <c r="O831" s="102" t="s">
        <v>48</v>
      </c>
      <c r="P831" s="206" t="s">
        <v>48</v>
      </c>
      <c r="Q831" s="102" t="s">
        <v>48</v>
      </c>
      <c r="R831" s="102" t="s">
        <v>48</v>
      </c>
      <c r="S831" s="102" t="s">
        <v>48</v>
      </c>
      <c r="T831" s="102" t="s">
        <v>48</v>
      </c>
      <c r="U831" s="102" t="s">
        <v>48</v>
      </c>
      <c r="V831" s="205" t="s">
        <v>48</v>
      </c>
      <c r="W831" s="204" t="s">
        <v>2814</v>
      </c>
      <c r="X831" s="102" t="s">
        <v>2814</v>
      </c>
      <c r="Y831" s="102" t="s">
        <v>48</v>
      </c>
      <c r="Z831" s="102" t="s">
        <v>48</v>
      </c>
      <c r="AA831" s="102" t="s">
        <v>48</v>
      </c>
      <c r="AB831" s="102" t="s">
        <v>48</v>
      </c>
      <c r="AC831" s="102" t="s">
        <v>48</v>
      </c>
      <c r="AD831" s="205" t="s">
        <v>48</v>
      </c>
      <c r="AE831" s="204" t="s">
        <v>48</v>
      </c>
      <c r="AF831" s="102" t="s">
        <v>48</v>
      </c>
      <c r="AG831" s="102" t="s">
        <v>48</v>
      </c>
      <c r="AH831" s="102" t="s">
        <v>48</v>
      </c>
      <c r="AI831" s="102" t="s">
        <v>48</v>
      </c>
      <c r="AJ831" s="102" t="s">
        <v>48</v>
      </c>
      <c r="AK831" s="205" t="s">
        <v>48</v>
      </c>
      <c r="AL831" s="204" t="s">
        <v>2814</v>
      </c>
      <c r="AM831" s="102" t="s">
        <v>2814</v>
      </c>
      <c r="AN831" s="224" t="s">
        <v>2825</v>
      </c>
      <c r="AO831" s="102" t="s">
        <v>2039</v>
      </c>
      <c r="AP831" s="102" t="s">
        <v>2873</v>
      </c>
      <c r="AQ831" s="102" t="s">
        <v>48</v>
      </c>
      <c r="AR831" s="102" t="s">
        <v>2878</v>
      </c>
      <c r="AS831" s="224" t="s">
        <v>2874</v>
      </c>
      <c r="AT831" s="204" t="s">
        <v>48</v>
      </c>
      <c r="AU831" s="102" t="s">
        <v>48</v>
      </c>
      <c r="AV831" s="102" t="s">
        <v>48</v>
      </c>
      <c r="AW831" s="102" t="s">
        <v>48</v>
      </c>
      <c r="AX831" s="102" t="s">
        <v>48</v>
      </c>
      <c r="AY831" s="102" t="s">
        <v>48</v>
      </c>
      <c r="AZ831" s="205" t="s">
        <v>48</v>
      </c>
      <c r="BA831" s="206" t="s">
        <v>2836</v>
      </c>
      <c r="BB831" s="102" t="s">
        <v>82</v>
      </c>
      <c r="BC831" s="102" t="s">
        <v>2844</v>
      </c>
    </row>
    <row r="832" spans="1:55" s="239" customFormat="1" ht="75" customHeight="1">
      <c r="A832" s="102" t="s">
        <v>35</v>
      </c>
      <c r="B832" s="102" t="s">
        <v>2017</v>
      </c>
      <c r="C832" s="224" t="s">
        <v>2899</v>
      </c>
      <c r="D832" s="102" t="s">
        <v>2814</v>
      </c>
      <c r="E832" s="203">
        <v>15000</v>
      </c>
      <c r="F832" s="204" t="s">
        <v>2814</v>
      </c>
      <c r="G832" s="102" t="s">
        <v>2814</v>
      </c>
      <c r="H832" s="102" t="s">
        <v>48</v>
      </c>
      <c r="I832" s="102" t="s">
        <v>48</v>
      </c>
      <c r="J832" s="102" t="s">
        <v>48</v>
      </c>
      <c r="K832" s="102" t="s">
        <v>48</v>
      </c>
      <c r="L832" s="102" t="s">
        <v>48</v>
      </c>
      <c r="M832" s="102" t="s">
        <v>48</v>
      </c>
      <c r="N832" s="206" t="s">
        <v>48</v>
      </c>
      <c r="O832" s="102" t="s">
        <v>48</v>
      </c>
      <c r="P832" s="206" t="s">
        <v>48</v>
      </c>
      <c r="Q832" s="102" t="s">
        <v>48</v>
      </c>
      <c r="R832" s="102" t="s">
        <v>48</v>
      </c>
      <c r="S832" s="102" t="s">
        <v>48</v>
      </c>
      <c r="T832" s="102" t="s">
        <v>48</v>
      </c>
      <c r="U832" s="102" t="s">
        <v>48</v>
      </c>
      <c r="V832" s="205" t="s">
        <v>48</v>
      </c>
      <c r="W832" s="204" t="s">
        <v>2814</v>
      </c>
      <c r="X832" s="102" t="s">
        <v>2814</v>
      </c>
      <c r="Y832" s="102" t="s">
        <v>48</v>
      </c>
      <c r="Z832" s="102" t="s">
        <v>48</v>
      </c>
      <c r="AA832" s="102" t="s">
        <v>48</v>
      </c>
      <c r="AB832" s="102" t="s">
        <v>48</v>
      </c>
      <c r="AC832" s="102" t="s">
        <v>48</v>
      </c>
      <c r="AD832" s="205" t="s">
        <v>48</v>
      </c>
      <c r="AE832" s="204" t="s">
        <v>48</v>
      </c>
      <c r="AF832" s="102" t="s">
        <v>48</v>
      </c>
      <c r="AG832" s="102" t="s">
        <v>48</v>
      </c>
      <c r="AH832" s="102" t="s">
        <v>48</v>
      </c>
      <c r="AI832" s="102" t="s">
        <v>48</v>
      </c>
      <c r="AJ832" s="102" t="s">
        <v>48</v>
      </c>
      <c r="AK832" s="205" t="s">
        <v>48</v>
      </c>
      <c r="AL832" s="204" t="s">
        <v>2814</v>
      </c>
      <c r="AM832" s="102" t="s">
        <v>2814</v>
      </c>
      <c r="AN832" s="224" t="s">
        <v>2825</v>
      </c>
      <c r="AO832" s="102" t="s">
        <v>2039</v>
      </c>
      <c r="AP832" s="102" t="s">
        <v>2873</v>
      </c>
      <c r="AQ832" s="102" t="s">
        <v>48</v>
      </c>
      <c r="AR832" s="102" t="s">
        <v>2878</v>
      </c>
      <c r="AS832" s="224" t="s">
        <v>2874</v>
      </c>
      <c r="AT832" s="204" t="s">
        <v>48</v>
      </c>
      <c r="AU832" s="102" t="s">
        <v>48</v>
      </c>
      <c r="AV832" s="102" t="s">
        <v>48</v>
      </c>
      <c r="AW832" s="102" t="s">
        <v>48</v>
      </c>
      <c r="AX832" s="102" t="s">
        <v>48</v>
      </c>
      <c r="AY832" s="102" t="s">
        <v>48</v>
      </c>
      <c r="AZ832" s="205" t="s">
        <v>48</v>
      </c>
      <c r="BA832" s="206" t="s">
        <v>2836</v>
      </c>
      <c r="BB832" s="102" t="s">
        <v>82</v>
      </c>
      <c r="BC832" s="102" t="s">
        <v>2844</v>
      </c>
    </row>
    <row r="833" spans="2:55" ht="75" customHeight="1">
      <c r="B833" s="109"/>
      <c r="C833" s="109"/>
      <c r="D833" s="109"/>
      <c r="E833" s="161"/>
      <c r="F833" s="165"/>
      <c r="G833" s="109"/>
      <c r="H833" s="109"/>
      <c r="I833" s="109"/>
      <c r="J833" s="109"/>
      <c r="K833" s="109"/>
      <c r="L833" s="109"/>
      <c r="M833" s="166"/>
      <c r="N833" s="108"/>
      <c r="O833" s="162"/>
      <c r="P833" s="162"/>
      <c r="Q833" s="109"/>
      <c r="R833" s="109"/>
      <c r="S833" s="109"/>
      <c r="T833" s="109"/>
      <c r="U833" s="109"/>
      <c r="V833" s="166"/>
      <c r="W833" s="165"/>
      <c r="X833" s="109"/>
      <c r="Y833" s="109"/>
      <c r="Z833" s="109"/>
      <c r="AA833" s="109"/>
      <c r="AB833" s="109"/>
      <c r="AC833" s="109"/>
      <c r="AD833" s="166"/>
      <c r="AE833" s="174"/>
      <c r="AF833" s="117"/>
      <c r="AG833" s="117"/>
      <c r="AH833" s="117"/>
      <c r="AI833" s="117"/>
      <c r="AJ833" s="117"/>
      <c r="AK833" s="182"/>
      <c r="AL833" s="165"/>
      <c r="AM833" s="109"/>
      <c r="AN833" s="109"/>
      <c r="AO833" s="109"/>
      <c r="AP833" s="109"/>
      <c r="AQ833" s="109"/>
      <c r="AR833" s="109"/>
      <c r="AS833" s="166"/>
      <c r="AT833" s="165"/>
      <c r="AU833" s="109"/>
      <c r="AV833" s="109"/>
      <c r="AW833" s="109"/>
      <c r="AX833" s="109"/>
      <c r="AY833" s="109"/>
      <c r="AZ833" s="166"/>
      <c r="BA833" s="162"/>
      <c r="BB833" s="109"/>
      <c r="BC833" s="109"/>
    </row>
    <row r="834" spans="2:55" ht="75" customHeight="1">
      <c r="B834" s="109"/>
      <c r="C834" s="109"/>
      <c r="D834" s="109"/>
      <c r="E834" s="161"/>
      <c r="F834" s="165"/>
      <c r="G834" s="109"/>
      <c r="H834" s="109"/>
      <c r="I834" s="109"/>
      <c r="J834" s="109"/>
      <c r="K834" s="109"/>
      <c r="L834" s="109"/>
      <c r="M834" s="166"/>
      <c r="N834" s="108"/>
      <c r="O834" s="162"/>
      <c r="P834" s="162"/>
      <c r="Q834" s="109"/>
      <c r="R834" s="109"/>
      <c r="S834" s="109"/>
      <c r="T834" s="109"/>
      <c r="U834" s="109"/>
      <c r="V834" s="166"/>
      <c r="W834" s="165"/>
      <c r="X834" s="109"/>
      <c r="Y834" s="109"/>
      <c r="Z834" s="109"/>
      <c r="AA834" s="109"/>
      <c r="AB834" s="109"/>
      <c r="AC834" s="109"/>
      <c r="AD834" s="166"/>
      <c r="AE834" s="174"/>
      <c r="AF834" s="117"/>
      <c r="AG834" s="117"/>
      <c r="AH834" s="117"/>
      <c r="AI834" s="117"/>
      <c r="AJ834" s="117"/>
      <c r="AK834" s="182"/>
      <c r="AL834" s="165"/>
      <c r="AM834" s="109"/>
      <c r="AN834" s="109"/>
      <c r="AO834" s="109"/>
      <c r="AP834" s="109"/>
      <c r="AQ834" s="109"/>
      <c r="AR834" s="109"/>
      <c r="AS834" s="166"/>
      <c r="AT834" s="165"/>
      <c r="AU834" s="109"/>
      <c r="AV834" s="109"/>
      <c r="AW834" s="109"/>
      <c r="AX834" s="109"/>
      <c r="AY834" s="109"/>
      <c r="AZ834" s="166"/>
      <c r="BA834" s="162"/>
      <c r="BB834" s="109"/>
      <c r="BC834" s="109"/>
    </row>
    <row r="835" spans="2:55" ht="75" customHeight="1">
      <c r="B835" s="109"/>
      <c r="C835" s="109"/>
      <c r="D835" s="109"/>
      <c r="E835" s="161"/>
      <c r="F835" s="165"/>
      <c r="G835" s="109"/>
      <c r="H835" s="109"/>
      <c r="I835" s="109"/>
      <c r="J835" s="109"/>
      <c r="K835" s="109"/>
      <c r="L835" s="109"/>
      <c r="M835" s="166"/>
      <c r="N835" s="108"/>
      <c r="O835" s="162"/>
      <c r="P835" s="162"/>
      <c r="Q835" s="109"/>
      <c r="R835" s="109"/>
      <c r="S835" s="109"/>
      <c r="T835" s="109"/>
      <c r="U835" s="109"/>
      <c r="V835" s="166"/>
      <c r="W835" s="165"/>
      <c r="X835" s="109"/>
      <c r="Y835" s="109"/>
      <c r="Z835" s="109"/>
      <c r="AA835" s="109"/>
      <c r="AB835" s="109"/>
      <c r="AC835" s="109"/>
      <c r="AD835" s="166"/>
      <c r="AE835" s="174"/>
      <c r="AF835" s="117"/>
      <c r="AG835" s="117"/>
      <c r="AH835" s="117"/>
      <c r="AI835" s="117"/>
      <c r="AJ835" s="117"/>
      <c r="AK835" s="182"/>
      <c r="AL835" s="165"/>
      <c r="AM835" s="109"/>
      <c r="AN835" s="109"/>
      <c r="AO835" s="109"/>
      <c r="AP835" s="109"/>
      <c r="AQ835" s="109"/>
      <c r="AR835" s="109"/>
      <c r="AS835" s="166"/>
      <c r="AT835" s="165"/>
      <c r="AU835" s="109"/>
      <c r="AV835" s="109"/>
      <c r="AW835" s="109"/>
      <c r="AX835" s="109"/>
      <c r="AY835" s="109"/>
      <c r="AZ835" s="166"/>
      <c r="BA835" s="162"/>
      <c r="BB835" s="109"/>
      <c r="BC835" s="109"/>
    </row>
    <row r="836" spans="2:55" ht="75" customHeight="1">
      <c r="B836" s="109"/>
      <c r="C836" s="109"/>
      <c r="D836" s="109"/>
      <c r="E836" s="161"/>
      <c r="F836" s="165"/>
      <c r="G836" s="109"/>
      <c r="H836" s="109"/>
      <c r="I836" s="109"/>
      <c r="J836" s="109"/>
      <c r="K836" s="109"/>
      <c r="L836" s="109"/>
      <c r="M836" s="166"/>
      <c r="N836" s="108"/>
      <c r="O836" s="162"/>
      <c r="P836" s="162"/>
      <c r="Q836" s="109"/>
      <c r="R836" s="109"/>
      <c r="S836" s="109"/>
      <c r="T836" s="109"/>
      <c r="U836" s="109"/>
      <c r="V836" s="166"/>
      <c r="W836" s="165"/>
      <c r="X836" s="109"/>
      <c r="Y836" s="109"/>
      <c r="Z836" s="109"/>
      <c r="AA836" s="109"/>
      <c r="AB836" s="109"/>
      <c r="AC836" s="109"/>
      <c r="AD836" s="166"/>
      <c r="AE836" s="174"/>
      <c r="AF836" s="117"/>
      <c r="AG836" s="117"/>
      <c r="AH836" s="117"/>
      <c r="AI836" s="117"/>
      <c r="AJ836" s="117"/>
      <c r="AK836" s="182"/>
      <c r="AL836" s="165"/>
      <c r="AM836" s="109"/>
      <c r="AN836" s="109"/>
      <c r="AO836" s="109"/>
      <c r="AP836" s="109"/>
      <c r="AQ836" s="109"/>
      <c r="AR836" s="109"/>
      <c r="AS836" s="166"/>
      <c r="AT836" s="165"/>
      <c r="AU836" s="109"/>
      <c r="AV836" s="109"/>
      <c r="AW836" s="109"/>
      <c r="AX836" s="109"/>
      <c r="AY836" s="109"/>
      <c r="AZ836" s="166"/>
      <c r="BA836" s="162"/>
      <c r="BB836" s="109"/>
      <c r="BC836" s="109"/>
    </row>
    <row r="837" spans="2:55" ht="75" customHeight="1">
      <c r="B837" s="109"/>
      <c r="C837" s="109"/>
      <c r="D837" s="109"/>
      <c r="E837" s="161"/>
      <c r="F837" s="165"/>
      <c r="G837" s="109"/>
      <c r="H837" s="109"/>
      <c r="I837" s="109"/>
      <c r="J837" s="109"/>
      <c r="K837" s="109"/>
      <c r="L837" s="109"/>
      <c r="M837" s="166"/>
      <c r="N837" s="108"/>
      <c r="O837" s="162"/>
      <c r="P837" s="162"/>
      <c r="Q837" s="109"/>
      <c r="R837" s="109"/>
      <c r="S837" s="109"/>
      <c r="T837" s="109"/>
      <c r="U837" s="109"/>
      <c r="V837" s="166"/>
      <c r="W837" s="165"/>
      <c r="X837" s="109"/>
      <c r="Y837" s="109"/>
      <c r="Z837" s="109"/>
      <c r="AA837" s="109"/>
      <c r="AB837" s="109"/>
      <c r="AC837" s="109"/>
      <c r="AD837" s="166"/>
      <c r="AE837" s="174"/>
      <c r="AF837" s="117"/>
      <c r="AG837" s="117"/>
      <c r="AH837" s="117"/>
      <c r="AI837" s="117"/>
      <c r="AJ837" s="117"/>
      <c r="AK837" s="182"/>
      <c r="AL837" s="165"/>
      <c r="AM837" s="109"/>
      <c r="AN837" s="109"/>
      <c r="AO837" s="109"/>
      <c r="AP837" s="109"/>
      <c r="AQ837" s="109"/>
      <c r="AR837" s="109"/>
      <c r="AS837" s="166"/>
      <c r="AT837" s="165"/>
      <c r="AU837" s="109"/>
      <c r="AV837" s="109"/>
      <c r="AW837" s="109"/>
      <c r="AX837" s="109"/>
      <c r="AY837" s="109"/>
      <c r="AZ837" s="166"/>
      <c r="BA837" s="162"/>
      <c r="BB837" s="109"/>
      <c r="BC837" s="109"/>
    </row>
    <row r="838" spans="2:55" ht="75" customHeight="1">
      <c r="B838" s="109"/>
      <c r="C838" s="109"/>
      <c r="D838" s="109"/>
      <c r="E838" s="161"/>
      <c r="F838" s="165"/>
      <c r="G838" s="109"/>
      <c r="H838" s="109"/>
      <c r="I838" s="109"/>
      <c r="J838" s="109"/>
      <c r="K838" s="109"/>
      <c r="L838" s="109"/>
      <c r="M838" s="166"/>
      <c r="N838" s="108"/>
      <c r="O838" s="162"/>
      <c r="P838" s="162"/>
      <c r="Q838" s="109"/>
      <c r="R838" s="109"/>
      <c r="S838" s="109"/>
      <c r="T838" s="109"/>
      <c r="U838" s="109"/>
      <c r="V838" s="166"/>
      <c r="W838" s="165"/>
      <c r="X838" s="109"/>
      <c r="Y838" s="109"/>
      <c r="Z838" s="109"/>
      <c r="AA838" s="109"/>
      <c r="AB838" s="109"/>
      <c r="AC838" s="109"/>
      <c r="AD838" s="166"/>
      <c r="AE838" s="174"/>
      <c r="AF838" s="117"/>
      <c r="AG838" s="117"/>
      <c r="AH838" s="117"/>
      <c r="AI838" s="117"/>
      <c r="AJ838" s="117"/>
      <c r="AK838" s="182"/>
      <c r="AL838" s="165"/>
      <c r="AM838" s="109"/>
      <c r="AN838" s="109"/>
      <c r="AO838" s="109"/>
      <c r="AP838" s="109"/>
      <c r="AQ838" s="109"/>
      <c r="AR838" s="109"/>
      <c r="AS838" s="166"/>
      <c r="AT838" s="165"/>
      <c r="AU838" s="109"/>
      <c r="AV838" s="109"/>
      <c r="AW838" s="109"/>
      <c r="AX838" s="109"/>
      <c r="AY838" s="109"/>
      <c r="AZ838" s="166"/>
      <c r="BA838" s="162"/>
      <c r="BB838" s="109"/>
      <c r="BC838" s="109"/>
    </row>
    <row r="839" spans="2:55" ht="75" customHeight="1">
      <c r="B839" s="109"/>
      <c r="C839" s="109"/>
      <c r="D839" s="109"/>
      <c r="E839" s="161"/>
      <c r="F839" s="165"/>
      <c r="G839" s="109"/>
      <c r="H839" s="109"/>
      <c r="I839" s="109"/>
      <c r="J839" s="109"/>
      <c r="K839" s="109"/>
      <c r="L839" s="109"/>
      <c r="M839" s="166"/>
      <c r="N839" s="108"/>
      <c r="O839" s="162"/>
      <c r="P839" s="162"/>
      <c r="Q839" s="109"/>
      <c r="R839" s="109"/>
      <c r="S839" s="109"/>
      <c r="T839" s="109"/>
      <c r="U839" s="109"/>
      <c r="V839" s="166"/>
      <c r="W839" s="165"/>
      <c r="X839" s="109"/>
      <c r="Y839" s="109"/>
      <c r="Z839" s="109"/>
      <c r="AA839" s="109"/>
      <c r="AB839" s="109"/>
      <c r="AC839" s="109"/>
      <c r="AD839" s="166"/>
      <c r="AE839" s="174"/>
      <c r="AF839" s="117"/>
      <c r="AG839" s="117"/>
      <c r="AH839" s="117"/>
      <c r="AI839" s="117"/>
      <c r="AJ839" s="117"/>
      <c r="AK839" s="182"/>
      <c r="AL839" s="165"/>
      <c r="AM839" s="109"/>
      <c r="AN839" s="109"/>
      <c r="AO839" s="109"/>
      <c r="AP839" s="109"/>
      <c r="AQ839" s="109"/>
      <c r="AR839" s="109"/>
      <c r="AS839" s="166"/>
      <c r="AT839" s="165"/>
      <c r="AU839" s="109"/>
      <c r="AV839" s="109"/>
      <c r="AW839" s="109"/>
      <c r="AX839" s="109"/>
      <c r="AY839" s="109"/>
      <c r="AZ839" s="166"/>
      <c r="BA839" s="162"/>
      <c r="BB839" s="109"/>
      <c r="BC839" s="109"/>
    </row>
    <row r="840" spans="2:55" ht="75" customHeight="1">
      <c r="B840" s="109"/>
      <c r="C840" s="109"/>
      <c r="D840" s="109"/>
      <c r="E840" s="161"/>
      <c r="F840" s="165"/>
      <c r="G840" s="109"/>
      <c r="H840" s="109"/>
      <c r="I840" s="109"/>
      <c r="J840" s="109"/>
      <c r="K840" s="109"/>
      <c r="L840" s="109"/>
      <c r="M840" s="166"/>
      <c r="N840" s="108"/>
      <c r="O840" s="162"/>
      <c r="P840" s="162"/>
      <c r="Q840" s="109"/>
      <c r="R840" s="109"/>
      <c r="S840" s="109"/>
      <c r="T840" s="109"/>
      <c r="U840" s="109"/>
      <c r="V840" s="166"/>
      <c r="W840" s="165"/>
      <c r="X840" s="109"/>
      <c r="Y840" s="109"/>
      <c r="Z840" s="109"/>
      <c r="AA840" s="109"/>
      <c r="AB840" s="109"/>
      <c r="AC840" s="109"/>
      <c r="AD840" s="166"/>
      <c r="AE840" s="174"/>
      <c r="AF840" s="117"/>
      <c r="AG840" s="117"/>
      <c r="AH840" s="117"/>
      <c r="AI840" s="117"/>
      <c r="AJ840" s="117"/>
      <c r="AK840" s="182"/>
      <c r="AL840" s="165"/>
      <c r="AM840" s="109"/>
      <c r="AN840" s="109"/>
      <c r="AO840" s="109"/>
      <c r="AP840" s="109"/>
      <c r="AQ840" s="109"/>
      <c r="AR840" s="109"/>
      <c r="AS840" s="166"/>
      <c r="AT840" s="165"/>
      <c r="AU840" s="109"/>
      <c r="AV840" s="109"/>
      <c r="AW840" s="109"/>
      <c r="AX840" s="109"/>
      <c r="AY840" s="109"/>
      <c r="AZ840" s="166"/>
      <c r="BA840" s="162"/>
      <c r="BB840" s="109"/>
      <c r="BC840" s="109"/>
    </row>
    <row r="841" spans="2:55" ht="75" customHeight="1">
      <c r="B841" s="109"/>
      <c r="C841" s="109"/>
      <c r="D841" s="109"/>
      <c r="E841" s="161"/>
      <c r="F841" s="165"/>
      <c r="G841" s="109"/>
      <c r="H841" s="109"/>
      <c r="I841" s="109"/>
      <c r="J841" s="109"/>
      <c r="K841" s="109"/>
      <c r="L841" s="109"/>
      <c r="M841" s="166"/>
      <c r="N841" s="108"/>
      <c r="O841" s="162"/>
      <c r="P841" s="162"/>
      <c r="Q841" s="109"/>
      <c r="R841" s="109"/>
      <c r="S841" s="109"/>
      <c r="T841" s="109"/>
      <c r="U841" s="109"/>
      <c r="V841" s="166"/>
      <c r="W841" s="165"/>
      <c r="X841" s="109"/>
      <c r="Y841" s="109"/>
      <c r="Z841" s="109"/>
      <c r="AA841" s="109"/>
      <c r="AB841" s="109"/>
      <c r="AC841" s="109"/>
      <c r="AD841" s="166"/>
      <c r="AE841" s="174"/>
      <c r="AF841" s="117"/>
      <c r="AG841" s="117"/>
      <c r="AH841" s="117"/>
      <c r="AI841" s="117"/>
      <c r="AJ841" s="117"/>
      <c r="AK841" s="182"/>
      <c r="AL841" s="165"/>
      <c r="AM841" s="109"/>
      <c r="AN841" s="109"/>
      <c r="AO841" s="109"/>
      <c r="AP841" s="109"/>
      <c r="AQ841" s="109"/>
      <c r="AR841" s="109"/>
      <c r="AS841" s="166"/>
      <c r="AT841" s="165"/>
      <c r="AU841" s="109"/>
      <c r="AV841" s="109"/>
      <c r="AW841" s="109"/>
      <c r="AX841" s="109"/>
      <c r="AY841" s="109"/>
      <c r="AZ841" s="166"/>
      <c r="BA841" s="162"/>
      <c r="BB841" s="109"/>
      <c r="BC841" s="109"/>
    </row>
    <row r="842" spans="2:55" ht="75" customHeight="1">
      <c r="B842" s="109"/>
      <c r="C842" s="109"/>
      <c r="D842" s="109"/>
      <c r="E842" s="161"/>
      <c r="F842" s="165"/>
      <c r="G842" s="109"/>
      <c r="H842" s="109"/>
      <c r="I842" s="109"/>
      <c r="J842" s="109"/>
      <c r="K842" s="109"/>
      <c r="L842" s="109"/>
      <c r="M842" s="166"/>
      <c r="N842" s="108"/>
      <c r="O842" s="162"/>
      <c r="P842" s="162"/>
      <c r="Q842" s="109"/>
      <c r="R842" s="109"/>
      <c r="S842" s="109"/>
      <c r="T842" s="109"/>
      <c r="U842" s="109"/>
      <c r="V842" s="166"/>
      <c r="W842" s="165"/>
      <c r="X842" s="109"/>
      <c r="Y842" s="109"/>
      <c r="Z842" s="109"/>
      <c r="AA842" s="109"/>
      <c r="AB842" s="109"/>
      <c r="AC842" s="109"/>
      <c r="AD842" s="166"/>
      <c r="AE842" s="174"/>
      <c r="AF842" s="117"/>
      <c r="AG842" s="117"/>
      <c r="AH842" s="117"/>
      <c r="AI842" s="117"/>
      <c r="AJ842" s="117"/>
      <c r="AK842" s="182"/>
      <c r="AL842" s="165"/>
      <c r="AM842" s="109"/>
      <c r="AN842" s="109"/>
      <c r="AO842" s="109"/>
      <c r="AP842" s="109"/>
      <c r="AQ842" s="109"/>
      <c r="AR842" s="109"/>
      <c r="AS842" s="166"/>
      <c r="AT842" s="165"/>
      <c r="AU842" s="109"/>
      <c r="AV842" s="109"/>
      <c r="AW842" s="109"/>
      <c r="AX842" s="109"/>
      <c r="AY842" s="109"/>
      <c r="AZ842" s="166"/>
      <c r="BA842" s="162"/>
      <c r="BB842" s="109"/>
      <c r="BC842" s="109"/>
    </row>
    <row r="843" spans="2:55" ht="75" customHeight="1">
      <c r="B843" s="109"/>
      <c r="C843" s="109"/>
      <c r="D843" s="109"/>
      <c r="E843" s="161"/>
      <c r="F843" s="165"/>
      <c r="G843" s="109"/>
      <c r="H843" s="109"/>
      <c r="I843" s="109"/>
      <c r="J843" s="109"/>
      <c r="K843" s="109"/>
      <c r="L843" s="109"/>
      <c r="M843" s="166"/>
      <c r="N843" s="108"/>
      <c r="O843" s="162"/>
      <c r="P843" s="162"/>
      <c r="Q843" s="109"/>
      <c r="R843" s="109"/>
      <c r="S843" s="109"/>
      <c r="T843" s="109"/>
      <c r="U843" s="109"/>
      <c r="V843" s="166"/>
      <c r="W843" s="165"/>
      <c r="X843" s="109"/>
      <c r="Y843" s="109"/>
      <c r="Z843" s="109"/>
      <c r="AA843" s="109"/>
      <c r="AB843" s="109"/>
      <c r="AC843" s="109"/>
      <c r="AD843" s="166"/>
      <c r="AE843" s="174"/>
      <c r="AF843" s="117"/>
      <c r="AG843" s="117"/>
      <c r="AH843" s="117"/>
      <c r="AI843" s="117"/>
      <c r="AJ843" s="117"/>
      <c r="AK843" s="182"/>
      <c r="AL843" s="165"/>
      <c r="AM843" s="109"/>
      <c r="AN843" s="109"/>
      <c r="AO843" s="109"/>
      <c r="AP843" s="109"/>
      <c r="AQ843" s="109"/>
      <c r="AR843" s="109"/>
      <c r="AS843" s="166"/>
      <c r="AT843" s="165"/>
      <c r="AU843" s="109"/>
      <c r="AV843" s="109"/>
      <c r="AW843" s="109"/>
      <c r="AX843" s="109"/>
      <c r="AY843" s="109"/>
      <c r="AZ843" s="166"/>
      <c r="BA843" s="162"/>
      <c r="BB843" s="109"/>
      <c r="BC843" s="109"/>
    </row>
    <row r="844" spans="2:55" ht="75" customHeight="1">
      <c r="B844" s="109"/>
      <c r="C844" s="109"/>
      <c r="D844" s="109"/>
      <c r="E844" s="161"/>
      <c r="F844" s="165"/>
      <c r="G844" s="109"/>
      <c r="H844" s="109"/>
      <c r="I844" s="109"/>
      <c r="J844" s="109"/>
      <c r="K844" s="109"/>
      <c r="L844" s="109"/>
      <c r="M844" s="166"/>
      <c r="N844" s="108"/>
      <c r="O844" s="162"/>
      <c r="P844" s="162"/>
      <c r="Q844" s="109"/>
      <c r="R844" s="109"/>
      <c r="S844" s="109"/>
      <c r="T844" s="109"/>
      <c r="U844" s="109"/>
      <c r="V844" s="166"/>
      <c r="W844" s="165"/>
      <c r="X844" s="109"/>
      <c r="Y844" s="109"/>
      <c r="Z844" s="109"/>
      <c r="AA844" s="109"/>
      <c r="AB844" s="109"/>
      <c r="AC844" s="109"/>
      <c r="AD844" s="166"/>
      <c r="AE844" s="174"/>
      <c r="AF844" s="117"/>
      <c r="AG844" s="117"/>
      <c r="AH844" s="117"/>
      <c r="AI844" s="117"/>
      <c r="AJ844" s="117"/>
      <c r="AK844" s="182"/>
      <c r="AL844" s="165"/>
      <c r="AM844" s="109"/>
      <c r="AN844" s="109"/>
      <c r="AO844" s="109"/>
      <c r="AP844" s="109"/>
      <c r="AQ844" s="109"/>
      <c r="AR844" s="109"/>
      <c r="AS844" s="166"/>
      <c r="AT844" s="165"/>
      <c r="AU844" s="109"/>
      <c r="AV844" s="109"/>
      <c r="AW844" s="109"/>
      <c r="AX844" s="109"/>
      <c r="AY844" s="109"/>
      <c r="AZ844" s="166"/>
      <c r="BA844" s="162"/>
      <c r="BB844" s="109"/>
      <c r="BC844" s="109"/>
    </row>
    <row r="845" spans="2:55" ht="75" customHeight="1">
      <c r="B845" s="109"/>
      <c r="C845" s="109"/>
      <c r="D845" s="109"/>
      <c r="E845" s="161"/>
      <c r="F845" s="165"/>
      <c r="G845" s="109"/>
      <c r="H845" s="109"/>
      <c r="I845" s="109"/>
      <c r="J845" s="109"/>
      <c r="K845" s="109"/>
      <c r="L845" s="109"/>
      <c r="M845" s="166"/>
      <c r="N845" s="108"/>
      <c r="O845" s="162"/>
      <c r="P845" s="162"/>
      <c r="Q845" s="109"/>
      <c r="R845" s="109"/>
      <c r="S845" s="109"/>
      <c r="T845" s="109"/>
      <c r="U845" s="109"/>
      <c r="V845" s="166"/>
      <c r="W845" s="165"/>
      <c r="X845" s="109"/>
      <c r="Y845" s="109"/>
      <c r="Z845" s="109"/>
      <c r="AA845" s="109"/>
      <c r="AB845" s="109"/>
      <c r="AC845" s="109"/>
      <c r="AD845" s="166"/>
      <c r="AE845" s="174"/>
      <c r="AF845" s="117"/>
      <c r="AG845" s="117"/>
      <c r="AH845" s="117"/>
      <c r="AI845" s="117"/>
      <c r="AJ845" s="117"/>
      <c r="AK845" s="182"/>
      <c r="AL845" s="165"/>
      <c r="AM845" s="109"/>
      <c r="AN845" s="109"/>
      <c r="AO845" s="109"/>
      <c r="AP845" s="109"/>
      <c r="AQ845" s="109"/>
      <c r="AR845" s="109"/>
      <c r="AS845" s="166"/>
      <c r="AT845" s="165"/>
      <c r="AU845" s="109"/>
      <c r="AV845" s="109"/>
      <c r="AW845" s="109"/>
      <c r="AX845" s="109"/>
      <c r="AY845" s="109"/>
      <c r="AZ845" s="166"/>
      <c r="BA845" s="162"/>
      <c r="BB845" s="109"/>
      <c r="BC845" s="109"/>
    </row>
    <row r="846" spans="2:55" ht="75" customHeight="1">
      <c r="B846" s="109"/>
      <c r="C846" s="109"/>
      <c r="D846" s="109"/>
      <c r="E846" s="161"/>
      <c r="F846" s="165"/>
      <c r="G846" s="109"/>
      <c r="H846" s="109"/>
      <c r="I846" s="109"/>
      <c r="J846" s="109"/>
      <c r="K846" s="109"/>
      <c r="L846" s="109"/>
      <c r="M846" s="166"/>
      <c r="N846" s="108"/>
      <c r="O846" s="162"/>
      <c r="P846" s="162"/>
      <c r="Q846" s="109"/>
      <c r="R846" s="109"/>
      <c r="S846" s="109"/>
      <c r="T846" s="109"/>
      <c r="U846" s="109"/>
      <c r="V846" s="166"/>
      <c r="W846" s="165"/>
      <c r="X846" s="109"/>
      <c r="Y846" s="109"/>
      <c r="Z846" s="109"/>
      <c r="AA846" s="109"/>
      <c r="AB846" s="109"/>
      <c r="AC846" s="109"/>
      <c r="AD846" s="166"/>
      <c r="AE846" s="174"/>
      <c r="AF846" s="117"/>
      <c r="AG846" s="117"/>
      <c r="AH846" s="117"/>
      <c r="AI846" s="117"/>
      <c r="AJ846" s="117"/>
      <c r="AK846" s="182"/>
      <c r="AL846" s="165"/>
      <c r="AM846" s="109"/>
      <c r="AN846" s="109"/>
      <c r="AO846" s="109"/>
      <c r="AP846" s="109"/>
      <c r="AQ846" s="109"/>
      <c r="AR846" s="109"/>
      <c r="AS846" s="166"/>
      <c r="AT846" s="165"/>
      <c r="AU846" s="109"/>
      <c r="AV846" s="109"/>
      <c r="AW846" s="109"/>
      <c r="AX846" s="109"/>
      <c r="AY846" s="109"/>
      <c r="AZ846" s="166"/>
      <c r="BA846" s="162"/>
      <c r="BB846" s="109"/>
      <c r="BC846" s="109"/>
    </row>
    <row r="847" spans="2:55" ht="75" customHeight="1">
      <c r="B847" s="109"/>
      <c r="C847" s="109"/>
      <c r="D847" s="109"/>
      <c r="E847" s="161"/>
      <c r="F847" s="165"/>
      <c r="G847" s="109"/>
      <c r="H847" s="109"/>
      <c r="I847" s="109"/>
      <c r="J847" s="109"/>
      <c r="K847" s="109"/>
      <c r="L847" s="109"/>
      <c r="M847" s="166"/>
      <c r="N847" s="108"/>
      <c r="O847" s="162"/>
      <c r="P847" s="162"/>
      <c r="Q847" s="109"/>
      <c r="R847" s="109"/>
      <c r="S847" s="109"/>
      <c r="T847" s="109"/>
      <c r="U847" s="109"/>
      <c r="V847" s="166"/>
      <c r="W847" s="165"/>
      <c r="X847" s="109"/>
      <c r="Y847" s="109"/>
      <c r="Z847" s="109"/>
      <c r="AA847" s="109"/>
      <c r="AB847" s="109"/>
      <c r="AC847" s="109"/>
      <c r="AD847" s="166"/>
      <c r="AE847" s="174"/>
      <c r="AF847" s="117"/>
      <c r="AG847" s="117"/>
      <c r="AH847" s="117"/>
      <c r="AI847" s="117"/>
      <c r="AJ847" s="117"/>
      <c r="AK847" s="182"/>
      <c r="AL847" s="165"/>
      <c r="AM847" s="109"/>
      <c r="AN847" s="109"/>
      <c r="AO847" s="109"/>
      <c r="AP847" s="109"/>
      <c r="AQ847" s="109"/>
      <c r="AR847" s="109"/>
      <c r="AS847" s="166"/>
      <c r="AT847" s="165"/>
      <c r="AU847" s="109"/>
      <c r="AV847" s="109"/>
      <c r="AW847" s="109"/>
      <c r="AX847" s="109"/>
      <c r="AY847" s="109"/>
      <c r="AZ847" s="166"/>
      <c r="BA847" s="162"/>
      <c r="BB847" s="109"/>
      <c r="BC847" s="109"/>
    </row>
    <row r="848" spans="2:55" ht="75" customHeight="1">
      <c r="B848" s="109"/>
      <c r="C848" s="109"/>
      <c r="D848" s="109"/>
      <c r="E848" s="161"/>
      <c r="F848" s="165"/>
      <c r="G848" s="109"/>
      <c r="H848" s="109"/>
      <c r="I848" s="109"/>
      <c r="J848" s="109"/>
      <c r="K848" s="109"/>
      <c r="L848" s="109"/>
      <c r="M848" s="166"/>
      <c r="N848" s="108"/>
      <c r="O848" s="162"/>
      <c r="P848" s="162"/>
      <c r="Q848" s="109"/>
      <c r="R848" s="109"/>
      <c r="S848" s="109"/>
      <c r="T848" s="109"/>
      <c r="U848" s="109"/>
      <c r="V848" s="166"/>
      <c r="W848" s="165"/>
      <c r="X848" s="109"/>
      <c r="Y848" s="109"/>
      <c r="Z848" s="109"/>
      <c r="AA848" s="109"/>
      <c r="AB848" s="109"/>
      <c r="AC848" s="109"/>
      <c r="AD848" s="166"/>
      <c r="AE848" s="174"/>
      <c r="AF848" s="117"/>
      <c r="AG848" s="117"/>
      <c r="AH848" s="117"/>
      <c r="AI848" s="117"/>
      <c r="AJ848" s="117"/>
      <c r="AK848" s="182"/>
      <c r="AL848" s="165"/>
      <c r="AM848" s="109"/>
      <c r="AN848" s="109"/>
      <c r="AO848" s="109"/>
      <c r="AP848" s="109"/>
      <c r="AQ848" s="109"/>
      <c r="AR848" s="109"/>
      <c r="AS848" s="166"/>
      <c r="AT848" s="165"/>
      <c r="AU848" s="109"/>
      <c r="AV848" s="109"/>
      <c r="AW848" s="109"/>
      <c r="AX848" s="109"/>
      <c r="AY848" s="109"/>
      <c r="AZ848" s="166"/>
      <c r="BA848" s="162"/>
      <c r="BB848" s="109"/>
      <c r="BC848" s="109"/>
    </row>
    <row r="849" spans="2:55" ht="75" customHeight="1">
      <c r="B849" s="109"/>
      <c r="C849" s="109"/>
      <c r="D849" s="109"/>
      <c r="E849" s="161"/>
      <c r="F849" s="165"/>
      <c r="G849" s="109"/>
      <c r="H849" s="109"/>
      <c r="I849" s="109"/>
      <c r="J849" s="109"/>
      <c r="K849" s="109"/>
      <c r="L849" s="109"/>
      <c r="M849" s="166"/>
      <c r="N849" s="108"/>
      <c r="O849" s="162"/>
      <c r="P849" s="162"/>
      <c r="Q849" s="109"/>
      <c r="R849" s="109"/>
      <c r="S849" s="109"/>
      <c r="T849" s="109"/>
      <c r="U849" s="109"/>
      <c r="V849" s="166"/>
      <c r="W849" s="165"/>
      <c r="X849" s="109"/>
      <c r="Y849" s="109"/>
      <c r="Z849" s="109"/>
      <c r="AA849" s="109"/>
      <c r="AB849" s="109"/>
      <c r="AC849" s="109"/>
      <c r="AD849" s="166"/>
      <c r="AE849" s="174"/>
      <c r="AF849" s="117"/>
      <c r="AG849" s="117"/>
      <c r="AH849" s="117"/>
      <c r="AI849" s="117"/>
      <c r="AJ849" s="117"/>
      <c r="AK849" s="182"/>
      <c r="AL849" s="165"/>
      <c r="AM849" s="109"/>
      <c r="AN849" s="109"/>
      <c r="AO849" s="109"/>
      <c r="AP849" s="109"/>
      <c r="AQ849" s="109"/>
      <c r="AR849" s="109"/>
      <c r="AS849" s="166"/>
      <c r="AT849" s="165"/>
      <c r="AU849" s="109"/>
      <c r="AV849" s="109"/>
      <c r="AW849" s="109"/>
      <c r="AX849" s="109"/>
      <c r="AY849" s="109"/>
      <c r="AZ849" s="166"/>
      <c r="BA849" s="162"/>
      <c r="BB849" s="109"/>
      <c r="BC849" s="109"/>
    </row>
    <row r="850" spans="2:55" ht="75" customHeight="1">
      <c r="B850" s="109"/>
      <c r="C850" s="109"/>
      <c r="D850" s="109"/>
      <c r="E850" s="161"/>
      <c r="F850" s="165"/>
      <c r="G850" s="109"/>
      <c r="H850" s="109"/>
      <c r="I850" s="109"/>
      <c r="J850" s="109"/>
      <c r="K850" s="109"/>
      <c r="L850" s="109"/>
      <c r="M850" s="166"/>
      <c r="N850" s="108"/>
      <c r="O850" s="162"/>
      <c r="P850" s="162"/>
      <c r="Q850" s="109"/>
      <c r="R850" s="109"/>
      <c r="S850" s="109"/>
      <c r="T850" s="109"/>
      <c r="U850" s="109"/>
      <c r="V850" s="166"/>
      <c r="W850" s="165"/>
      <c r="X850" s="109"/>
      <c r="Y850" s="109"/>
      <c r="Z850" s="109"/>
      <c r="AA850" s="109"/>
      <c r="AB850" s="109"/>
      <c r="AC850" s="109"/>
      <c r="AD850" s="166"/>
      <c r="AE850" s="174"/>
      <c r="AF850" s="117"/>
      <c r="AG850" s="117"/>
      <c r="AH850" s="117"/>
      <c r="AI850" s="117"/>
      <c r="AJ850" s="117"/>
      <c r="AK850" s="182"/>
      <c r="AL850" s="165"/>
      <c r="AM850" s="109"/>
      <c r="AN850" s="109"/>
      <c r="AO850" s="109"/>
      <c r="AP850" s="109"/>
      <c r="AQ850" s="109"/>
      <c r="AR850" s="109"/>
      <c r="AS850" s="166"/>
      <c r="AT850" s="165"/>
      <c r="AU850" s="109"/>
      <c r="AV850" s="109"/>
      <c r="AW850" s="109"/>
      <c r="AX850" s="109"/>
      <c r="AY850" s="109"/>
      <c r="AZ850" s="166"/>
      <c r="BA850" s="162"/>
      <c r="BB850" s="109"/>
      <c r="BC850" s="109"/>
    </row>
    <row r="851" spans="2:55" ht="75" customHeight="1">
      <c r="B851" s="109"/>
      <c r="C851" s="109"/>
      <c r="D851" s="109"/>
      <c r="E851" s="161"/>
      <c r="F851" s="165"/>
      <c r="G851" s="109"/>
      <c r="H851" s="109"/>
      <c r="I851" s="109"/>
      <c r="J851" s="109"/>
      <c r="K851" s="109"/>
      <c r="L851" s="109"/>
      <c r="M851" s="166"/>
      <c r="N851" s="108"/>
      <c r="O851" s="162"/>
      <c r="P851" s="162"/>
      <c r="Q851" s="109"/>
      <c r="R851" s="109"/>
      <c r="S851" s="109"/>
      <c r="T851" s="109"/>
      <c r="U851" s="109"/>
      <c r="V851" s="166"/>
      <c r="W851" s="165"/>
      <c r="X851" s="109"/>
      <c r="Y851" s="109"/>
      <c r="Z851" s="109"/>
      <c r="AA851" s="109"/>
      <c r="AB851" s="109"/>
      <c r="AC851" s="109"/>
      <c r="AD851" s="166"/>
      <c r="AE851" s="174"/>
      <c r="AF851" s="117"/>
      <c r="AG851" s="117"/>
      <c r="AH851" s="117"/>
      <c r="AI851" s="117"/>
      <c r="AJ851" s="117"/>
      <c r="AK851" s="182"/>
      <c r="AL851" s="165"/>
      <c r="AM851" s="109"/>
      <c r="AN851" s="109"/>
      <c r="AO851" s="109"/>
      <c r="AP851" s="109"/>
      <c r="AQ851" s="109"/>
      <c r="AR851" s="109"/>
      <c r="AS851" s="166"/>
      <c r="AT851" s="165"/>
      <c r="AU851" s="109"/>
      <c r="AV851" s="109"/>
      <c r="AW851" s="109"/>
      <c r="AX851" s="109"/>
      <c r="AY851" s="109"/>
      <c r="AZ851" s="166"/>
      <c r="BA851" s="162"/>
      <c r="BB851" s="109"/>
      <c r="BC851" s="109"/>
    </row>
    <row r="852" spans="2:55" ht="75" customHeight="1">
      <c r="B852" s="109"/>
      <c r="C852" s="109"/>
      <c r="D852" s="109"/>
      <c r="E852" s="161"/>
      <c r="F852" s="165"/>
      <c r="G852" s="109"/>
      <c r="H852" s="109"/>
      <c r="I852" s="109"/>
      <c r="J852" s="109"/>
      <c r="K852" s="109"/>
      <c r="L852" s="109"/>
      <c r="M852" s="166"/>
      <c r="N852" s="108"/>
      <c r="O852" s="162"/>
      <c r="P852" s="162"/>
      <c r="Q852" s="109"/>
      <c r="R852" s="109"/>
      <c r="S852" s="109"/>
      <c r="T852" s="109"/>
      <c r="U852" s="109"/>
      <c r="V852" s="166"/>
      <c r="W852" s="165"/>
      <c r="X852" s="109"/>
      <c r="Y852" s="109"/>
      <c r="Z852" s="109"/>
      <c r="AA852" s="109"/>
      <c r="AB852" s="109"/>
      <c r="AC852" s="109"/>
      <c r="AD852" s="166"/>
      <c r="AE852" s="174"/>
      <c r="AF852" s="117"/>
      <c r="AG852" s="117"/>
      <c r="AH852" s="117"/>
      <c r="AI852" s="117"/>
      <c r="AJ852" s="117"/>
      <c r="AK852" s="182"/>
      <c r="AL852" s="165"/>
      <c r="AM852" s="109"/>
      <c r="AN852" s="109"/>
      <c r="AO852" s="109"/>
      <c r="AP852" s="109"/>
      <c r="AQ852" s="109"/>
      <c r="AR852" s="109"/>
      <c r="AS852" s="166"/>
      <c r="AT852" s="165"/>
      <c r="AU852" s="109"/>
      <c r="AV852" s="109"/>
      <c r="AW852" s="109"/>
      <c r="AX852" s="109"/>
      <c r="AY852" s="109"/>
      <c r="AZ852" s="166"/>
      <c r="BA852" s="162"/>
      <c r="BB852" s="109"/>
      <c r="BC852" s="109"/>
    </row>
    <row r="853" spans="2:55" ht="75" customHeight="1">
      <c r="B853" s="109"/>
      <c r="C853" s="109"/>
      <c r="D853" s="109"/>
      <c r="E853" s="161"/>
      <c r="F853" s="165"/>
      <c r="G853" s="109"/>
      <c r="H853" s="109"/>
      <c r="I853" s="109"/>
      <c r="J853" s="109"/>
      <c r="K853" s="109"/>
      <c r="L853" s="109"/>
      <c r="M853" s="166"/>
      <c r="N853" s="108"/>
      <c r="O853" s="162"/>
      <c r="P853" s="162"/>
      <c r="Q853" s="109"/>
      <c r="R853" s="109"/>
      <c r="S853" s="109"/>
      <c r="T853" s="109"/>
      <c r="U853" s="109"/>
      <c r="V853" s="166"/>
      <c r="W853" s="165"/>
      <c r="X853" s="109"/>
      <c r="Y853" s="109"/>
      <c r="Z853" s="109"/>
      <c r="AA853" s="109"/>
      <c r="AB853" s="109"/>
      <c r="AC853" s="109"/>
      <c r="AD853" s="166"/>
      <c r="AE853" s="174"/>
      <c r="AF853" s="117"/>
      <c r="AG853" s="117"/>
      <c r="AH853" s="117"/>
      <c r="AI853" s="117"/>
      <c r="AJ853" s="117"/>
      <c r="AK853" s="182"/>
      <c r="AL853" s="165"/>
      <c r="AM853" s="109"/>
      <c r="AN853" s="109"/>
      <c r="AO853" s="109"/>
      <c r="AP853" s="109"/>
      <c r="AQ853" s="109"/>
      <c r="AR853" s="109"/>
      <c r="AS853" s="166"/>
      <c r="AT853" s="165"/>
      <c r="AU853" s="109"/>
      <c r="AV853" s="109"/>
      <c r="AW853" s="109"/>
      <c r="AX853" s="109"/>
      <c r="AY853" s="109"/>
      <c r="AZ853" s="166"/>
      <c r="BA853" s="162"/>
      <c r="BB853" s="109"/>
      <c r="BC853" s="109"/>
    </row>
    <row r="854" spans="2:55" ht="75" customHeight="1">
      <c r="B854" s="109"/>
      <c r="C854" s="109"/>
      <c r="D854" s="109"/>
      <c r="E854" s="161"/>
      <c r="F854" s="165"/>
      <c r="G854" s="109"/>
      <c r="H854" s="109"/>
      <c r="I854" s="109"/>
      <c r="J854" s="109"/>
      <c r="K854" s="109"/>
      <c r="L854" s="109"/>
      <c r="M854" s="166"/>
      <c r="N854" s="108"/>
      <c r="O854" s="162"/>
      <c r="P854" s="162"/>
      <c r="Q854" s="109"/>
      <c r="R854" s="109"/>
      <c r="S854" s="109"/>
      <c r="T854" s="109"/>
      <c r="U854" s="109"/>
      <c r="V854" s="166"/>
      <c r="W854" s="165"/>
      <c r="X854" s="109"/>
      <c r="Y854" s="109"/>
      <c r="Z854" s="109"/>
      <c r="AA854" s="109"/>
      <c r="AB854" s="109"/>
      <c r="AC854" s="109"/>
      <c r="AD854" s="166"/>
      <c r="AE854" s="174"/>
      <c r="AF854" s="117"/>
      <c r="AG854" s="117"/>
      <c r="AH854" s="117"/>
      <c r="AI854" s="117"/>
      <c r="AJ854" s="117"/>
      <c r="AK854" s="182"/>
      <c r="AL854" s="165"/>
      <c r="AM854" s="109"/>
      <c r="AN854" s="109"/>
      <c r="AO854" s="109"/>
      <c r="AP854" s="109"/>
      <c r="AQ854" s="109"/>
      <c r="AR854" s="109"/>
      <c r="AS854" s="166"/>
      <c r="AT854" s="165"/>
      <c r="AU854" s="109"/>
      <c r="AV854" s="109"/>
      <c r="AW854" s="109"/>
      <c r="AX854" s="109"/>
      <c r="AY854" s="109"/>
      <c r="AZ854" s="166"/>
      <c r="BA854" s="162"/>
      <c r="BB854" s="109"/>
      <c r="BC854" s="109"/>
    </row>
    <row r="855" spans="2:55" ht="75" customHeight="1">
      <c r="B855" s="109"/>
      <c r="C855" s="109"/>
      <c r="D855" s="109"/>
      <c r="E855" s="161"/>
      <c r="F855" s="165"/>
      <c r="G855" s="109"/>
      <c r="H855" s="109"/>
      <c r="I855" s="109"/>
      <c r="J855" s="109"/>
      <c r="K855" s="109"/>
      <c r="L855" s="109"/>
      <c r="M855" s="166"/>
      <c r="N855" s="108"/>
      <c r="O855" s="162"/>
      <c r="P855" s="162"/>
      <c r="Q855" s="109"/>
      <c r="R855" s="109"/>
      <c r="S855" s="109"/>
      <c r="T855" s="109"/>
      <c r="U855" s="109"/>
      <c r="V855" s="166"/>
      <c r="W855" s="165"/>
      <c r="X855" s="109"/>
      <c r="Y855" s="109"/>
      <c r="Z855" s="109"/>
      <c r="AA855" s="109"/>
      <c r="AB855" s="109"/>
      <c r="AC855" s="109"/>
      <c r="AD855" s="166"/>
      <c r="AE855" s="174"/>
      <c r="AF855" s="117"/>
      <c r="AG855" s="117"/>
      <c r="AH855" s="117"/>
      <c r="AI855" s="117"/>
      <c r="AJ855" s="117"/>
      <c r="AK855" s="182"/>
      <c r="AL855" s="165"/>
      <c r="AM855" s="109"/>
      <c r="AN855" s="109"/>
      <c r="AO855" s="109"/>
      <c r="AP855" s="109"/>
      <c r="AQ855" s="109"/>
      <c r="AR855" s="109"/>
      <c r="AS855" s="166"/>
      <c r="AT855" s="165"/>
      <c r="AU855" s="109"/>
      <c r="AV855" s="109"/>
      <c r="AW855" s="109"/>
      <c r="AX855" s="109"/>
      <c r="AY855" s="109"/>
      <c r="AZ855" s="166"/>
      <c r="BA855" s="162"/>
      <c r="BB855" s="109"/>
      <c r="BC855" s="109"/>
    </row>
    <row r="856" spans="2:55" ht="75" customHeight="1">
      <c r="B856" s="109"/>
      <c r="C856" s="109"/>
      <c r="D856" s="109"/>
      <c r="E856" s="161"/>
      <c r="F856" s="165"/>
      <c r="G856" s="109"/>
      <c r="H856" s="109"/>
      <c r="I856" s="109"/>
      <c r="J856" s="109"/>
      <c r="K856" s="109"/>
      <c r="L856" s="109"/>
      <c r="M856" s="166"/>
      <c r="N856" s="108"/>
      <c r="O856" s="162"/>
      <c r="P856" s="162"/>
      <c r="Q856" s="109"/>
      <c r="R856" s="109"/>
      <c r="S856" s="109"/>
      <c r="T856" s="109"/>
      <c r="U856" s="109"/>
      <c r="V856" s="166"/>
      <c r="W856" s="165"/>
      <c r="X856" s="109"/>
      <c r="Y856" s="109"/>
      <c r="Z856" s="109"/>
      <c r="AA856" s="109"/>
      <c r="AB856" s="109"/>
      <c r="AC856" s="109"/>
      <c r="AD856" s="166"/>
      <c r="AE856" s="174"/>
      <c r="AF856" s="117"/>
      <c r="AG856" s="117"/>
      <c r="AH856" s="117"/>
      <c r="AI856" s="117"/>
      <c r="AJ856" s="117"/>
      <c r="AK856" s="182"/>
      <c r="AL856" s="165"/>
      <c r="AM856" s="109"/>
      <c r="AN856" s="109"/>
      <c r="AO856" s="109"/>
      <c r="AP856" s="109"/>
      <c r="AQ856" s="109"/>
      <c r="AR856" s="109"/>
      <c r="AS856" s="166"/>
      <c r="AT856" s="165"/>
      <c r="AU856" s="109"/>
      <c r="AV856" s="109"/>
      <c r="AW856" s="109"/>
      <c r="AX856" s="109"/>
      <c r="AY856" s="109"/>
      <c r="AZ856" s="166"/>
      <c r="BA856" s="162"/>
      <c r="BB856" s="109"/>
      <c r="BC856" s="109"/>
    </row>
    <row r="857" spans="2:55" ht="75" customHeight="1">
      <c r="B857" s="109"/>
      <c r="C857" s="109"/>
      <c r="D857" s="109"/>
      <c r="E857" s="161"/>
      <c r="F857" s="165"/>
      <c r="G857" s="109"/>
      <c r="H857" s="109"/>
      <c r="I857" s="109"/>
      <c r="J857" s="109"/>
      <c r="K857" s="109"/>
      <c r="L857" s="109"/>
      <c r="M857" s="166"/>
      <c r="N857" s="108"/>
      <c r="O857" s="162"/>
      <c r="P857" s="162"/>
      <c r="Q857" s="109"/>
      <c r="R857" s="109"/>
      <c r="S857" s="109"/>
      <c r="T857" s="109"/>
      <c r="U857" s="109"/>
      <c r="V857" s="166"/>
      <c r="W857" s="165"/>
      <c r="X857" s="109"/>
      <c r="Y857" s="109"/>
      <c r="Z857" s="109"/>
      <c r="AA857" s="109"/>
      <c r="AB857" s="109"/>
      <c r="AC857" s="109"/>
      <c r="AD857" s="166"/>
      <c r="AE857" s="174"/>
      <c r="AF857" s="117"/>
      <c r="AG857" s="117"/>
      <c r="AH857" s="117"/>
      <c r="AI857" s="117"/>
      <c r="AJ857" s="117"/>
      <c r="AK857" s="182"/>
      <c r="AL857" s="165"/>
      <c r="AM857" s="109"/>
      <c r="AN857" s="109"/>
      <c r="AO857" s="109"/>
      <c r="AP857" s="109"/>
      <c r="AQ857" s="109"/>
      <c r="AR857" s="109"/>
      <c r="AS857" s="166"/>
      <c r="AT857" s="165"/>
      <c r="AU857" s="109"/>
      <c r="AV857" s="109"/>
      <c r="AW857" s="109"/>
      <c r="AX857" s="109"/>
      <c r="AY857" s="109"/>
      <c r="AZ857" s="166"/>
      <c r="BA857" s="162"/>
      <c r="BB857" s="109"/>
      <c r="BC857" s="109"/>
    </row>
    <row r="858" spans="2:55" ht="75" customHeight="1">
      <c r="B858" s="109"/>
      <c r="C858" s="109"/>
      <c r="D858" s="109"/>
      <c r="E858" s="161"/>
      <c r="F858" s="165"/>
      <c r="G858" s="109"/>
      <c r="H858" s="109"/>
      <c r="I858" s="109"/>
      <c r="J858" s="109"/>
      <c r="K858" s="109"/>
      <c r="L858" s="109"/>
      <c r="M858" s="166"/>
      <c r="N858" s="108"/>
      <c r="O858" s="162"/>
      <c r="P858" s="162"/>
      <c r="Q858" s="109"/>
      <c r="R858" s="109"/>
      <c r="S858" s="109"/>
      <c r="T858" s="109"/>
      <c r="U858" s="109"/>
      <c r="V858" s="166"/>
      <c r="W858" s="165"/>
      <c r="X858" s="109"/>
      <c r="Y858" s="109"/>
      <c r="Z858" s="109"/>
      <c r="AA858" s="109"/>
      <c r="AB858" s="109"/>
      <c r="AC858" s="109"/>
      <c r="AD858" s="166"/>
      <c r="AE858" s="174"/>
      <c r="AF858" s="117"/>
      <c r="AG858" s="117"/>
      <c r="AH858" s="117"/>
      <c r="AI858" s="117"/>
      <c r="AJ858" s="117"/>
      <c r="AK858" s="182"/>
      <c r="AL858" s="165"/>
      <c r="AM858" s="109"/>
      <c r="AN858" s="109"/>
      <c r="AO858" s="109"/>
      <c r="AP858" s="109"/>
      <c r="AQ858" s="109"/>
      <c r="AR858" s="109"/>
      <c r="AS858" s="166"/>
      <c r="AT858" s="165"/>
      <c r="AU858" s="109"/>
      <c r="AV858" s="109"/>
      <c r="AW858" s="109"/>
      <c r="AX858" s="109"/>
      <c r="AY858" s="109"/>
      <c r="AZ858" s="166"/>
      <c r="BA858" s="162"/>
      <c r="BB858" s="109"/>
      <c r="BC858" s="109"/>
    </row>
    <row r="859" spans="2:55" ht="75" customHeight="1">
      <c r="B859" s="109"/>
      <c r="C859" s="109"/>
      <c r="D859" s="109"/>
      <c r="E859" s="161"/>
      <c r="F859" s="165"/>
      <c r="G859" s="109"/>
      <c r="H859" s="109"/>
      <c r="I859" s="109"/>
      <c r="J859" s="109"/>
      <c r="K859" s="109"/>
      <c r="L859" s="109"/>
      <c r="M859" s="166"/>
      <c r="N859" s="108"/>
      <c r="O859" s="162"/>
      <c r="P859" s="162"/>
      <c r="Q859" s="109"/>
      <c r="R859" s="109"/>
      <c r="S859" s="109"/>
      <c r="T859" s="109"/>
      <c r="U859" s="109"/>
      <c r="V859" s="166"/>
      <c r="W859" s="165"/>
      <c r="X859" s="109"/>
      <c r="Y859" s="109"/>
      <c r="Z859" s="109"/>
      <c r="AA859" s="109"/>
      <c r="AB859" s="109"/>
      <c r="AC859" s="109"/>
      <c r="AD859" s="166"/>
      <c r="AE859" s="174"/>
      <c r="AF859" s="117"/>
      <c r="AG859" s="117"/>
      <c r="AH859" s="117"/>
      <c r="AI859" s="117"/>
      <c r="AJ859" s="117"/>
      <c r="AK859" s="182"/>
      <c r="AL859" s="165"/>
      <c r="AM859" s="109"/>
      <c r="AN859" s="109"/>
      <c r="AO859" s="109"/>
      <c r="AP859" s="109"/>
      <c r="AQ859" s="109"/>
      <c r="AR859" s="109"/>
      <c r="AS859" s="166"/>
      <c r="AT859" s="165"/>
      <c r="AU859" s="109"/>
      <c r="AV859" s="109"/>
      <c r="AW859" s="109"/>
      <c r="AX859" s="109"/>
      <c r="AY859" s="109"/>
      <c r="AZ859" s="166"/>
      <c r="BA859" s="162"/>
      <c r="BB859" s="109"/>
      <c r="BC859" s="109"/>
    </row>
    <row r="860" spans="2:55" ht="75" customHeight="1">
      <c r="B860" s="109"/>
      <c r="C860" s="109"/>
      <c r="D860" s="109"/>
      <c r="E860" s="161"/>
      <c r="F860" s="165"/>
      <c r="G860" s="109"/>
      <c r="H860" s="109"/>
      <c r="I860" s="109"/>
      <c r="J860" s="109"/>
      <c r="K860" s="109"/>
      <c r="L860" s="109"/>
      <c r="M860" s="166"/>
      <c r="N860" s="108"/>
      <c r="O860" s="162"/>
      <c r="P860" s="162"/>
      <c r="Q860" s="109"/>
      <c r="R860" s="109"/>
      <c r="S860" s="109"/>
      <c r="T860" s="109"/>
      <c r="U860" s="109"/>
      <c r="V860" s="166"/>
      <c r="W860" s="165"/>
      <c r="X860" s="109"/>
      <c r="Y860" s="109"/>
      <c r="Z860" s="109"/>
      <c r="AA860" s="109"/>
      <c r="AB860" s="109"/>
      <c r="AC860" s="109"/>
      <c r="AD860" s="166"/>
      <c r="AE860" s="174"/>
      <c r="AF860" s="117"/>
      <c r="AG860" s="117"/>
      <c r="AH860" s="117"/>
      <c r="AI860" s="117"/>
      <c r="AJ860" s="117"/>
      <c r="AK860" s="182"/>
      <c r="AL860" s="165"/>
      <c r="AM860" s="109"/>
      <c r="AN860" s="109"/>
      <c r="AO860" s="109"/>
      <c r="AP860" s="109"/>
      <c r="AQ860" s="109"/>
      <c r="AR860" s="109"/>
      <c r="AS860" s="166"/>
      <c r="AT860" s="165"/>
      <c r="AU860" s="109"/>
      <c r="AV860" s="109"/>
      <c r="AW860" s="109"/>
      <c r="AX860" s="109"/>
      <c r="AY860" s="109"/>
      <c r="AZ860" s="166"/>
      <c r="BA860" s="162"/>
      <c r="BB860" s="109"/>
      <c r="BC860" s="109"/>
    </row>
    <row r="861" spans="2:55" ht="75" customHeight="1">
      <c r="B861" s="109"/>
      <c r="C861" s="109"/>
      <c r="D861" s="109"/>
      <c r="E861" s="161"/>
      <c r="F861" s="165"/>
      <c r="G861" s="109"/>
      <c r="H861" s="109"/>
      <c r="I861" s="109"/>
      <c r="J861" s="109"/>
      <c r="K861" s="109"/>
      <c r="L861" s="109"/>
      <c r="M861" s="166"/>
      <c r="N861" s="108"/>
      <c r="O861" s="162"/>
      <c r="P861" s="162"/>
      <c r="Q861" s="109"/>
      <c r="R861" s="109"/>
      <c r="S861" s="109"/>
      <c r="T861" s="109"/>
      <c r="U861" s="109"/>
      <c r="V861" s="166"/>
      <c r="W861" s="165"/>
      <c r="X861" s="109"/>
      <c r="Y861" s="109"/>
      <c r="Z861" s="109"/>
      <c r="AA861" s="109"/>
      <c r="AB861" s="109"/>
      <c r="AC861" s="109"/>
      <c r="AD861" s="166"/>
      <c r="AE861" s="174"/>
      <c r="AF861" s="117"/>
      <c r="AG861" s="117"/>
      <c r="AH861" s="117"/>
      <c r="AI861" s="117"/>
      <c r="AJ861" s="117"/>
      <c r="AK861" s="182"/>
      <c r="AL861" s="165"/>
      <c r="AM861" s="109"/>
      <c r="AN861" s="109"/>
      <c r="AO861" s="109"/>
      <c r="AP861" s="109"/>
      <c r="AQ861" s="109"/>
      <c r="AR861" s="109"/>
      <c r="AS861" s="166"/>
      <c r="AT861" s="165"/>
      <c r="AU861" s="109"/>
      <c r="AV861" s="109"/>
      <c r="AW861" s="109"/>
      <c r="AX861" s="109"/>
      <c r="AY861" s="109"/>
      <c r="AZ861" s="166"/>
      <c r="BA861" s="162"/>
      <c r="BB861" s="109"/>
      <c r="BC861" s="109"/>
    </row>
    <row r="862" spans="2:55" ht="75" customHeight="1">
      <c r="B862" s="109"/>
      <c r="C862" s="109"/>
      <c r="D862" s="109"/>
      <c r="E862" s="161"/>
      <c r="F862" s="165"/>
      <c r="G862" s="109"/>
      <c r="H862" s="109"/>
      <c r="I862" s="109"/>
      <c r="J862" s="109"/>
      <c r="K862" s="109"/>
      <c r="L862" s="109"/>
      <c r="M862" s="166"/>
      <c r="N862" s="108"/>
      <c r="O862" s="162"/>
      <c r="P862" s="162"/>
      <c r="Q862" s="109"/>
      <c r="R862" s="109"/>
      <c r="S862" s="109"/>
      <c r="T862" s="109"/>
      <c r="U862" s="109"/>
      <c r="V862" s="166"/>
      <c r="W862" s="165"/>
      <c r="X862" s="109"/>
      <c r="Y862" s="109"/>
      <c r="Z862" s="109"/>
      <c r="AA862" s="109"/>
      <c r="AB862" s="109"/>
      <c r="AC862" s="109"/>
      <c r="AD862" s="166"/>
      <c r="AE862" s="174"/>
      <c r="AF862" s="117"/>
      <c r="AG862" s="117"/>
      <c r="AH862" s="117"/>
      <c r="AI862" s="117"/>
      <c r="AJ862" s="117"/>
      <c r="AK862" s="182"/>
      <c r="AL862" s="165"/>
      <c r="AM862" s="109"/>
      <c r="AN862" s="109"/>
      <c r="AO862" s="109"/>
      <c r="AP862" s="109"/>
      <c r="AQ862" s="109"/>
      <c r="AR862" s="109"/>
      <c r="AS862" s="166"/>
      <c r="AT862" s="165"/>
      <c r="AU862" s="109"/>
      <c r="AV862" s="109"/>
      <c r="AW862" s="109"/>
      <c r="AX862" s="109"/>
      <c r="AY862" s="109"/>
      <c r="AZ862" s="166"/>
      <c r="BA862" s="162"/>
      <c r="BB862" s="109"/>
      <c r="BC862" s="109"/>
    </row>
    <row r="863" spans="2:55" ht="75" customHeight="1">
      <c r="B863" s="109"/>
      <c r="C863" s="109"/>
      <c r="D863" s="109"/>
      <c r="E863" s="161"/>
      <c r="F863" s="165"/>
      <c r="G863" s="109"/>
      <c r="H863" s="109"/>
      <c r="I863" s="109"/>
      <c r="J863" s="109"/>
      <c r="K863" s="109"/>
      <c r="L863" s="109"/>
      <c r="M863" s="166"/>
      <c r="N863" s="108"/>
      <c r="O863" s="162"/>
      <c r="P863" s="162"/>
      <c r="Q863" s="109"/>
      <c r="R863" s="109"/>
      <c r="S863" s="109"/>
      <c r="T863" s="109"/>
      <c r="U863" s="109"/>
      <c r="V863" s="166"/>
      <c r="W863" s="165"/>
      <c r="X863" s="109"/>
      <c r="Y863" s="109"/>
      <c r="Z863" s="109"/>
      <c r="AA863" s="109"/>
      <c r="AB863" s="109"/>
      <c r="AC863" s="109"/>
      <c r="AD863" s="166"/>
      <c r="AE863" s="174"/>
      <c r="AF863" s="117"/>
      <c r="AG863" s="117"/>
      <c r="AH863" s="117"/>
      <c r="AI863" s="117"/>
      <c r="AJ863" s="117"/>
      <c r="AK863" s="182"/>
      <c r="AL863" s="165"/>
      <c r="AM863" s="109"/>
      <c r="AN863" s="109"/>
      <c r="AO863" s="109"/>
      <c r="AP863" s="109"/>
      <c r="AQ863" s="109"/>
      <c r="AR863" s="109"/>
      <c r="AS863" s="166"/>
      <c r="AT863" s="165"/>
      <c r="AU863" s="109"/>
      <c r="AV863" s="109"/>
      <c r="AW863" s="109"/>
      <c r="AX863" s="109"/>
      <c r="AY863" s="109"/>
      <c r="AZ863" s="166"/>
      <c r="BA863" s="162"/>
      <c r="BB863" s="109"/>
      <c r="BC863" s="109"/>
    </row>
    <row r="864" spans="2:55" ht="75" customHeight="1">
      <c r="B864" s="109"/>
      <c r="C864" s="109"/>
      <c r="D864" s="109"/>
      <c r="E864" s="161"/>
      <c r="F864" s="165"/>
      <c r="G864" s="109"/>
      <c r="H864" s="109"/>
      <c r="I864" s="109"/>
      <c r="J864" s="109"/>
      <c r="K864" s="109"/>
      <c r="L864" s="109"/>
      <c r="M864" s="166"/>
      <c r="N864" s="108"/>
      <c r="O864" s="162"/>
      <c r="P864" s="162"/>
      <c r="Q864" s="109"/>
      <c r="R864" s="109"/>
      <c r="S864" s="109"/>
      <c r="T864" s="109"/>
      <c r="U864" s="109"/>
      <c r="V864" s="166"/>
      <c r="W864" s="165"/>
      <c r="X864" s="109"/>
      <c r="Y864" s="109"/>
      <c r="Z864" s="109"/>
      <c r="AA864" s="109"/>
      <c r="AB864" s="109"/>
      <c r="AC864" s="109"/>
      <c r="AD864" s="166"/>
      <c r="AE864" s="174"/>
      <c r="AF864" s="117"/>
      <c r="AG864" s="117"/>
      <c r="AH864" s="117"/>
      <c r="AI864" s="117"/>
      <c r="AJ864" s="117"/>
      <c r="AK864" s="182"/>
      <c r="AL864" s="165"/>
      <c r="AM864" s="109"/>
      <c r="AN864" s="109"/>
      <c r="AO864" s="109"/>
      <c r="AP864" s="109"/>
      <c r="AQ864" s="109"/>
      <c r="AR864" s="109"/>
      <c r="AS864" s="166"/>
      <c r="AT864" s="165"/>
      <c r="AU864" s="109"/>
      <c r="AV864" s="109"/>
      <c r="AW864" s="109"/>
      <c r="AX864" s="109"/>
      <c r="AY864" s="109"/>
      <c r="AZ864" s="166"/>
      <c r="BA864" s="162"/>
      <c r="BB864" s="109"/>
      <c r="BC864" s="109"/>
    </row>
    <row r="865" spans="2:55" ht="75" customHeight="1">
      <c r="B865" s="109"/>
      <c r="C865" s="109"/>
      <c r="D865" s="109"/>
      <c r="E865" s="161"/>
      <c r="F865" s="165"/>
      <c r="G865" s="109"/>
      <c r="H865" s="109"/>
      <c r="I865" s="109"/>
      <c r="J865" s="109"/>
      <c r="K865" s="109"/>
      <c r="L865" s="109"/>
      <c r="M865" s="166"/>
      <c r="N865" s="108"/>
      <c r="O865" s="162"/>
      <c r="P865" s="162"/>
      <c r="Q865" s="109"/>
      <c r="R865" s="109"/>
      <c r="S865" s="109"/>
      <c r="T865" s="109"/>
      <c r="U865" s="109"/>
      <c r="V865" s="166"/>
      <c r="W865" s="165"/>
      <c r="X865" s="109"/>
      <c r="Y865" s="109"/>
      <c r="Z865" s="109"/>
      <c r="AA865" s="109"/>
      <c r="AB865" s="109"/>
      <c r="AC865" s="109"/>
      <c r="AD865" s="166"/>
      <c r="AE865" s="174"/>
      <c r="AF865" s="117"/>
      <c r="AG865" s="117"/>
      <c r="AH865" s="117"/>
      <c r="AI865" s="117"/>
      <c r="AJ865" s="117"/>
      <c r="AK865" s="182"/>
      <c r="AL865" s="165"/>
      <c r="AM865" s="109"/>
      <c r="AN865" s="109"/>
      <c r="AO865" s="109"/>
      <c r="AP865" s="109"/>
      <c r="AQ865" s="109"/>
      <c r="AR865" s="109"/>
      <c r="AS865" s="166"/>
      <c r="AT865" s="165"/>
      <c r="AU865" s="109"/>
      <c r="AV865" s="109"/>
      <c r="AW865" s="109"/>
      <c r="AX865" s="109"/>
      <c r="AY865" s="109"/>
      <c r="AZ865" s="166"/>
      <c r="BA865" s="162"/>
      <c r="BB865" s="109"/>
      <c r="BC865" s="109"/>
    </row>
    <row r="866" spans="2:55" ht="75" customHeight="1">
      <c r="B866" s="109"/>
      <c r="C866" s="109"/>
      <c r="D866" s="109"/>
      <c r="E866" s="161"/>
      <c r="F866" s="165"/>
      <c r="G866" s="109"/>
      <c r="H866" s="109"/>
      <c r="I866" s="109"/>
      <c r="J866" s="109"/>
      <c r="K866" s="109"/>
      <c r="L866" s="109"/>
      <c r="M866" s="166"/>
      <c r="N866" s="108"/>
      <c r="O866" s="162"/>
      <c r="P866" s="162"/>
      <c r="Q866" s="109"/>
      <c r="R866" s="109"/>
      <c r="S866" s="109"/>
      <c r="T866" s="109"/>
      <c r="U866" s="109"/>
      <c r="V866" s="166"/>
      <c r="W866" s="165"/>
      <c r="X866" s="109"/>
      <c r="Y866" s="109"/>
      <c r="Z866" s="109"/>
      <c r="AA866" s="109"/>
      <c r="AB866" s="109"/>
      <c r="AC866" s="109"/>
      <c r="AD866" s="166"/>
      <c r="AE866" s="174"/>
      <c r="AF866" s="117"/>
      <c r="AG866" s="117"/>
      <c r="AH866" s="117"/>
      <c r="AI866" s="117"/>
      <c r="AJ866" s="117"/>
      <c r="AK866" s="182"/>
      <c r="AL866" s="165"/>
      <c r="AM866" s="109"/>
      <c r="AN866" s="109"/>
      <c r="AO866" s="109"/>
      <c r="AP866" s="109"/>
      <c r="AQ866" s="109"/>
      <c r="AR866" s="109"/>
      <c r="AS866" s="166"/>
      <c r="AT866" s="165"/>
      <c r="AU866" s="109"/>
      <c r="AV866" s="109"/>
      <c r="AW866" s="109"/>
      <c r="AX866" s="109"/>
      <c r="AY866" s="109"/>
      <c r="AZ866" s="166"/>
      <c r="BA866" s="162"/>
      <c r="BB866" s="109"/>
      <c r="BC866" s="109"/>
    </row>
    <row r="867" spans="2:55" ht="75" customHeight="1">
      <c r="B867" s="109"/>
      <c r="C867" s="109"/>
      <c r="D867" s="109"/>
      <c r="E867" s="161"/>
      <c r="F867" s="165"/>
      <c r="G867" s="109"/>
      <c r="H867" s="109"/>
      <c r="I867" s="109"/>
      <c r="J867" s="109"/>
      <c r="K867" s="109"/>
      <c r="L867" s="109"/>
      <c r="M867" s="166"/>
      <c r="N867" s="108"/>
      <c r="O867" s="162"/>
      <c r="P867" s="162"/>
      <c r="Q867" s="109"/>
      <c r="R867" s="109"/>
      <c r="S867" s="109"/>
      <c r="T867" s="109"/>
      <c r="U867" s="109"/>
      <c r="V867" s="166"/>
      <c r="W867" s="165"/>
      <c r="X867" s="109"/>
      <c r="Y867" s="109"/>
      <c r="Z867" s="109"/>
      <c r="AA867" s="109"/>
      <c r="AB867" s="109"/>
      <c r="AC867" s="109"/>
      <c r="AD867" s="166"/>
      <c r="AE867" s="174"/>
      <c r="AF867" s="117"/>
      <c r="AG867" s="117"/>
      <c r="AH867" s="117"/>
      <c r="AI867" s="117"/>
      <c r="AJ867" s="117"/>
      <c r="AK867" s="182"/>
      <c r="AL867" s="165"/>
      <c r="AM867" s="109"/>
      <c r="AN867" s="109"/>
      <c r="AO867" s="109"/>
      <c r="AP867" s="109"/>
      <c r="AQ867" s="109"/>
      <c r="AR867" s="109"/>
      <c r="AS867" s="166"/>
      <c r="AT867" s="165"/>
      <c r="AU867" s="109"/>
      <c r="AV867" s="109"/>
      <c r="AW867" s="109"/>
      <c r="AX867" s="109"/>
      <c r="AY867" s="109"/>
      <c r="AZ867" s="166"/>
      <c r="BA867" s="162"/>
      <c r="BB867" s="109"/>
      <c r="BC867" s="109"/>
    </row>
    <row r="868" spans="2:55" ht="75" customHeight="1">
      <c r="B868" s="109"/>
      <c r="C868" s="109"/>
      <c r="D868" s="109"/>
      <c r="E868" s="161"/>
      <c r="F868" s="165"/>
      <c r="G868" s="109"/>
      <c r="H868" s="109"/>
      <c r="I868" s="109"/>
      <c r="J868" s="109"/>
      <c r="K868" s="109"/>
      <c r="L868" s="109"/>
      <c r="M868" s="166"/>
      <c r="N868" s="108"/>
      <c r="O868" s="162"/>
      <c r="P868" s="162"/>
      <c r="Q868" s="109"/>
      <c r="R868" s="109"/>
      <c r="S868" s="109"/>
      <c r="T868" s="109"/>
      <c r="U868" s="109"/>
      <c r="V868" s="166"/>
      <c r="W868" s="165"/>
      <c r="X868" s="109"/>
      <c r="Y868" s="109"/>
      <c r="Z868" s="109"/>
      <c r="AA868" s="109"/>
      <c r="AB868" s="109"/>
      <c r="AC868" s="109"/>
      <c r="AD868" s="166"/>
      <c r="AE868" s="174"/>
      <c r="AF868" s="117"/>
      <c r="AG868" s="117"/>
      <c r="AH868" s="117"/>
      <c r="AI868" s="117"/>
      <c r="AJ868" s="117"/>
      <c r="AK868" s="182"/>
      <c r="AL868" s="165"/>
      <c r="AM868" s="109"/>
      <c r="AN868" s="109"/>
      <c r="AO868" s="109"/>
      <c r="AP868" s="109"/>
      <c r="AQ868" s="109"/>
      <c r="AR868" s="109"/>
      <c r="AS868" s="166"/>
      <c r="AT868" s="165"/>
      <c r="AU868" s="109"/>
      <c r="AV868" s="109"/>
      <c r="AW868" s="109"/>
      <c r="AX868" s="109"/>
      <c r="AY868" s="109"/>
      <c r="AZ868" s="166"/>
      <c r="BA868" s="162"/>
      <c r="BB868" s="109"/>
      <c r="BC868" s="109"/>
    </row>
    <row r="869" spans="2:55" ht="75" customHeight="1">
      <c r="B869" s="109"/>
      <c r="C869" s="109"/>
      <c r="D869" s="109"/>
      <c r="E869" s="161"/>
      <c r="F869" s="165"/>
      <c r="G869" s="109"/>
      <c r="H869" s="109"/>
      <c r="I869" s="109"/>
      <c r="J869" s="109"/>
      <c r="K869" s="109"/>
      <c r="L869" s="109"/>
      <c r="M869" s="166"/>
      <c r="N869" s="108"/>
      <c r="O869" s="162"/>
      <c r="P869" s="162"/>
      <c r="Q869" s="109"/>
      <c r="R869" s="109"/>
      <c r="S869" s="109"/>
      <c r="T869" s="109"/>
      <c r="U869" s="109"/>
      <c r="V869" s="166"/>
      <c r="W869" s="165"/>
      <c r="X869" s="109"/>
      <c r="Y869" s="109"/>
      <c r="Z869" s="109"/>
      <c r="AA869" s="109"/>
      <c r="AB869" s="109"/>
      <c r="AC869" s="109"/>
      <c r="AD869" s="166"/>
      <c r="AE869" s="174"/>
      <c r="AF869" s="117"/>
      <c r="AG869" s="117"/>
      <c r="AH869" s="117"/>
      <c r="AI869" s="117"/>
      <c r="AJ869" s="117"/>
      <c r="AK869" s="182"/>
      <c r="AL869" s="165"/>
      <c r="AM869" s="109"/>
      <c r="AN869" s="109"/>
      <c r="AO869" s="109"/>
      <c r="AP869" s="109"/>
      <c r="AQ869" s="109"/>
      <c r="AR869" s="109"/>
      <c r="AS869" s="166"/>
      <c r="AT869" s="165"/>
      <c r="AU869" s="109"/>
      <c r="AV869" s="109"/>
      <c r="AW869" s="109"/>
      <c r="AX869" s="109"/>
      <c r="AY869" s="109"/>
      <c r="AZ869" s="166"/>
      <c r="BA869" s="162"/>
      <c r="BB869" s="109"/>
      <c r="BC869" s="109"/>
    </row>
    <row r="870" spans="2:55" ht="75" customHeight="1">
      <c r="B870" s="109"/>
      <c r="C870" s="109"/>
      <c r="D870" s="109"/>
      <c r="E870" s="161"/>
      <c r="F870" s="165"/>
      <c r="G870" s="109"/>
      <c r="H870" s="109"/>
      <c r="I870" s="109"/>
      <c r="J870" s="109"/>
      <c r="K870" s="109"/>
      <c r="L870" s="109"/>
      <c r="M870" s="166"/>
      <c r="N870" s="108"/>
      <c r="O870" s="162"/>
      <c r="P870" s="162"/>
      <c r="Q870" s="109"/>
      <c r="R870" s="109"/>
      <c r="S870" s="109"/>
      <c r="T870" s="109"/>
      <c r="U870" s="109"/>
      <c r="V870" s="166"/>
      <c r="W870" s="165"/>
      <c r="X870" s="109"/>
      <c r="Y870" s="109"/>
      <c r="Z870" s="109"/>
      <c r="AA870" s="109"/>
      <c r="AB870" s="109"/>
      <c r="AC870" s="109"/>
      <c r="AD870" s="166"/>
      <c r="AE870" s="174"/>
      <c r="AF870" s="117"/>
      <c r="AG870" s="117"/>
      <c r="AH870" s="117"/>
      <c r="AI870" s="117"/>
      <c r="AJ870" s="117"/>
      <c r="AK870" s="182"/>
      <c r="AL870" s="165"/>
      <c r="AM870" s="109"/>
      <c r="AN870" s="109"/>
      <c r="AO870" s="109"/>
      <c r="AP870" s="109"/>
      <c r="AQ870" s="109"/>
      <c r="AR870" s="109"/>
      <c r="AS870" s="166"/>
      <c r="AT870" s="165"/>
      <c r="AU870" s="109"/>
      <c r="AV870" s="109"/>
      <c r="AW870" s="109"/>
      <c r="AX870" s="109"/>
      <c r="AY870" s="109"/>
      <c r="AZ870" s="166"/>
      <c r="BA870" s="162"/>
      <c r="BB870" s="109"/>
      <c r="BC870" s="109"/>
    </row>
    <row r="871" spans="2:55" ht="75" customHeight="1">
      <c r="B871" s="109"/>
      <c r="C871" s="109"/>
      <c r="D871" s="109"/>
      <c r="E871" s="161"/>
      <c r="F871" s="165"/>
      <c r="G871" s="109"/>
      <c r="H871" s="109"/>
      <c r="I871" s="109"/>
      <c r="J871" s="109"/>
      <c r="K871" s="109"/>
      <c r="L871" s="109"/>
      <c r="M871" s="166"/>
      <c r="N871" s="108"/>
      <c r="O871" s="162"/>
      <c r="P871" s="162"/>
      <c r="Q871" s="109"/>
      <c r="R871" s="109"/>
      <c r="S871" s="109"/>
      <c r="T871" s="109"/>
      <c r="U871" s="109"/>
      <c r="V871" s="166"/>
      <c r="W871" s="165"/>
      <c r="X871" s="109"/>
      <c r="Y871" s="109"/>
      <c r="Z871" s="109"/>
      <c r="AA871" s="109"/>
      <c r="AB871" s="109"/>
      <c r="AC871" s="109"/>
      <c r="AD871" s="166"/>
      <c r="AE871" s="174"/>
      <c r="AF871" s="117"/>
      <c r="AG871" s="117"/>
      <c r="AH871" s="117"/>
      <c r="AI871" s="117"/>
      <c r="AJ871" s="117"/>
      <c r="AK871" s="182"/>
      <c r="AL871" s="165"/>
      <c r="AM871" s="109"/>
      <c r="AN871" s="109"/>
      <c r="AO871" s="109"/>
      <c r="AP871" s="109"/>
      <c r="AQ871" s="109"/>
      <c r="AR871" s="109"/>
      <c r="AS871" s="166"/>
      <c r="AT871" s="165"/>
      <c r="AU871" s="109"/>
      <c r="AV871" s="109"/>
      <c r="AW871" s="109"/>
      <c r="AX871" s="109"/>
      <c r="AY871" s="109"/>
      <c r="AZ871" s="166"/>
      <c r="BA871" s="162"/>
      <c r="BB871" s="109"/>
      <c r="BC871" s="109"/>
    </row>
    <row r="872" spans="2:55" ht="75" customHeight="1">
      <c r="B872" s="109"/>
      <c r="C872" s="109"/>
      <c r="D872" s="109"/>
      <c r="E872" s="161"/>
      <c r="F872" s="165"/>
      <c r="G872" s="109"/>
      <c r="H872" s="109"/>
      <c r="I872" s="109"/>
      <c r="J872" s="109"/>
      <c r="K872" s="109"/>
      <c r="L872" s="109"/>
      <c r="M872" s="166"/>
      <c r="N872" s="108"/>
      <c r="O872" s="162"/>
      <c r="P872" s="162"/>
      <c r="Q872" s="109"/>
      <c r="R872" s="109"/>
      <c r="S872" s="109"/>
      <c r="T872" s="109"/>
      <c r="U872" s="109"/>
      <c r="V872" s="166"/>
      <c r="W872" s="165"/>
      <c r="X872" s="109"/>
      <c r="Y872" s="109"/>
      <c r="Z872" s="109"/>
      <c r="AA872" s="109"/>
      <c r="AB872" s="109"/>
      <c r="AC872" s="109"/>
      <c r="AD872" s="166"/>
      <c r="AE872" s="174"/>
      <c r="AF872" s="117"/>
      <c r="AG872" s="117"/>
      <c r="AH872" s="117"/>
      <c r="AI872" s="117"/>
      <c r="AJ872" s="117"/>
      <c r="AK872" s="182"/>
      <c r="AL872" s="165"/>
      <c r="AM872" s="109"/>
      <c r="AN872" s="109"/>
      <c r="AO872" s="109"/>
      <c r="AP872" s="109"/>
      <c r="AQ872" s="109"/>
      <c r="AR872" s="109"/>
      <c r="AS872" s="166"/>
      <c r="AT872" s="165"/>
      <c r="AU872" s="109"/>
      <c r="AV872" s="109"/>
      <c r="AW872" s="109"/>
      <c r="AX872" s="109"/>
      <c r="AY872" s="109"/>
      <c r="AZ872" s="166"/>
      <c r="BA872" s="162"/>
      <c r="BB872" s="109"/>
      <c r="BC872" s="109"/>
    </row>
    <row r="873" spans="2:55" ht="75" customHeight="1">
      <c r="B873" s="109"/>
      <c r="C873" s="109"/>
      <c r="D873" s="109"/>
      <c r="E873" s="161"/>
      <c r="F873" s="165"/>
      <c r="G873" s="109"/>
      <c r="H873" s="109"/>
      <c r="I873" s="109"/>
      <c r="J873" s="109"/>
      <c r="K873" s="109"/>
      <c r="L873" s="109"/>
      <c r="M873" s="166"/>
      <c r="N873" s="108"/>
      <c r="O873" s="162"/>
      <c r="P873" s="162"/>
      <c r="Q873" s="109"/>
      <c r="R873" s="109"/>
      <c r="S873" s="109"/>
      <c r="T873" s="109"/>
      <c r="U873" s="109"/>
      <c r="V873" s="166"/>
      <c r="W873" s="165"/>
      <c r="X873" s="109"/>
      <c r="Y873" s="109"/>
      <c r="Z873" s="109"/>
      <c r="AA873" s="109"/>
      <c r="AB873" s="109"/>
      <c r="AC873" s="109"/>
      <c r="AD873" s="166"/>
      <c r="AE873" s="174"/>
      <c r="AF873" s="117"/>
      <c r="AG873" s="117"/>
      <c r="AH873" s="117"/>
      <c r="AI873" s="117"/>
      <c r="AJ873" s="117"/>
      <c r="AK873" s="182"/>
      <c r="AL873" s="165"/>
      <c r="AM873" s="109"/>
      <c r="AN873" s="109"/>
      <c r="AO873" s="109"/>
      <c r="AP873" s="109"/>
      <c r="AQ873" s="109"/>
      <c r="AR873" s="109"/>
      <c r="AS873" s="166"/>
      <c r="AT873" s="165"/>
      <c r="AU873" s="109"/>
      <c r="AV873" s="109"/>
      <c r="AW873" s="109"/>
      <c r="AX873" s="109"/>
      <c r="AY873" s="109"/>
      <c r="AZ873" s="166"/>
      <c r="BA873" s="162"/>
      <c r="BB873" s="109"/>
      <c r="BC873" s="109"/>
    </row>
    <row r="874" spans="2:55" ht="75" customHeight="1">
      <c r="B874" s="109"/>
      <c r="C874" s="109"/>
      <c r="D874" s="109"/>
      <c r="E874" s="161"/>
      <c r="F874" s="165"/>
      <c r="G874" s="109"/>
      <c r="H874" s="109"/>
      <c r="I874" s="109"/>
      <c r="J874" s="109"/>
      <c r="K874" s="109"/>
      <c r="L874" s="109"/>
      <c r="M874" s="166"/>
      <c r="N874" s="108"/>
      <c r="O874" s="162"/>
      <c r="P874" s="162"/>
      <c r="Q874" s="109"/>
      <c r="R874" s="109"/>
      <c r="S874" s="109"/>
      <c r="T874" s="109"/>
      <c r="U874" s="109"/>
      <c r="V874" s="166"/>
      <c r="W874" s="165"/>
      <c r="X874" s="109"/>
      <c r="Y874" s="109"/>
      <c r="Z874" s="109"/>
      <c r="AA874" s="109"/>
      <c r="AB874" s="109"/>
      <c r="AC874" s="109"/>
      <c r="AD874" s="166"/>
      <c r="AE874" s="174"/>
      <c r="AF874" s="117"/>
      <c r="AG874" s="117"/>
      <c r="AH874" s="117"/>
      <c r="AI874" s="117"/>
      <c r="AJ874" s="117"/>
      <c r="AK874" s="182"/>
      <c r="AL874" s="165"/>
      <c r="AM874" s="109"/>
      <c r="AN874" s="109"/>
      <c r="AO874" s="109"/>
      <c r="AP874" s="109"/>
      <c r="AQ874" s="109"/>
      <c r="AR874" s="109"/>
      <c r="AS874" s="166"/>
      <c r="AT874" s="165"/>
      <c r="AU874" s="109"/>
      <c r="AV874" s="109"/>
      <c r="AW874" s="109"/>
      <c r="AX874" s="109"/>
      <c r="AY874" s="109"/>
      <c r="AZ874" s="166"/>
      <c r="BA874" s="162"/>
      <c r="BB874" s="109"/>
      <c r="BC874" s="109"/>
    </row>
    <row r="875" spans="2:55" ht="75" customHeight="1">
      <c r="B875" s="109"/>
      <c r="C875" s="109"/>
      <c r="D875" s="109"/>
      <c r="E875" s="161"/>
      <c r="F875" s="165"/>
      <c r="G875" s="109"/>
      <c r="H875" s="109"/>
      <c r="I875" s="109"/>
      <c r="J875" s="109"/>
      <c r="K875" s="109"/>
      <c r="L875" s="109"/>
      <c r="M875" s="166"/>
      <c r="N875" s="108"/>
      <c r="O875" s="162"/>
      <c r="P875" s="162"/>
      <c r="Q875" s="109"/>
      <c r="R875" s="109"/>
      <c r="S875" s="109"/>
      <c r="T875" s="109"/>
      <c r="U875" s="109"/>
      <c r="V875" s="166"/>
      <c r="W875" s="165"/>
      <c r="X875" s="109"/>
      <c r="Y875" s="109"/>
      <c r="Z875" s="109"/>
      <c r="AA875" s="109"/>
      <c r="AB875" s="109"/>
      <c r="AC875" s="109"/>
      <c r="AD875" s="166"/>
      <c r="AE875" s="174"/>
      <c r="AF875" s="117"/>
      <c r="AG875" s="117"/>
      <c r="AH875" s="117"/>
      <c r="AI875" s="117"/>
      <c r="AJ875" s="117"/>
      <c r="AK875" s="182"/>
      <c r="AL875" s="165"/>
      <c r="AM875" s="109"/>
      <c r="AN875" s="109"/>
      <c r="AO875" s="109"/>
      <c r="AP875" s="109"/>
      <c r="AQ875" s="109"/>
      <c r="AR875" s="109"/>
      <c r="AS875" s="166"/>
      <c r="AT875" s="165"/>
      <c r="AU875" s="109"/>
      <c r="AV875" s="109"/>
      <c r="AW875" s="109"/>
      <c r="AX875" s="109"/>
      <c r="AY875" s="109"/>
      <c r="AZ875" s="166"/>
      <c r="BA875" s="162"/>
      <c r="BB875" s="109"/>
      <c r="BC875" s="109"/>
    </row>
    <row r="876" spans="2:55" ht="75" customHeight="1">
      <c r="B876" s="109"/>
      <c r="C876" s="109"/>
      <c r="D876" s="109"/>
      <c r="E876" s="161"/>
      <c r="F876" s="165"/>
      <c r="G876" s="109"/>
      <c r="H876" s="109"/>
      <c r="I876" s="109"/>
      <c r="J876" s="109"/>
      <c r="K876" s="109"/>
      <c r="L876" s="109"/>
      <c r="M876" s="166"/>
      <c r="N876" s="108"/>
      <c r="O876" s="162"/>
      <c r="P876" s="162"/>
      <c r="Q876" s="109"/>
      <c r="R876" s="109"/>
      <c r="S876" s="109"/>
      <c r="T876" s="109"/>
      <c r="U876" s="109"/>
      <c r="V876" s="166"/>
      <c r="W876" s="165"/>
      <c r="X876" s="109"/>
      <c r="Y876" s="109"/>
      <c r="Z876" s="109"/>
      <c r="AA876" s="109"/>
      <c r="AB876" s="109"/>
      <c r="AC876" s="109"/>
      <c r="AD876" s="166"/>
      <c r="AE876" s="174"/>
      <c r="AF876" s="117"/>
      <c r="AG876" s="117"/>
      <c r="AH876" s="117"/>
      <c r="AI876" s="117"/>
      <c r="AJ876" s="117"/>
      <c r="AK876" s="182"/>
      <c r="AL876" s="165"/>
      <c r="AM876" s="109"/>
      <c r="AN876" s="109"/>
      <c r="AO876" s="109"/>
      <c r="AP876" s="109"/>
      <c r="AQ876" s="109"/>
      <c r="AR876" s="109"/>
      <c r="AS876" s="166"/>
      <c r="AT876" s="165"/>
      <c r="AU876" s="109"/>
      <c r="AV876" s="109"/>
      <c r="AW876" s="109"/>
      <c r="AX876" s="109"/>
      <c r="AY876" s="109"/>
      <c r="AZ876" s="166"/>
      <c r="BA876" s="162"/>
      <c r="BB876" s="109"/>
      <c r="BC876" s="109"/>
    </row>
    <row r="877" spans="2:55" ht="75" customHeight="1">
      <c r="B877" s="109"/>
      <c r="C877" s="109"/>
      <c r="D877" s="109"/>
      <c r="E877" s="161"/>
      <c r="F877" s="165"/>
      <c r="G877" s="109"/>
      <c r="H877" s="109"/>
      <c r="I877" s="109"/>
      <c r="J877" s="109"/>
      <c r="K877" s="109"/>
      <c r="L877" s="109"/>
      <c r="M877" s="166"/>
      <c r="N877" s="108"/>
      <c r="O877" s="162"/>
      <c r="P877" s="162"/>
      <c r="Q877" s="109"/>
      <c r="R877" s="109"/>
      <c r="S877" s="109"/>
      <c r="T877" s="109"/>
      <c r="U877" s="109"/>
      <c r="V877" s="166"/>
      <c r="W877" s="165"/>
      <c r="X877" s="109"/>
      <c r="Y877" s="109"/>
      <c r="Z877" s="109"/>
      <c r="AA877" s="109"/>
      <c r="AB877" s="109"/>
      <c r="AC877" s="109"/>
      <c r="AD877" s="166"/>
      <c r="AE877" s="174"/>
      <c r="AF877" s="117"/>
      <c r="AG877" s="117"/>
      <c r="AH877" s="117"/>
      <c r="AI877" s="117"/>
      <c r="AJ877" s="117"/>
      <c r="AK877" s="182"/>
      <c r="AL877" s="165"/>
      <c r="AM877" s="109"/>
      <c r="AN877" s="109"/>
      <c r="AO877" s="109"/>
      <c r="AP877" s="109"/>
      <c r="AQ877" s="109"/>
      <c r="AR877" s="109"/>
      <c r="AS877" s="166"/>
      <c r="AT877" s="165"/>
      <c r="AU877" s="109"/>
      <c r="AV877" s="109"/>
      <c r="AW877" s="109"/>
      <c r="AX877" s="109"/>
      <c r="AY877" s="109"/>
      <c r="AZ877" s="166"/>
      <c r="BA877" s="162"/>
      <c r="BB877" s="109"/>
      <c r="BC877" s="109"/>
    </row>
    <row r="878" spans="2:55" ht="75" customHeight="1">
      <c r="B878" s="109"/>
      <c r="C878" s="109"/>
      <c r="D878" s="109"/>
      <c r="E878" s="161"/>
      <c r="F878" s="165"/>
      <c r="G878" s="109"/>
      <c r="H878" s="109"/>
      <c r="I878" s="109"/>
      <c r="J878" s="109"/>
      <c r="K878" s="109"/>
      <c r="L878" s="109"/>
      <c r="M878" s="166"/>
      <c r="N878" s="108"/>
      <c r="O878" s="162"/>
      <c r="P878" s="162"/>
      <c r="Q878" s="109"/>
      <c r="R878" s="109"/>
      <c r="S878" s="109"/>
      <c r="T878" s="109"/>
      <c r="U878" s="109"/>
      <c r="V878" s="166"/>
      <c r="W878" s="165"/>
      <c r="X878" s="109"/>
      <c r="Y878" s="109"/>
      <c r="Z878" s="109"/>
      <c r="AA878" s="109"/>
      <c r="AB878" s="109"/>
      <c r="AC878" s="109"/>
      <c r="AD878" s="166"/>
      <c r="AE878" s="174"/>
      <c r="AF878" s="117"/>
      <c r="AG878" s="117"/>
      <c r="AH878" s="117"/>
      <c r="AI878" s="117"/>
      <c r="AJ878" s="117"/>
      <c r="AK878" s="182"/>
      <c r="AL878" s="165"/>
      <c r="AM878" s="109"/>
      <c r="AN878" s="109"/>
      <c r="AO878" s="109"/>
      <c r="AP878" s="109"/>
      <c r="AQ878" s="109"/>
      <c r="AR878" s="109"/>
      <c r="AS878" s="166"/>
      <c r="AT878" s="165"/>
      <c r="AU878" s="109"/>
      <c r="AV878" s="109"/>
      <c r="AW878" s="109"/>
      <c r="AX878" s="109"/>
      <c r="AY878" s="109"/>
      <c r="AZ878" s="166"/>
      <c r="BA878" s="162"/>
      <c r="BB878" s="109"/>
      <c r="BC878" s="109"/>
    </row>
    <row r="879" spans="2:55" ht="75" customHeight="1">
      <c r="B879" s="109"/>
      <c r="C879" s="109"/>
      <c r="D879" s="109"/>
      <c r="E879" s="161"/>
      <c r="F879" s="165"/>
      <c r="G879" s="109"/>
      <c r="H879" s="109"/>
      <c r="I879" s="109"/>
      <c r="J879" s="109"/>
      <c r="K879" s="109"/>
      <c r="L879" s="109"/>
      <c r="M879" s="166"/>
      <c r="N879" s="108"/>
      <c r="O879" s="162"/>
      <c r="P879" s="162"/>
      <c r="Q879" s="109"/>
      <c r="R879" s="109"/>
      <c r="S879" s="109"/>
      <c r="T879" s="109"/>
      <c r="U879" s="109"/>
      <c r="V879" s="166"/>
      <c r="W879" s="165"/>
      <c r="X879" s="109"/>
      <c r="Y879" s="109"/>
      <c r="Z879" s="109"/>
      <c r="AA879" s="109"/>
      <c r="AB879" s="109"/>
      <c r="AC879" s="109"/>
      <c r="AD879" s="166"/>
      <c r="AE879" s="174"/>
      <c r="AF879" s="117"/>
      <c r="AG879" s="117"/>
      <c r="AH879" s="117"/>
      <c r="AI879" s="117"/>
      <c r="AJ879" s="117"/>
      <c r="AK879" s="182"/>
      <c r="AL879" s="165"/>
      <c r="AM879" s="109"/>
      <c r="AN879" s="109"/>
      <c r="AO879" s="109"/>
      <c r="AP879" s="109"/>
      <c r="AQ879" s="109"/>
      <c r="AR879" s="109"/>
      <c r="AS879" s="166"/>
      <c r="AT879" s="165"/>
      <c r="AU879" s="109"/>
      <c r="AV879" s="109"/>
      <c r="AW879" s="109"/>
      <c r="AX879" s="109"/>
      <c r="AY879" s="109"/>
      <c r="AZ879" s="166"/>
      <c r="BA879" s="162"/>
      <c r="BB879" s="109"/>
      <c r="BC879" s="109"/>
    </row>
    <row r="880" spans="2:55" ht="75" customHeight="1">
      <c r="B880" s="109"/>
      <c r="C880" s="109"/>
      <c r="D880" s="109"/>
      <c r="E880" s="161"/>
      <c r="F880" s="165"/>
      <c r="G880" s="109"/>
      <c r="H880" s="109"/>
      <c r="I880" s="109"/>
      <c r="J880" s="109"/>
      <c r="K880" s="109"/>
      <c r="L880" s="109"/>
      <c r="M880" s="166"/>
      <c r="N880" s="108"/>
      <c r="O880" s="162"/>
      <c r="P880" s="162"/>
      <c r="Q880" s="109"/>
      <c r="R880" s="109"/>
      <c r="S880" s="109"/>
      <c r="T880" s="109"/>
      <c r="U880" s="109"/>
      <c r="V880" s="166"/>
      <c r="W880" s="165"/>
      <c r="X880" s="109"/>
      <c r="Y880" s="109"/>
      <c r="Z880" s="109"/>
      <c r="AA880" s="109"/>
      <c r="AB880" s="109"/>
      <c r="AC880" s="109"/>
      <c r="AD880" s="166"/>
      <c r="AE880" s="174"/>
      <c r="AF880" s="117"/>
      <c r="AG880" s="117"/>
      <c r="AH880" s="117"/>
      <c r="AI880" s="117"/>
      <c r="AJ880" s="117"/>
      <c r="AK880" s="182"/>
      <c r="AL880" s="165"/>
      <c r="AM880" s="109"/>
      <c r="AN880" s="109"/>
      <c r="AO880" s="109"/>
      <c r="AP880" s="109"/>
      <c r="AQ880" s="109"/>
      <c r="AR880" s="109"/>
      <c r="AS880" s="166"/>
      <c r="AT880" s="165"/>
      <c r="AU880" s="109"/>
      <c r="AV880" s="109"/>
      <c r="AW880" s="109"/>
      <c r="AX880" s="109"/>
      <c r="AY880" s="109"/>
      <c r="AZ880" s="166"/>
      <c r="BA880" s="162"/>
      <c r="BB880" s="109"/>
      <c r="BC880" s="109"/>
    </row>
    <row r="881" spans="2:55" ht="75" customHeight="1">
      <c r="B881" s="109"/>
      <c r="C881" s="109"/>
      <c r="D881" s="109"/>
      <c r="E881" s="161"/>
      <c r="F881" s="165"/>
      <c r="G881" s="109"/>
      <c r="H881" s="109"/>
      <c r="I881" s="109"/>
      <c r="J881" s="109"/>
      <c r="K881" s="109"/>
      <c r="L881" s="109"/>
      <c r="M881" s="166"/>
      <c r="N881" s="108"/>
      <c r="O881" s="162"/>
      <c r="P881" s="162"/>
      <c r="Q881" s="109"/>
      <c r="R881" s="109"/>
      <c r="S881" s="109"/>
      <c r="T881" s="109"/>
      <c r="U881" s="109"/>
      <c r="V881" s="166"/>
      <c r="W881" s="165"/>
      <c r="X881" s="109"/>
      <c r="Y881" s="109"/>
      <c r="Z881" s="109"/>
      <c r="AA881" s="109"/>
      <c r="AB881" s="109"/>
      <c r="AC881" s="109"/>
      <c r="AD881" s="166"/>
      <c r="AE881" s="174"/>
      <c r="AF881" s="117"/>
      <c r="AG881" s="117"/>
      <c r="AH881" s="117"/>
      <c r="AI881" s="117"/>
      <c r="AJ881" s="117"/>
      <c r="AK881" s="182"/>
      <c r="AL881" s="165"/>
      <c r="AM881" s="109"/>
      <c r="AN881" s="109"/>
      <c r="AO881" s="109"/>
      <c r="AP881" s="109"/>
      <c r="AQ881" s="109"/>
      <c r="AR881" s="109"/>
      <c r="AS881" s="166"/>
      <c r="AT881" s="165"/>
      <c r="AU881" s="109"/>
      <c r="AV881" s="109"/>
      <c r="AW881" s="109"/>
      <c r="AX881" s="109"/>
      <c r="AY881" s="109"/>
      <c r="AZ881" s="166"/>
      <c r="BA881" s="162"/>
      <c r="BB881" s="109"/>
      <c r="BC881" s="109"/>
    </row>
    <row r="882" spans="2:55" ht="75" customHeight="1">
      <c r="B882" s="109"/>
      <c r="C882" s="109"/>
      <c r="D882" s="109"/>
      <c r="E882" s="161"/>
      <c r="F882" s="165"/>
      <c r="G882" s="109"/>
      <c r="H882" s="109"/>
      <c r="I882" s="109"/>
      <c r="J882" s="109"/>
      <c r="K882" s="109"/>
      <c r="L882" s="109"/>
      <c r="M882" s="166"/>
      <c r="N882" s="108"/>
      <c r="O882" s="162"/>
      <c r="P882" s="162"/>
      <c r="Q882" s="109"/>
      <c r="R882" s="109"/>
      <c r="S882" s="109"/>
      <c r="T882" s="109"/>
      <c r="U882" s="109"/>
      <c r="V882" s="166"/>
      <c r="W882" s="165"/>
      <c r="X882" s="109"/>
      <c r="Y882" s="109"/>
      <c r="Z882" s="109"/>
      <c r="AA882" s="109"/>
      <c r="AB882" s="109"/>
      <c r="AC882" s="109"/>
      <c r="AD882" s="166"/>
      <c r="AE882" s="174"/>
      <c r="AF882" s="117"/>
      <c r="AG882" s="117"/>
      <c r="AH882" s="117"/>
      <c r="AI882" s="117"/>
      <c r="AJ882" s="117"/>
      <c r="AK882" s="182"/>
      <c r="AL882" s="165"/>
      <c r="AM882" s="109"/>
      <c r="AN882" s="109"/>
      <c r="AO882" s="109"/>
      <c r="AP882" s="109"/>
      <c r="AQ882" s="109"/>
      <c r="AR882" s="109"/>
      <c r="AS882" s="166"/>
      <c r="AT882" s="165"/>
      <c r="AU882" s="109"/>
      <c r="AV882" s="109"/>
      <c r="AW882" s="109"/>
      <c r="AX882" s="109"/>
      <c r="AY882" s="109"/>
      <c r="AZ882" s="166"/>
      <c r="BA882" s="162"/>
      <c r="BB882" s="109"/>
      <c r="BC882" s="109"/>
    </row>
    <row r="883" spans="2:55" ht="75" customHeight="1">
      <c r="B883" s="109"/>
      <c r="C883" s="109"/>
      <c r="D883" s="109"/>
      <c r="E883" s="161"/>
      <c r="F883" s="165"/>
      <c r="G883" s="109"/>
      <c r="H883" s="109"/>
      <c r="I883" s="109"/>
      <c r="J883" s="109"/>
      <c r="K883" s="109"/>
      <c r="L883" s="109"/>
      <c r="M883" s="166"/>
      <c r="N883" s="108"/>
      <c r="O883" s="162"/>
      <c r="P883" s="162"/>
      <c r="Q883" s="109"/>
      <c r="R883" s="109"/>
      <c r="S883" s="109"/>
      <c r="T883" s="109"/>
      <c r="U883" s="109"/>
      <c r="V883" s="166"/>
      <c r="W883" s="165"/>
      <c r="X883" s="109"/>
      <c r="Y883" s="109"/>
      <c r="Z883" s="109"/>
      <c r="AA883" s="109"/>
      <c r="AB883" s="109"/>
      <c r="AC883" s="109"/>
      <c r="AD883" s="166"/>
      <c r="AE883" s="174"/>
      <c r="AF883" s="117"/>
      <c r="AG883" s="117"/>
      <c r="AH883" s="117"/>
      <c r="AI883" s="117"/>
      <c r="AJ883" s="117"/>
      <c r="AK883" s="182"/>
      <c r="AL883" s="165"/>
      <c r="AM883" s="109"/>
      <c r="AN883" s="109"/>
      <c r="AO883" s="109"/>
      <c r="AP883" s="109"/>
      <c r="AQ883" s="109"/>
      <c r="AR883" s="109"/>
      <c r="AS883" s="166"/>
      <c r="AT883" s="165"/>
      <c r="AU883" s="109"/>
      <c r="AV883" s="109"/>
      <c r="AW883" s="109"/>
      <c r="AX883" s="109"/>
      <c r="AY883" s="109"/>
      <c r="AZ883" s="166"/>
      <c r="BA883" s="162"/>
      <c r="BB883" s="109"/>
      <c r="BC883" s="109"/>
    </row>
    <row r="884" spans="2:55" ht="75" customHeight="1">
      <c r="B884" s="109"/>
      <c r="C884" s="109"/>
      <c r="D884" s="109"/>
      <c r="E884" s="161"/>
      <c r="F884" s="165"/>
      <c r="G884" s="109"/>
      <c r="H884" s="109"/>
      <c r="I884" s="109"/>
      <c r="J884" s="109"/>
      <c r="K884" s="109"/>
      <c r="L884" s="109"/>
      <c r="M884" s="166"/>
      <c r="N884" s="108"/>
      <c r="O884" s="162"/>
      <c r="P884" s="162"/>
      <c r="Q884" s="109"/>
      <c r="R884" s="109"/>
      <c r="S884" s="109"/>
      <c r="T884" s="109"/>
      <c r="U884" s="109"/>
      <c r="V884" s="166"/>
      <c r="W884" s="165"/>
      <c r="X884" s="109"/>
      <c r="Y884" s="109"/>
      <c r="Z884" s="109"/>
      <c r="AA884" s="109"/>
      <c r="AB884" s="109"/>
      <c r="AC884" s="109"/>
      <c r="AD884" s="166"/>
      <c r="AE884" s="174"/>
      <c r="AF884" s="117"/>
      <c r="AG884" s="117"/>
      <c r="AH884" s="117"/>
      <c r="AI884" s="117"/>
      <c r="AJ884" s="117"/>
      <c r="AK884" s="182"/>
      <c r="AL884" s="165"/>
      <c r="AM884" s="109"/>
      <c r="AN884" s="109"/>
      <c r="AO884" s="109"/>
      <c r="AP884" s="109"/>
      <c r="AQ884" s="109"/>
      <c r="AR884" s="109"/>
      <c r="AS884" s="166"/>
      <c r="AT884" s="165"/>
      <c r="AU884" s="109"/>
      <c r="AV884" s="109"/>
      <c r="AW884" s="109"/>
      <c r="AX884" s="109"/>
      <c r="AY884" s="109"/>
      <c r="AZ884" s="166"/>
      <c r="BA884" s="162"/>
      <c r="BB884" s="109"/>
      <c r="BC884" s="109"/>
    </row>
    <row r="885" spans="2:55" ht="75" customHeight="1">
      <c r="B885" s="109"/>
      <c r="C885" s="109"/>
      <c r="D885" s="109"/>
      <c r="E885" s="161"/>
      <c r="F885" s="165"/>
      <c r="G885" s="109"/>
      <c r="H885" s="109"/>
      <c r="I885" s="109"/>
      <c r="J885" s="109"/>
      <c r="K885" s="109"/>
      <c r="L885" s="109"/>
      <c r="M885" s="166"/>
      <c r="N885" s="108"/>
      <c r="O885" s="162"/>
      <c r="P885" s="162"/>
      <c r="Q885" s="109"/>
      <c r="R885" s="109"/>
      <c r="S885" s="109"/>
      <c r="T885" s="109"/>
      <c r="U885" s="109"/>
      <c r="V885" s="166"/>
      <c r="W885" s="165"/>
      <c r="X885" s="109"/>
      <c r="Y885" s="109"/>
      <c r="Z885" s="109"/>
      <c r="AA885" s="109"/>
      <c r="AB885" s="109"/>
      <c r="AC885" s="109"/>
      <c r="AD885" s="166"/>
      <c r="AE885" s="174"/>
      <c r="AF885" s="117"/>
      <c r="AG885" s="117"/>
      <c r="AH885" s="117"/>
      <c r="AI885" s="117"/>
      <c r="AJ885" s="117"/>
      <c r="AK885" s="182"/>
      <c r="AL885" s="165"/>
      <c r="AM885" s="109"/>
      <c r="AN885" s="109"/>
      <c r="AO885" s="109"/>
      <c r="AP885" s="109"/>
      <c r="AQ885" s="109"/>
      <c r="AR885" s="109"/>
      <c r="AS885" s="166"/>
      <c r="AT885" s="165"/>
      <c r="AU885" s="109"/>
      <c r="AV885" s="109"/>
      <c r="AW885" s="109"/>
      <c r="AX885" s="109"/>
      <c r="AY885" s="109"/>
      <c r="AZ885" s="166"/>
      <c r="BA885" s="162"/>
      <c r="BB885" s="109"/>
      <c r="BC885" s="109"/>
    </row>
    <row r="886" spans="2:55" ht="75" customHeight="1">
      <c r="B886" s="109"/>
      <c r="C886" s="109"/>
      <c r="D886" s="109"/>
      <c r="E886" s="161"/>
      <c r="F886" s="165"/>
      <c r="G886" s="109"/>
      <c r="H886" s="109"/>
      <c r="I886" s="109"/>
      <c r="J886" s="109"/>
      <c r="K886" s="109"/>
      <c r="L886" s="109"/>
      <c r="M886" s="166"/>
      <c r="N886" s="108"/>
      <c r="O886" s="162"/>
      <c r="P886" s="162"/>
      <c r="Q886" s="109"/>
      <c r="R886" s="109"/>
      <c r="S886" s="109"/>
      <c r="T886" s="109"/>
      <c r="U886" s="109"/>
      <c r="V886" s="166"/>
      <c r="W886" s="165"/>
      <c r="X886" s="109"/>
      <c r="Y886" s="109"/>
      <c r="Z886" s="109"/>
      <c r="AA886" s="109"/>
      <c r="AB886" s="109"/>
      <c r="AC886" s="109"/>
      <c r="AD886" s="166"/>
      <c r="AE886" s="174"/>
      <c r="AF886" s="117"/>
      <c r="AG886" s="117"/>
      <c r="AH886" s="117"/>
      <c r="AI886" s="117"/>
      <c r="AJ886" s="117"/>
      <c r="AK886" s="182"/>
      <c r="AL886" s="165"/>
      <c r="AM886" s="109"/>
      <c r="AN886" s="109"/>
      <c r="AO886" s="109"/>
      <c r="AP886" s="109"/>
      <c r="AQ886" s="109"/>
      <c r="AR886" s="109"/>
      <c r="AS886" s="166"/>
      <c r="AT886" s="165"/>
      <c r="AU886" s="109"/>
      <c r="AV886" s="109"/>
      <c r="AW886" s="109"/>
      <c r="AX886" s="109"/>
      <c r="AY886" s="109"/>
      <c r="AZ886" s="166"/>
      <c r="BA886" s="162"/>
      <c r="BB886" s="109"/>
      <c r="BC886" s="109"/>
    </row>
    <row r="887" spans="2:55" ht="75" customHeight="1">
      <c r="B887" s="109"/>
      <c r="C887" s="109"/>
      <c r="D887" s="109"/>
      <c r="E887" s="161"/>
      <c r="F887" s="165"/>
      <c r="G887" s="109"/>
      <c r="H887" s="109"/>
      <c r="I887" s="109"/>
      <c r="J887" s="109"/>
      <c r="K887" s="109"/>
      <c r="L887" s="109"/>
      <c r="M887" s="166"/>
      <c r="N887" s="108"/>
      <c r="O887" s="162"/>
      <c r="P887" s="162"/>
      <c r="Q887" s="109"/>
      <c r="R887" s="109"/>
      <c r="S887" s="109"/>
      <c r="T887" s="109"/>
      <c r="U887" s="109"/>
      <c r="V887" s="166"/>
      <c r="W887" s="165"/>
      <c r="X887" s="109"/>
      <c r="Y887" s="109"/>
      <c r="Z887" s="109"/>
      <c r="AA887" s="109"/>
      <c r="AB887" s="109"/>
      <c r="AC887" s="109"/>
      <c r="AD887" s="166"/>
      <c r="AE887" s="174"/>
      <c r="AF887" s="117"/>
      <c r="AG887" s="117"/>
      <c r="AH887" s="117"/>
      <c r="AI887" s="117"/>
      <c r="AJ887" s="117"/>
      <c r="AK887" s="182"/>
      <c r="AL887" s="165"/>
      <c r="AM887" s="109"/>
      <c r="AN887" s="109"/>
      <c r="AO887" s="109"/>
      <c r="AP887" s="109"/>
      <c r="AQ887" s="109"/>
      <c r="AR887" s="109"/>
      <c r="AS887" s="166"/>
      <c r="AT887" s="165"/>
      <c r="AU887" s="109"/>
      <c r="AV887" s="109"/>
      <c r="AW887" s="109"/>
      <c r="AX887" s="109"/>
      <c r="AY887" s="109"/>
      <c r="AZ887" s="166"/>
      <c r="BA887" s="162"/>
      <c r="BB887" s="109"/>
      <c r="BC887" s="109"/>
    </row>
    <row r="888" spans="2:55" ht="75" customHeight="1">
      <c r="B888" s="109"/>
      <c r="C888" s="109"/>
      <c r="D888" s="109"/>
      <c r="E888" s="161"/>
      <c r="F888" s="165"/>
      <c r="G888" s="109"/>
      <c r="H888" s="109"/>
      <c r="I888" s="109"/>
      <c r="J888" s="109"/>
      <c r="K888" s="109"/>
      <c r="L888" s="109"/>
      <c r="M888" s="166"/>
      <c r="N888" s="108"/>
      <c r="O888" s="162"/>
      <c r="P888" s="162"/>
      <c r="Q888" s="109"/>
      <c r="R888" s="109"/>
      <c r="S888" s="109"/>
      <c r="T888" s="109"/>
      <c r="U888" s="109"/>
      <c r="V888" s="166"/>
      <c r="W888" s="165"/>
      <c r="X888" s="109"/>
      <c r="Y888" s="109"/>
      <c r="Z888" s="109"/>
      <c r="AA888" s="109"/>
      <c r="AB888" s="109"/>
      <c r="AC888" s="109"/>
      <c r="AD888" s="166"/>
      <c r="AE888" s="174"/>
      <c r="AF888" s="117"/>
      <c r="AG888" s="117"/>
      <c r="AH888" s="117"/>
      <c r="AI888" s="117"/>
      <c r="AJ888" s="117"/>
      <c r="AK888" s="182"/>
      <c r="AL888" s="165"/>
      <c r="AM888" s="109"/>
      <c r="AN888" s="109"/>
      <c r="AO888" s="109"/>
      <c r="AP888" s="109"/>
      <c r="AQ888" s="109"/>
      <c r="AR888" s="109"/>
      <c r="AS888" s="166"/>
      <c r="AT888" s="165"/>
      <c r="AU888" s="109"/>
      <c r="AV888" s="109"/>
      <c r="AW888" s="109"/>
      <c r="AX888" s="109"/>
      <c r="AY888" s="109"/>
      <c r="AZ888" s="166"/>
      <c r="BA888" s="162"/>
      <c r="BB888" s="109"/>
      <c r="BC888" s="109"/>
    </row>
    <row r="889" spans="2:55" ht="75" customHeight="1">
      <c r="B889" s="109"/>
      <c r="C889" s="109"/>
      <c r="D889" s="109"/>
      <c r="E889" s="161"/>
      <c r="F889" s="165"/>
      <c r="G889" s="109"/>
      <c r="H889" s="109"/>
      <c r="I889" s="109"/>
      <c r="J889" s="109"/>
      <c r="K889" s="109"/>
      <c r="L889" s="109"/>
      <c r="M889" s="166"/>
      <c r="N889" s="108"/>
      <c r="O889" s="162"/>
      <c r="P889" s="162"/>
      <c r="Q889" s="109"/>
      <c r="R889" s="109"/>
      <c r="S889" s="109"/>
      <c r="T889" s="109"/>
      <c r="U889" s="109"/>
      <c r="V889" s="166"/>
      <c r="W889" s="165"/>
      <c r="X889" s="109"/>
      <c r="Y889" s="109"/>
      <c r="Z889" s="109"/>
      <c r="AA889" s="109"/>
      <c r="AB889" s="109"/>
      <c r="AC889" s="109"/>
      <c r="AD889" s="166"/>
      <c r="AE889" s="174"/>
      <c r="AF889" s="117"/>
      <c r="AG889" s="117"/>
      <c r="AH889" s="117"/>
      <c r="AI889" s="117"/>
      <c r="AJ889" s="117"/>
      <c r="AK889" s="182"/>
      <c r="AL889" s="165"/>
      <c r="AM889" s="109"/>
      <c r="AN889" s="109"/>
      <c r="AO889" s="109"/>
      <c r="AP889" s="109"/>
      <c r="AQ889" s="109"/>
      <c r="AR889" s="109"/>
      <c r="AS889" s="166"/>
      <c r="AT889" s="165"/>
      <c r="AU889" s="109"/>
      <c r="AV889" s="109"/>
      <c r="AW889" s="109"/>
      <c r="AX889" s="109"/>
      <c r="AY889" s="109"/>
      <c r="AZ889" s="166"/>
      <c r="BA889" s="162"/>
      <c r="BB889" s="109"/>
      <c r="BC889" s="109"/>
    </row>
    <row r="890" spans="2:55" ht="75" customHeight="1">
      <c r="B890" s="109"/>
      <c r="C890" s="109"/>
      <c r="D890" s="109"/>
      <c r="E890" s="161"/>
      <c r="F890" s="165"/>
      <c r="G890" s="109"/>
      <c r="H890" s="109"/>
      <c r="I890" s="109"/>
      <c r="J890" s="109"/>
      <c r="K890" s="109"/>
      <c r="L890" s="109"/>
      <c r="M890" s="166"/>
      <c r="N890" s="108"/>
      <c r="O890" s="162"/>
      <c r="P890" s="162"/>
      <c r="Q890" s="109"/>
      <c r="R890" s="109"/>
      <c r="S890" s="109"/>
      <c r="T890" s="109"/>
      <c r="U890" s="109"/>
      <c r="V890" s="166"/>
      <c r="W890" s="165"/>
      <c r="X890" s="109"/>
      <c r="Y890" s="109"/>
      <c r="Z890" s="109"/>
      <c r="AA890" s="109"/>
      <c r="AB890" s="109"/>
      <c r="AC890" s="109"/>
      <c r="AD890" s="166"/>
      <c r="AE890" s="174"/>
      <c r="AF890" s="117"/>
      <c r="AG890" s="117"/>
      <c r="AH890" s="117"/>
      <c r="AI890" s="117"/>
      <c r="AJ890" s="117"/>
      <c r="AK890" s="182"/>
      <c r="AL890" s="165"/>
      <c r="AM890" s="109"/>
      <c r="AN890" s="109"/>
      <c r="AO890" s="109"/>
      <c r="AP890" s="109"/>
      <c r="AQ890" s="109"/>
      <c r="AR890" s="109"/>
      <c r="AS890" s="166"/>
      <c r="AT890" s="165"/>
      <c r="AU890" s="109"/>
      <c r="AV890" s="109"/>
      <c r="AW890" s="109"/>
      <c r="AX890" s="109"/>
      <c r="AY890" s="109"/>
      <c r="AZ890" s="166"/>
      <c r="BA890" s="162"/>
      <c r="BB890" s="109"/>
      <c r="BC890" s="109"/>
    </row>
    <row r="891" spans="2:55" ht="75" customHeight="1">
      <c r="B891" s="109"/>
      <c r="C891" s="109"/>
      <c r="D891" s="109"/>
      <c r="E891" s="161"/>
      <c r="F891" s="165"/>
      <c r="G891" s="109"/>
      <c r="H891" s="109"/>
      <c r="I891" s="109"/>
      <c r="J891" s="109"/>
      <c r="K891" s="109"/>
      <c r="L891" s="109"/>
      <c r="M891" s="166"/>
      <c r="N891" s="108"/>
      <c r="O891" s="162"/>
      <c r="P891" s="162"/>
      <c r="Q891" s="109"/>
      <c r="R891" s="109"/>
      <c r="S891" s="109"/>
      <c r="T891" s="109"/>
      <c r="U891" s="109"/>
      <c r="V891" s="166"/>
      <c r="W891" s="165"/>
      <c r="X891" s="109"/>
      <c r="Y891" s="109"/>
      <c r="Z891" s="109"/>
      <c r="AA891" s="109"/>
      <c r="AB891" s="109"/>
      <c r="AC891" s="109"/>
      <c r="AD891" s="166"/>
      <c r="AE891" s="174"/>
      <c r="AF891" s="117"/>
      <c r="AG891" s="117"/>
      <c r="AH891" s="117"/>
      <c r="AI891" s="117"/>
      <c r="AJ891" s="117"/>
      <c r="AK891" s="182"/>
      <c r="AL891" s="165"/>
      <c r="AM891" s="109"/>
      <c r="AN891" s="109"/>
      <c r="AO891" s="109"/>
      <c r="AP891" s="109"/>
      <c r="AQ891" s="109"/>
      <c r="AR891" s="109"/>
      <c r="AS891" s="166"/>
      <c r="AT891" s="165"/>
      <c r="AU891" s="109"/>
      <c r="AV891" s="109"/>
      <c r="AW891" s="109"/>
      <c r="AX891" s="109"/>
      <c r="AY891" s="109"/>
      <c r="AZ891" s="166"/>
      <c r="BA891" s="162"/>
      <c r="BB891" s="109"/>
      <c r="BC891" s="109"/>
    </row>
    <row r="892" spans="2:55" ht="75" customHeight="1">
      <c r="B892" s="109"/>
      <c r="C892" s="109"/>
      <c r="D892" s="109"/>
      <c r="E892" s="161"/>
      <c r="F892" s="165"/>
      <c r="G892" s="109"/>
      <c r="H892" s="109"/>
      <c r="I892" s="109"/>
      <c r="J892" s="109"/>
      <c r="K892" s="109"/>
      <c r="L892" s="109"/>
      <c r="M892" s="166"/>
      <c r="N892" s="108"/>
      <c r="O892" s="162"/>
      <c r="P892" s="162"/>
      <c r="Q892" s="109"/>
      <c r="R892" s="109"/>
      <c r="S892" s="109"/>
      <c r="T892" s="109"/>
      <c r="U892" s="109"/>
      <c r="V892" s="166"/>
      <c r="W892" s="165"/>
      <c r="X892" s="109"/>
      <c r="Y892" s="109"/>
      <c r="Z892" s="109"/>
      <c r="AA892" s="109"/>
      <c r="AB892" s="109"/>
      <c r="AC892" s="109"/>
      <c r="AD892" s="166"/>
      <c r="AE892" s="174"/>
      <c r="AF892" s="117"/>
      <c r="AG892" s="117"/>
      <c r="AH892" s="117"/>
      <c r="AI892" s="117"/>
      <c r="AJ892" s="117"/>
      <c r="AK892" s="182"/>
      <c r="AL892" s="165"/>
      <c r="AM892" s="109"/>
      <c r="AN892" s="109"/>
      <c r="AO892" s="109"/>
      <c r="AP892" s="109"/>
      <c r="AQ892" s="109"/>
      <c r="AR892" s="109"/>
      <c r="AS892" s="166"/>
      <c r="AT892" s="165"/>
      <c r="AU892" s="109"/>
      <c r="AV892" s="109"/>
      <c r="AW892" s="109"/>
      <c r="AX892" s="109"/>
      <c r="AY892" s="109"/>
      <c r="AZ892" s="166"/>
      <c r="BA892" s="162"/>
      <c r="BB892" s="109"/>
      <c r="BC892" s="109"/>
    </row>
    <row r="893" spans="2:55" ht="75" customHeight="1">
      <c r="B893" s="109"/>
      <c r="C893" s="109"/>
      <c r="D893" s="109"/>
      <c r="E893" s="161"/>
      <c r="F893" s="165"/>
      <c r="G893" s="109"/>
      <c r="H893" s="109"/>
      <c r="I893" s="109"/>
      <c r="J893" s="109"/>
      <c r="K893" s="109"/>
      <c r="L893" s="109"/>
      <c r="M893" s="166"/>
      <c r="N893" s="108"/>
      <c r="O893" s="162"/>
      <c r="P893" s="162"/>
      <c r="Q893" s="109"/>
      <c r="R893" s="109"/>
      <c r="S893" s="109"/>
      <c r="T893" s="109"/>
      <c r="U893" s="109"/>
      <c r="V893" s="166"/>
      <c r="W893" s="165"/>
      <c r="X893" s="109"/>
      <c r="Y893" s="109"/>
      <c r="Z893" s="109"/>
      <c r="AA893" s="109"/>
      <c r="AB893" s="109"/>
      <c r="AC893" s="109"/>
      <c r="AD893" s="166"/>
      <c r="AE893" s="174"/>
      <c r="AF893" s="117"/>
      <c r="AG893" s="117"/>
      <c r="AH893" s="117"/>
      <c r="AI893" s="117"/>
      <c r="AJ893" s="117"/>
      <c r="AK893" s="182"/>
      <c r="AL893" s="165"/>
      <c r="AM893" s="109"/>
      <c r="AN893" s="109"/>
      <c r="AO893" s="109"/>
      <c r="AP893" s="109"/>
      <c r="AQ893" s="109"/>
      <c r="AR893" s="109"/>
      <c r="AS893" s="166"/>
      <c r="AT893" s="165"/>
      <c r="AU893" s="109"/>
      <c r="AV893" s="109"/>
      <c r="AW893" s="109"/>
      <c r="AX893" s="109"/>
      <c r="AY893" s="109"/>
      <c r="AZ893" s="166"/>
      <c r="BA893" s="162"/>
      <c r="BB893" s="109"/>
      <c r="BC893" s="109"/>
    </row>
    <row r="894" spans="2:55" ht="75" customHeight="1">
      <c r="B894" s="109"/>
      <c r="C894" s="109"/>
      <c r="D894" s="109"/>
      <c r="E894" s="161"/>
      <c r="F894" s="165"/>
      <c r="G894" s="109"/>
      <c r="H894" s="109"/>
      <c r="I894" s="109"/>
      <c r="J894" s="109"/>
      <c r="K894" s="109"/>
      <c r="L894" s="109"/>
      <c r="M894" s="166"/>
      <c r="N894" s="108"/>
      <c r="O894" s="162"/>
      <c r="P894" s="162"/>
      <c r="Q894" s="109"/>
      <c r="R894" s="109"/>
      <c r="S894" s="109"/>
      <c r="T894" s="109"/>
      <c r="U894" s="109"/>
      <c r="V894" s="166"/>
      <c r="W894" s="165"/>
      <c r="X894" s="109"/>
      <c r="Y894" s="109"/>
      <c r="Z894" s="109"/>
      <c r="AA894" s="109"/>
      <c r="AB894" s="109"/>
      <c r="AC894" s="109"/>
      <c r="AD894" s="166"/>
      <c r="AE894" s="174"/>
      <c r="AF894" s="117"/>
      <c r="AG894" s="117"/>
      <c r="AH894" s="117"/>
      <c r="AI894" s="117"/>
      <c r="AJ894" s="117"/>
      <c r="AK894" s="182"/>
      <c r="AL894" s="165"/>
      <c r="AM894" s="109"/>
      <c r="AN894" s="109"/>
      <c r="AO894" s="109"/>
      <c r="AP894" s="109"/>
      <c r="AQ894" s="109"/>
      <c r="AR894" s="109"/>
      <c r="AS894" s="166"/>
      <c r="AT894" s="165"/>
      <c r="AU894" s="109"/>
      <c r="AV894" s="109"/>
      <c r="AW894" s="109"/>
      <c r="AX894" s="109"/>
      <c r="AY894" s="109"/>
      <c r="AZ894" s="166"/>
      <c r="BA894" s="162"/>
      <c r="BB894" s="109"/>
      <c r="BC894" s="109"/>
    </row>
    <row r="895" spans="2:55" ht="75" customHeight="1">
      <c r="B895" s="109"/>
      <c r="C895" s="109"/>
      <c r="D895" s="109"/>
      <c r="E895" s="161"/>
      <c r="F895" s="165"/>
      <c r="G895" s="109"/>
      <c r="H895" s="109"/>
      <c r="I895" s="109"/>
      <c r="J895" s="109"/>
      <c r="K895" s="109"/>
      <c r="L895" s="109"/>
      <c r="M895" s="166"/>
      <c r="N895" s="108"/>
      <c r="O895" s="162"/>
      <c r="P895" s="162"/>
      <c r="Q895" s="109"/>
      <c r="R895" s="109"/>
      <c r="S895" s="109"/>
      <c r="T895" s="109"/>
      <c r="U895" s="109"/>
      <c r="V895" s="166"/>
      <c r="W895" s="165"/>
      <c r="X895" s="109"/>
      <c r="Y895" s="109"/>
      <c r="Z895" s="109"/>
      <c r="AA895" s="109"/>
      <c r="AB895" s="109"/>
      <c r="AC895" s="109"/>
      <c r="AD895" s="166"/>
      <c r="AE895" s="174"/>
      <c r="AF895" s="117"/>
      <c r="AG895" s="117"/>
      <c r="AH895" s="117"/>
      <c r="AI895" s="117"/>
      <c r="AJ895" s="117"/>
      <c r="AK895" s="182"/>
      <c r="AL895" s="165"/>
      <c r="AM895" s="109"/>
      <c r="AN895" s="109"/>
      <c r="AO895" s="109"/>
      <c r="AP895" s="109"/>
      <c r="AQ895" s="109"/>
      <c r="AR895" s="109"/>
      <c r="AS895" s="166"/>
      <c r="AT895" s="165"/>
      <c r="AU895" s="109"/>
      <c r="AV895" s="109"/>
      <c r="AW895" s="109"/>
      <c r="AX895" s="109"/>
      <c r="AY895" s="109"/>
      <c r="AZ895" s="166"/>
      <c r="BA895" s="162"/>
      <c r="BB895" s="109"/>
      <c r="BC895" s="109"/>
    </row>
    <row r="896" spans="2:55" ht="75" customHeight="1">
      <c r="B896" s="109"/>
      <c r="C896" s="109"/>
      <c r="D896" s="109"/>
      <c r="E896" s="161"/>
      <c r="F896" s="165"/>
      <c r="G896" s="109"/>
      <c r="H896" s="109"/>
      <c r="I896" s="109"/>
      <c r="J896" s="109"/>
      <c r="K896" s="109"/>
      <c r="L896" s="109"/>
      <c r="M896" s="166"/>
      <c r="N896" s="108"/>
      <c r="O896" s="162"/>
      <c r="P896" s="162"/>
      <c r="Q896" s="109"/>
      <c r="R896" s="109"/>
      <c r="S896" s="109"/>
      <c r="T896" s="109"/>
      <c r="U896" s="109"/>
      <c r="V896" s="166"/>
      <c r="W896" s="165"/>
      <c r="X896" s="109"/>
      <c r="Y896" s="109"/>
      <c r="Z896" s="109"/>
      <c r="AA896" s="109"/>
      <c r="AB896" s="109"/>
      <c r="AC896" s="109"/>
      <c r="AD896" s="166"/>
      <c r="AE896" s="174"/>
      <c r="AF896" s="117"/>
      <c r="AG896" s="117"/>
      <c r="AH896" s="117"/>
      <c r="AI896" s="117"/>
      <c r="AJ896" s="117"/>
      <c r="AK896" s="182"/>
      <c r="AL896" s="165"/>
      <c r="AM896" s="109"/>
      <c r="AN896" s="109"/>
      <c r="AO896" s="109"/>
      <c r="AP896" s="109"/>
      <c r="AQ896" s="109"/>
      <c r="AR896" s="109"/>
      <c r="AS896" s="166"/>
      <c r="AT896" s="165"/>
      <c r="AU896" s="109"/>
      <c r="AV896" s="109"/>
      <c r="AW896" s="109"/>
      <c r="AX896" s="109"/>
      <c r="AY896" s="109"/>
      <c r="AZ896" s="166"/>
      <c r="BA896" s="162"/>
      <c r="BB896" s="109"/>
      <c r="BC896" s="109"/>
    </row>
    <row r="897" spans="2:55" ht="75" customHeight="1">
      <c r="B897" s="109"/>
      <c r="C897" s="109"/>
      <c r="D897" s="109"/>
      <c r="E897" s="161"/>
      <c r="F897" s="165"/>
      <c r="G897" s="109"/>
      <c r="H897" s="109"/>
      <c r="I897" s="109"/>
      <c r="J897" s="109"/>
      <c r="K897" s="109"/>
      <c r="L897" s="109"/>
      <c r="M897" s="166"/>
      <c r="N897" s="108"/>
      <c r="O897" s="162"/>
      <c r="P897" s="162"/>
      <c r="Q897" s="109"/>
      <c r="R897" s="109"/>
      <c r="S897" s="109"/>
      <c r="T897" s="109"/>
      <c r="U897" s="109"/>
      <c r="V897" s="166"/>
      <c r="W897" s="165"/>
      <c r="X897" s="109"/>
      <c r="Y897" s="109"/>
      <c r="Z897" s="109"/>
      <c r="AA897" s="109"/>
      <c r="AB897" s="109"/>
      <c r="AC897" s="109"/>
      <c r="AD897" s="166"/>
      <c r="AE897" s="174"/>
      <c r="AF897" s="117"/>
      <c r="AG897" s="117"/>
      <c r="AH897" s="117"/>
      <c r="AI897" s="117"/>
      <c r="AJ897" s="117"/>
      <c r="AK897" s="182"/>
      <c r="AL897" s="165"/>
      <c r="AM897" s="109"/>
      <c r="AN897" s="109"/>
      <c r="AO897" s="109"/>
      <c r="AP897" s="109"/>
      <c r="AQ897" s="109"/>
      <c r="AR897" s="109"/>
      <c r="AS897" s="166"/>
      <c r="AT897" s="165"/>
      <c r="AU897" s="109"/>
      <c r="AV897" s="109"/>
      <c r="AW897" s="109"/>
      <c r="AX897" s="109"/>
      <c r="AY897" s="109"/>
      <c r="AZ897" s="166"/>
      <c r="BA897" s="162"/>
      <c r="BB897" s="109"/>
      <c r="BC897" s="109"/>
    </row>
    <row r="898" spans="2:55" ht="75" customHeight="1">
      <c r="B898" s="109"/>
      <c r="C898" s="109"/>
      <c r="D898" s="109"/>
      <c r="E898" s="161"/>
      <c r="F898" s="165"/>
      <c r="G898" s="109"/>
      <c r="H898" s="109"/>
      <c r="I898" s="109"/>
      <c r="J898" s="109"/>
      <c r="K898" s="109"/>
      <c r="L898" s="109"/>
      <c r="M898" s="166"/>
      <c r="N898" s="108"/>
      <c r="O898" s="162"/>
      <c r="P898" s="162"/>
      <c r="Q898" s="109"/>
      <c r="R898" s="109"/>
      <c r="S898" s="109"/>
      <c r="T898" s="109"/>
      <c r="U898" s="109"/>
      <c r="V898" s="166"/>
      <c r="W898" s="165"/>
      <c r="X898" s="109"/>
      <c r="Y898" s="109"/>
      <c r="Z898" s="109"/>
      <c r="AA898" s="109"/>
      <c r="AB898" s="109"/>
      <c r="AC898" s="109"/>
      <c r="AD898" s="166"/>
      <c r="AE898" s="174"/>
      <c r="AF898" s="117"/>
      <c r="AG898" s="117"/>
      <c r="AH898" s="117"/>
      <c r="AI898" s="117"/>
      <c r="AJ898" s="117"/>
      <c r="AK898" s="182"/>
      <c r="AL898" s="165"/>
      <c r="AM898" s="109"/>
      <c r="AN898" s="109"/>
      <c r="AO898" s="109"/>
      <c r="AP898" s="109"/>
      <c r="AQ898" s="109"/>
      <c r="AR898" s="109"/>
      <c r="AS898" s="166"/>
      <c r="AT898" s="165"/>
      <c r="AU898" s="109"/>
      <c r="AV898" s="109"/>
      <c r="AW898" s="109"/>
      <c r="AX898" s="109"/>
      <c r="AY898" s="109"/>
      <c r="AZ898" s="166"/>
      <c r="BA898" s="162"/>
      <c r="BB898" s="109"/>
      <c r="BC898" s="109"/>
    </row>
    <row r="899" spans="2:55" ht="75" customHeight="1">
      <c r="B899" s="109"/>
      <c r="C899" s="109"/>
      <c r="D899" s="109"/>
      <c r="E899" s="161"/>
      <c r="F899" s="165"/>
      <c r="G899" s="109"/>
      <c r="H899" s="109"/>
      <c r="I899" s="109"/>
      <c r="J899" s="109"/>
      <c r="K899" s="109"/>
      <c r="L899" s="109"/>
      <c r="M899" s="166"/>
      <c r="N899" s="108"/>
      <c r="O899" s="162"/>
      <c r="P899" s="162"/>
      <c r="Q899" s="109"/>
      <c r="R899" s="109"/>
      <c r="S899" s="109"/>
      <c r="T899" s="109"/>
      <c r="U899" s="109"/>
      <c r="V899" s="166"/>
      <c r="W899" s="165"/>
      <c r="X899" s="109"/>
      <c r="Y899" s="109"/>
      <c r="Z899" s="109"/>
      <c r="AA899" s="109"/>
      <c r="AB899" s="109"/>
      <c r="AC899" s="109"/>
      <c r="AD899" s="166"/>
      <c r="AE899" s="174"/>
      <c r="AF899" s="117"/>
      <c r="AG899" s="117"/>
      <c r="AH899" s="117"/>
      <c r="AI899" s="117"/>
      <c r="AJ899" s="117"/>
      <c r="AK899" s="182"/>
      <c r="AL899" s="165"/>
      <c r="AM899" s="109"/>
      <c r="AN899" s="109"/>
      <c r="AO899" s="109"/>
      <c r="AP899" s="109"/>
      <c r="AQ899" s="109"/>
      <c r="AR899" s="109"/>
      <c r="AS899" s="166"/>
      <c r="AT899" s="165"/>
      <c r="AU899" s="109"/>
      <c r="AV899" s="109"/>
      <c r="AW899" s="109"/>
      <c r="AX899" s="109"/>
      <c r="AY899" s="109"/>
      <c r="AZ899" s="166"/>
      <c r="BA899" s="162"/>
      <c r="BB899" s="109"/>
      <c r="BC899" s="109"/>
    </row>
    <row r="900" spans="2:55" ht="75" customHeight="1">
      <c r="B900" s="109"/>
      <c r="C900" s="109"/>
      <c r="D900" s="109"/>
      <c r="E900" s="161"/>
      <c r="F900" s="165"/>
      <c r="G900" s="109"/>
      <c r="H900" s="109"/>
      <c r="I900" s="109"/>
      <c r="J900" s="109"/>
      <c r="K900" s="109"/>
      <c r="L900" s="109"/>
      <c r="M900" s="166"/>
      <c r="N900" s="108"/>
      <c r="O900" s="162"/>
      <c r="P900" s="162"/>
      <c r="Q900" s="109"/>
      <c r="R900" s="109"/>
      <c r="S900" s="109"/>
      <c r="T900" s="109"/>
      <c r="U900" s="109"/>
      <c r="V900" s="166"/>
      <c r="W900" s="165"/>
      <c r="X900" s="109"/>
      <c r="Y900" s="109"/>
      <c r="Z900" s="109"/>
      <c r="AA900" s="109"/>
      <c r="AB900" s="109"/>
      <c r="AC900" s="109"/>
      <c r="AD900" s="166"/>
      <c r="AE900" s="174"/>
      <c r="AF900" s="117"/>
      <c r="AG900" s="117"/>
      <c r="AH900" s="117"/>
      <c r="AI900" s="117"/>
      <c r="AJ900" s="117"/>
      <c r="AK900" s="182"/>
      <c r="AL900" s="165"/>
      <c r="AM900" s="109"/>
      <c r="AN900" s="109"/>
      <c r="AO900" s="109"/>
      <c r="AP900" s="109"/>
      <c r="AQ900" s="109"/>
      <c r="AR900" s="109"/>
      <c r="AS900" s="166"/>
      <c r="AT900" s="165"/>
      <c r="AU900" s="109"/>
      <c r="AV900" s="109"/>
      <c r="AW900" s="109"/>
      <c r="AX900" s="109"/>
      <c r="AY900" s="109"/>
      <c r="AZ900" s="166"/>
      <c r="BA900" s="162"/>
      <c r="BB900" s="109"/>
      <c r="BC900" s="109"/>
    </row>
    <row r="901" spans="2:55" ht="75" customHeight="1">
      <c r="B901" s="109"/>
      <c r="C901" s="109"/>
      <c r="D901" s="109"/>
      <c r="E901" s="161"/>
      <c r="F901" s="165"/>
      <c r="G901" s="109"/>
      <c r="H901" s="109"/>
      <c r="I901" s="109"/>
      <c r="J901" s="109"/>
      <c r="K901" s="109"/>
      <c r="L901" s="109"/>
      <c r="M901" s="166"/>
      <c r="N901" s="108"/>
      <c r="O901" s="162"/>
      <c r="P901" s="162"/>
      <c r="Q901" s="109"/>
      <c r="R901" s="109"/>
      <c r="S901" s="109"/>
      <c r="T901" s="109"/>
      <c r="U901" s="109"/>
      <c r="V901" s="166"/>
      <c r="W901" s="165"/>
      <c r="X901" s="109"/>
      <c r="Y901" s="109"/>
      <c r="Z901" s="109"/>
      <c r="AA901" s="109"/>
      <c r="AB901" s="109"/>
      <c r="AC901" s="109"/>
      <c r="AD901" s="166"/>
      <c r="AE901" s="174"/>
      <c r="AF901" s="117"/>
      <c r="AG901" s="117"/>
      <c r="AH901" s="117"/>
      <c r="AI901" s="117"/>
      <c r="AJ901" s="117"/>
      <c r="AK901" s="182"/>
      <c r="AL901" s="165"/>
      <c r="AM901" s="109"/>
      <c r="AN901" s="109"/>
      <c r="AO901" s="109"/>
      <c r="AP901" s="109"/>
      <c r="AQ901" s="109"/>
      <c r="AR901" s="109"/>
      <c r="AS901" s="166"/>
      <c r="AT901" s="165"/>
      <c r="AU901" s="109"/>
      <c r="AV901" s="109"/>
      <c r="AW901" s="109"/>
      <c r="AX901" s="109"/>
      <c r="AY901" s="109"/>
      <c r="AZ901" s="166"/>
      <c r="BA901" s="162"/>
      <c r="BB901" s="109"/>
      <c r="BC901" s="109"/>
    </row>
    <row r="902" spans="2:55" ht="75" customHeight="1">
      <c r="B902" s="109"/>
      <c r="C902" s="109"/>
      <c r="D902" s="109"/>
      <c r="E902" s="161"/>
      <c r="F902" s="165"/>
      <c r="G902" s="109"/>
      <c r="H902" s="109"/>
      <c r="I902" s="109"/>
      <c r="J902" s="109"/>
      <c r="K902" s="109"/>
      <c r="L902" s="109"/>
      <c r="M902" s="166"/>
      <c r="N902" s="108"/>
      <c r="O902" s="162"/>
      <c r="P902" s="162"/>
      <c r="Q902" s="109"/>
      <c r="R902" s="109"/>
      <c r="S902" s="109"/>
      <c r="T902" s="109"/>
      <c r="U902" s="109"/>
      <c r="V902" s="166"/>
      <c r="W902" s="165"/>
      <c r="X902" s="109"/>
      <c r="Y902" s="109"/>
      <c r="Z902" s="109"/>
      <c r="AA902" s="109"/>
      <c r="AB902" s="109"/>
      <c r="AC902" s="109"/>
      <c r="AD902" s="166"/>
      <c r="AE902" s="174"/>
      <c r="AF902" s="117"/>
      <c r="AG902" s="117"/>
      <c r="AH902" s="117"/>
      <c r="AI902" s="117"/>
      <c r="AJ902" s="117"/>
      <c r="AK902" s="182"/>
      <c r="AL902" s="165"/>
      <c r="AM902" s="109"/>
      <c r="AN902" s="109"/>
      <c r="AO902" s="109"/>
      <c r="AP902" s="109"/>
      <c r="AQ902" s="109"/>
      <c r="AR902" s="109"/>
      <c r="AS902" s="166"/>
      <c r="AT902" s="165"/>
      <c r="AU902" s="109"/>
      <c r="AV902" s="109"/>
      <c r="AW902" s="109"/>
      <c r="AX902" s="109"/>
      <c r="AY902" s="109"/>
      <c r="AZ902" s="166"/>
      <c r="BA902" s="162"/>
      <c r="BB902" s="109"/>
      <c r="BC902" s="109"/>
    </row>
    <row r="903" spans="2:55" ht="75" customHeight="1">
      <c r="B903" s="109"/>
      <c r="C903" s="109"/>
      <c r="D903" s="109"/>
      <c r="E903" s="161"/>
      <c r="F903" s="165"/>
      <c r="G903" s="109"/>
      <c r="H903" s="109"/>
      <c r="I903" s="109"/>
      <c r="J903" s="109"/>
      <c r="K903" s="109"/>
      <c r="L903" s="109"/>
      <c r="M903" s="166"/>
      <c r="N903" s="108"/>
      <c r="O903" s="162"/>
      <c r="P903" s="162"/>
      <c r="Q903" s="109"/>
      <c r="R903" s="109"/>
      <c r="S903" s="109"/>
      <c r="T903" s="109"/>
      <c r="U903" s="109"/>
      <c r="V903" s="166"/>
      <c r="W903" s="165"/>
      <c r="X903" s="109"/>
      <c r="Y903" s="109"/>
      <c r="Z903" s="109"/>
      <c r="AA903" s="109"/>
      <c r="AB903" s="109"/>
      <c r="AC903" s="109"/>
      <c r="AD903" s="166"/>
      <c r="AE903" s="174"/>
      <c r="AF903" s="117"/>
      <c r="AG903" s="117"/>
      <c r="AH903" s="117"/>
      <c r="AI903" s="117"/>
      <c r="AJ903" s="117"/>
      <c r="AK903" s="182"/>
      <c r="AL903" s="165"/>
      <c r="AM903" s="109"/>
      <c r="AN903" s="109"/>
      <c r="AO903" s="109"/>
      <c r="AP903" s="109"/>
      <c r="AQ903" s="109"/>
      <c r="AR903" s="109"/>
      <c r="AS903" s="166"/>
      <c r="AT903" s="165"/>
      <c r="AU903" s="109"/>
      <c r="AV903" s="109"/>
      <c r="AW903" s="109"/>
      <c r="AX903" s="109"/>
      <c r="AY903" s="109"/>
      <c r="AZ903" s="166"/>
      <c r="BA903" s="162"/>
      <c r="BB903" s="109"/>
      <c r="BC903" s="109"/>
    </row>
    <row r="904" spans="2:55" ht="75" customHeight="1">
      <c r="B904" s="109"/>
      <c r="C904" s="109"/>
      <c r="D904" s="109"/>
      <c r="E904" s="161"/>
      <c r="F904" s="165"/>
      <c r="G904" s="109"/>
      <c r="H904" s="109"/>
      <c r="I904" s="109"/>
      <c r="J904" s="109"/>
      <c r="K904" s="109"/>
      <c r="L904" s="109"/>
      <c r="M904" s="166"/>
      <c r="N904" s="108"/>
      <c r="O904" s="162"/>
      <c r="P904" s="162"/>
      <c r="Q904" s="109"/>
      <c r="R904" s="109"/>
      <c r="S904" s="109"/>
      <c r="T904" s="109"/>
      <c r="U904" s="109"/>
      <c r="V904" s="166"/>
      <c r="W904" s="165"/>
      <c r="X904" s="109"/>
      <c r="Y904" s="109"/>
      <c r="Z904" s="109"/>
      <c r="AA904" s="109"/>
      <c r="AB904" s="109"/>
      <c r="AC904" s="109"/>
      <c r="AD904" s="166"/>
      <c r="AE904" s="174"/>
      <c r="AF904" s="117"/>
      <c r="AG904" s="117"/>
      <c r="AH904" s="117"/>
      <c r="AI904" s="117"/>
      <c r="AJ904" s="117"/>
      <c r="AK904" s="182"/>
      <c r="AL904" s="165"/>
      <c r="AM904" s="109"/>
      <c r="AN904" s="109"/>
      <c r="AO904" s="109"/>
      <c r="AP904" s="109"/>
      <c r="AQ904" s="109"/>
      <c r="AR904" s="109"/>
      <c r="AS904" s="166"/>
      <c r="AT904" s="165"/>
      <c r="AU904" s="109"/>
      <c r="AV904" s="109"/>
      <c r="AW904" s="109"/>
      <c r="AX904" s="109"/>
      <c r="AY904" s="109"/>
      <c r="AZ904" s="166"/>
      <c r="BA904" s="162"/>
      <c r="BB904" s="109"/>
      <c r="BC904" s="109"/>
    </row>
    <row r="905" spans="2:55" ht="75" customHeight="1">
      <c r="B905" s="109"/>
      <c r="C905" s="109"/>
      <c r="D905" s="109"/>
      <c r="E905" s="161"/>
      <c r="F905" s="165"/>
      <c r="G905" s="109"/>
      <c r="H905" s="109"/>
      <c r="I905" s="109"/>
      <c r="J905" s="109"/>
      <c r="K905" s="109"/>
      <c r="L905" s="109"/>
      <c r="M905" s="166"/>
      <c r="N905" s="108"/>
      <c r="O905" s="162"/>
      <c r="P905" s="162"/>
      <c r="Q905" s="109"/>
      <c r="R905" s="109"/>
      <c r="S905" s="109"/>
      <c r="T905" s="109"/>
      <c r="U905" s="109"/>
      <c r="V905" s="166"/>
      <c r="W905" s="165"/>
      <c r="X905" s="109"/>
      <c r="Y905" s="109"/>
      <c r="Z905" s="109"/>
      <c r="AA905" s="109"/>
      <c r="AB905" s="109"/>
      <c r="AC905" s="109"/>
      <c r="AD905" s="166"/>
      <c r="AE905" s="174"/>
      <c r="AF905" s="117"/>
      <c r="AG905" s="117"/>
      <c r="AH905" s="117"/>
      <c r="AI905" s="117"/>
      <c r="AJ905" s="117"/>
      <c r="AK905" s="182"/>
      <c r="AL905" s="165"/>
      <c r="AM905" s="109"/>
      <c r="AN905" s="109"/>
      <c r="AO905" s="109"/>
      <c r="AP905" s="109"/>
      <c r="AQ905" s="109"/>
      <c r="AR905" s="109"/>
      <c r="AS905" s="166"/>
      <c r="AT905" s="165"/>
      <c r="AU905" s="109"/>
      <c r="AV905" s="109"/>
      <c r="AW905" s="109"/>
      <c r="AX905" s="109"/>
      <c r="AY905" s="109"/>
      <c r="AZ905" s="166"/>
      <c r="BA905" s="162"/>
      <c r="BB905" s="109"/>
      <c r="BC905" s="109"/>
    </row>
    <row r="906" spans="2:55" ht="75" customHeight="1">
      <c r="B906" s="109"/>
      <c r="C906" s="109"/>
      <c r="D906" s="109"/>
      <c r="E906" s="161"/>
      <c r="F906" s="165"/>
      <c r="G906" s="109"/>
      <c r="H906" s="109"/>
      <c r="I906" s="109"/>
      <c r="J906" s="109"/>
      <c r="K906" s="109"/>
      <c r="L906" s="109"/>
      <c r="M906" s="166"/>
      <c r="N906" s="108"/>
      <c r="O906" s="162"/>
      <c r="P906" s="162"/>
      <c r="Q906" s="109"/>
      <c r="R906" s="109"/>
      <c r="S906" s="109"/>
      <c r="T906" s="109"/>
      <c r="U906" s="109"/>
      <c r="V906" s="166"/>
      <c r="W906" s="165"/>
      <c r="X906" s="109"/>
      <c r="Y906" s="109"/>
      <c r="Z906" s="109"/>
      <c r="AA906" s="109"/>
      <c r="AB906" s="109"/>
      <c r="AC906" s="109"/>
      <c r="AD906" s="166"/>
      <c r="AE906" s="174"/>
      <c r="AF906" s="117"/>
      <c r="AG906" s="117"/>
      <c r="AH906" s="117"/>
      <c r="AI906" s="117"/>
      <c r="AJ906" s="117"/>
      <c r="AK906" s="182"/>
      <c r="AL906" s="165"/>
      <c r="AM906" s="109"/>
      <c r="AN906" s="109"/>
      <c r="AO906" s="109"/>
      <c r="AP906" s="109"/>
      <c r="AQ906" s="109"/>
      <c r="AR906" s="109"/>
      <c r="AS906" s="166"/>
      <c r="AT906" s="165"/>
      <c r="AU906" s="109"/>
      <c r="AV906" s="109"/>
      <c r="AW906" s="109"/>
      <c r="AX906" s="109"/>
      <c r="AY906" s="109"/>
      <c r="AZ906" s="166"/>
      <c r="BA906" s="162"/>
      <c r="BB906" s="109"/>
      <c r="BC906" s="109"/>
    </row>
    <row r="907" spans="2:55" ht="75" customHeight="1">
      <c r="B907" s="109"/>
      <c r="C907" s="109"/>
      <c r="D907" s="109"/>
      <c r="E907" s="161"/>
      <c r="F907" s="165"/>
      <c r="G907" s="109"/>
      <c r="H907" s="109"/>
      <c r="I907" s="109"/>
      <c r="J907" s="109"/>
      <c r="K907" s="109"/>
      <c r="L907" s="109"/>
      <c r="M907" s="166"/>
      <c r="N907" s="108"/>
      <c r="O907" s="162"/>
      <c r="P907" s="162"/>
      <c r="Q907" s="109"/>
      <c r="R907" s="109"/>
      <c r="S907" s="109"/>
      <c r="T907" s="109"/>
      <c r="U907" s="109"/>
      <c r="V907" s="166"/>
      <c r="W907" s="165"/>
      <c r="X907" s="109"/>
      <c r="Y907" s="109"/>
      <c r="Z907" s="109"/>
      <c r="AA907" s="109"/>
      <c r="AB907" s="109"/>
      <c r="AC907" s="109"/>
      <c r="AD907" s="166"/>
      <c r="AE907" s="174"/>
      <c r="AF907" s="117"/>
      <c r="AG907" s="117"/>
      <c r="AH907" s="117"/>
      <c r="AI907" s="117"/>
      <c r="AJ907" s="117"/>
      <c r="AK907" s="182"/>
      <c r="AL907" s="165"/>
      <c r="AM907" s="109"/>
      <c r="AN907" s="109"/>
      <c r="AO907" s="109"/>
      <c r="AP907" s="109"/>
      <c r="AQ907" s="109"/>
      <c r="AR907" s="109"/>
      <c r="AS907" s="166"/>
      <c r="AT907" s="165"/>
      <c r="AU907" s="109"/>
      <c r="AV907" s="109"/>
      <c r="AW907" s="109"/>
      <c r="AX907" s="109"/>
      <c r="AY907" s="109"/>
      <c r="AZ907" s="166"/>
      <c r="BA907" s="162"/>
      <c r="BB907" s="109"/>
      <c r="BC907" s="109"/>
    </row>
    <row r="908" spans="2:55" ht="75" customHeight="1">
      <c r="B908" s="109"/>
      <c r="C908" s="109"/>
      <c r="D908" s="109"/>
      <c r="E908" s="161"/>
      <c r="F908" s="165"/>
      <c r="G908" s="109"/>
      <c r="H908" s="109"/>
      <c r="I908" s="109"/>
      <c r="J908" s="109"/>
      <c r="K908" s="109"/>
      <c r="L908" s="109"/>
      <c r="M908" s="166"/>
      <c r="N908" s="108"/>
      <c r="O908" s="162"/>
      <c r="P908" s="162"/>
      <c r="Q908" s="109"/>
      <c r="R908" s="109"/>
      <c r="S908" s="109"/>
      <c r="T908" s="109"/>
      <c r="U908" s="109"/>
      <c r="V908" s="166"/>
      <c r="W908" s="165"/>
      <c r="X908" s="109"/>
      <c r="Y908" s="109"/>
      <c r="Z908" s="109"/>
      <c r="AA908" s="109"/>
      <c r="AB908" s="109"/>
      <c r="AC908" s="109"/>
      <c r="AD908" s="166"/>
      <c r="AE908" s="174"/>
      <c r="AF908" s="117"/>
      <c r="AG908" s="117"/>
      <c r="AH908" s="117"/>
      <c r="AI908" s="117"/>
      <c r="AJ908" s="117"/>
      <c r="AK908" s="182"/>
      <c r="AL908" s="165"/>
      <c r="AM908" s="109"/>
      <c r="AN908" s="109"/>
      <c r="AO908" s="109"/>
      <c r="AP908" s="109"/>
      <c r="AQ908" s="109"/>
      <c r="AR908" s="109"/>
      <c r="AS908" s="166"/>
      <c r="AT908" s="165"/>
      <c r="AU908" s="109"/>
      <c r="AV908" s="109"/>
      <c r="AW908" s="109"/>
      <c r="AX908" s="109"/>
      <c r="AY908" s="109"/>
      <c r="AZ908" s="166"/>
      <c r="BA908" s="162"/>
      <c r="BB908" s="109"/>
      <c r="BC908" s="109"/>
    </row>
    <row r="909" spans="2:55" ht="75" customHeight="1">
      <c r="B909" s="109"/>
      <c r="C909" s="109"/>
      <c r="D909" s="109"/>
      <c r="E909" s="161"/>
      <c r="F909" s="165"/>
      <c r="G909" s="109"/>
      <c r="H909" s="109"/>
      <c r="I909" s="109"/>
      <c r="J909" s="109"/>
      <c r="K909" s="109"/>
      <c r="L909" s="109"/>
      <c r="M909" s="166"/>
      <c r="N909" s="108"/>
      <c r="O909" s="162"/>
      <c r="P909" s="162"/>
      <c r="Q909" s="109"/>
      <c r="R909" s="109"/>
      <c r="S909" s="109"/>
      <c r="T909" s="109"/>
      <c r="U909" s="109"/>
      <c r="V909" s="166"/>
      <c r="W909" s="165"/>
      <c r="X909" s="109"/>
      <c r="Y909" s="109"/>
      <c r="Z909" s="109"/>
      <c r="AA909" s="109"/>
      <c r="AB909" s="109"/>
      <c r="AC909" s="109"/>
      <c r="AD909" s="166"/>
      <c r="AE909" s="174"/>
      <c r="AF909" s="117"/>
      <c r="AG909" s="117"/>
      <c r="AH909" s="117"/>
      <c r="AI909" s="117"/>
      <c r="AJ909" s="117"/>
      <c r="AK909" s="182"/>
      <c r="AL909" s="165"/>
      <c r="AM909" s="109"/>
      <c r="AN909" s="109"/>
      <c r="AO909" s="109"/>
      <c r="AP909" s="109"/>
      <c r="AQ909" s="109"/>
      <c r="AR909" s="109"/>
      <c r="AS909" s="166"/>
      <c r="AT909" s="165"/>
      <c r="AU909" s="109"/>
      <c r="AV909" s="109"/>
      <c r="AW909" s="109"/>
      <c r="AX909" s="109"/>
      <c r="AY909" s="109"/>
      <c r="AZ909" s="166"/>
      <c r="BA909" s="162"/>
      <c r="BB909" s="109"/>
      <c r="BC909" s="109"/>
    </row>
    <row r="910" spans="2:55" ht="75" customHeight="1">
      <c r="B910" s="109"/>
      <c r="C910" s="109"/>
      <c r="D910" s="109"/>
      <c r="E910" s="161"/>
      <c r="F910" s="165"/>
      <c r="G910" s="109"/>
      <c r="H910" s="109"/>
      <c r="I910" s="109"/>
      <c r="J910" s="109"/>
      <c r="K910" s="109"/>
      <c r="L910" s="109"/>
      <c r="M910" s="166"/>
      <c r="N910" s="108"/>
      <c r="O910" s="162"/>
      <c r="P910" s="162"/>
      <c r="Q910" s="109"/>
      <c r="R910" s="109"/>
      <c r="S910" s="109"/>
      <c r="T910" s="109"/>
      <c r="U910" s="109"/>
      <c r="V910" s="166"/>
      <c r="W910" s="165"/>
      <c r="X910" s="109"/>
      <c r="Y910" s="109"/>
      <c r="Z910" s="109"/>
      <c r="AA910" s="109"/>
      <c r="AB910" s="109"/>
      <c r="AC910" s="109"/>
      <c r="AD910" s="166"/>
      <c r="AE910" s="174"/>
      <c r="AF910" s="117"/>
      <c r="AG910" s="117"/>
      <c r="AH910" s="117"/>
      <c r="AI910" s="117"/>
      <c r="AJ910" s="117"/>
      <c r="AK910" s="182"/>
      <c r="AL910" s="165"/>
      <c r="AM910" s="109"/>
      <c r="AN910" s="109"/>
      <c r="AO910" s="109"/>
      <c r="AP910" s="109"/>
      <c r="AQ910" s="109"/>
      <c r="AR910" s="109"/>
      <c r="AS910" s="166"/>
      <c r="AT910" s="165"/>
      <c r="AU910" s="109"/>
      <c r="AV910" s="109"/>
      <c r="AW910" s="109"/>
      <c r="AX910" s="109"/>
      <c r="AY910" s="109"/>
      <c r="AZ910" s="166"/>
      <c r="BA910" s="162"/>
      <c r="BB910" s="109"/>
      <c r="BC910" s="109"/>
    </row>
    <row r="911" spans="2:55" ht="75" customHeight="1">
      <c r="B911" s="109"/>
      <c r="C911" s="109"/>
      <c r="D911" s="109"/>
      <c r="E911" s="161"/>
      <c r="F911" s="165"/>
      <c r="G911" s="109"/>
      <c r="H911" s="109"/>
      <c r="I911" s="109"/>
      <c r="J911" s="109"/>
      <c r="K911" s="109"/>
      <c r="L911" s="109"/>
      <c r="M911" s="166"/>
      <c r="N911" s="108"/>
      <c r="O911" s="162"/>
      <c r="P911" s="162"/>
      <c r="Q911" s="109"/>
      <c r="R911" s="109"/>
      <c r="S911" s="109"/>
      <c r="T911" s="109"/>
      <c r="U911" s="109"/>
      <c r="V911" s="166"/>
      <c r="W911" s="165"/>
      <c r="X911" s="109"/>
      <c r="Y911" s="109"/>
      <c r="Z911" s="109"/>
      <c r="AA911" s="109"/>
      <c r="AB911" s="109"/>
      <c r="AC911" s="109"/>
      <c r="AD911" s="166"/>
      <c r="AE911" s="174"/>
      <c r="AF911" s="117"/>
      <c r="AG911" s="117"/>
      <c r="AH911" s="117"/>
      <c r="AI911" s="117"/>
      <c r="AJ911" s="117"/>
      <c r="AK911" s="182"/>
      <c r="AL911" s="165"/>
      <c r="AM911" s="109"/>
      <c r="AN911" s="109"/>
      <c r="AO911" s="109"/>
      <c r="AP911" s="109"/>
      <c r="AQ911" s="109"/>
      <c r="AR911" s="109"/>
      <c r="AS911" s="166"/>
      <c r="AT911" s="165"/>
      <c r="AU911" s="109"/>
      <c r="AV911" s="109"/>
      <c r="AW911" s="109"/>
      <c r="AX911" s="109"/>
      <c r="AY911" s="109"/>
      <c r="AZ911" s="166"/>
      <c r="BA911" s="162"/>
      <c r="BB911" s="109"/>
      <c r="BC911" s="109"/>
    </row>
    <row r="912" spans="2:55" ht="75" customHeight="1">
      <c r="B912" s="109"/>
      <c r="C912" s="109"/>
      <c r="D912" s="109"/>
      <c r="E912" s="161"/>
      <c r="F912" s="165"/>
      <c r="G912" s="109"/>
      <c r="H912" s="109"/>
      <c r="I912" s="109"/>
      <c r="J912" s="109"/>
      <c r="K912" s="109"/>
      <c r="L912" s="109"/>
      <c r="M912" s="166"/>
      <c r="N912" s="108"/>
      <c r="O912" s="162"/>
      <c r="P912" s="162"/>
      <c r="Q912" s="109"/>
      <c r="R912" s="109"/>
      <c r="S912" s="109"/>
      <c r="T912" s="109"/>
      <c r="U912" s="109"/>
      <c r="V912" s="166"/>
      <c r="W912" s="165"/>
      <c r="X912" s="109"/>
      <c r="Y912" s="109"/>
      <c r="Z912" s="109"/>
      <c r="AA912" s="109"/>
      <c r="AB912" s="109"/>
      <c r="AC912" s="109"/>
      <c r="AD912" s="166"/>
      <c r="AE912" s="174"/>
      <c r="AF912" s="117"/>
      <c r="AG912" s="117"/>
      <c r="AH912" s="117"/>
      <c r="AI912" s="117"/>
      <c r="AJ912" s="117"/>
      <c r="AK912" s="182"/>
      <c r="AL912" s="165"/>
      <c r="AM912" s="109"/>
      <c r="AN912" s="109"/>
      <c r="AO912" s="109"/>
      <c r="AP912" s="109"/>
      <c r="AQ912" s="109"/>
      <c r="AR912" s="109"/>
      <c r="AS912" s="166"/>
      <c r="AT912" s="165"/>
      <c r="AU912" s="109"/>
      <c r="AV912" s="109"/>
      <c r="AW912" s="109"/>
      <c r="AX912" s="109"/>
      <c r="AY912" s="109"/>
      <c r="AZ912" s="166"/>
      <c r="BA912" s="162"/>
      <c r="BB912" s="109"/>
      <c r="BC912" s="109"/>
    </row>
    <row r="913" spans="2:55" ht="75" customHeight="1">
      <c r="B913" s="109"/>
      <c r="C913" s="109"/>
      <c r="D913" s="109"/>
      <c r="E913" s="161"/>
      <c r="F913" s="165"/>
      <c r="G913" s="109"/>
      <c r="H913" s="109"/>
      <c r="I913" s="109"/>
      <c r="J913" s="109"/>
      <c r="K913" s="109"/>
      <c r="L913" s="109"/>
      <c r="M913" s="166"/>
      <c r="N913" s="108"/>
      <c r="O913" s="162"/>
      <c r="P913" s="162"/>
      <c r="Q913" s="109"/>
      <c r="R913" s="109"/>
      <c r="S913" s="109"/>
      <c r="T913" s="109"/>
      <c r="U913" s="109"/>
      <c r="V913" s="166"/>
      <c r="W913" s="165"/>
      <c r="X913" s="109"/>
      <c r="Y913" s="109"/>
      <c r="Z913" s="109"/>
      <c r="AA913" s="109"/>
      <c r="AB913" s="109"/>
      <c r="AC913" s="109"/>
      <c r="AD913" s="166"/>
      <c r="AE913" s="174"/>
      <c r="AF913" s="117"/>
      <c r="AG913" s="117"/>
      <c r="AH913" s="117"/>
      <c r="AI913" s="117"/>
      <c r="AJ913" s="117"/>
      <c r="AK913" s="182"/>
      <c r="AL913" s="165"/>
      <c r="AM913" s="109"/>
      <c r="AN913" s="109"/>
      <c r="AO913" s="109"/>
      <c r="AP913" s="109"/>
      <c r="AQ913" s="109"/>
      <c r="AR913" s="109"/>
      <c r="AS913" s="166"/>
      <c r="AT913" s="165"/>
      <c r="AU913" s="109"/>
      <c r="AV913" s="109"/>
      <c r="AW913" s="109"/>
      <c r="AX913" s="109"/>
      <c r="AY913" s="109"/>
      <c r="AZ913" s="166"/>
      <c r="BA913" s="162"/>
      <c r="BB913" s="109"/>
      <c r="BC913" s="109"/>
    </row>
    <row r="914" spans="2:55" ht="75" customHeight="1">
      <c r="B914" s="109"/>
      <c r="C914" s="109"/>
      <c r="D914" s="109"/>
      <c r="E914" s="161"/>
      <c r="F914" s="165"/>
      <c r="G914" s="109"/>
      <c r="H914" s="109"/>
      <c r="I914" s="109"/>
      <c r="J914" s="109"/>
      <c r="K914" s="109"/>
      <c r="L914" s="109"/>
      <c r="M914" s="166"/>
      <c r="N914" s="108"/>
      <c r="O914" s="162"/>
      <c r="P914" s="162"/>
      <c r="Q914" s="109"/>
      <c r="R914" s="109"/>
      <c r="S914" s="109"/>
      <c r="T914" s="109"/>
      <c r="U914" s="109"/>
      <c r="V914" s="166"/>
      <c r="W914" s="165"/>
      <c r="X914" s="109"/>
      <c r="Y914" s="109"/>
      <c r="Z914" s="109"/>
      <c r="AA914" s="109"/>
      <c r="AB914" s="109"/>
      <c r="AC914" s="109"/>
      <c r="AD914" s="166"/>
      <c r="AE914" s="174"/>
      <c r="AF914" s="117"/>
      <c r="AG914" s="117"/>
      <c r="AH914" s="117"/>
      <c r="AI914" s="117"/>
      <c r="AJ914" s="117"/>
      <c r="AK914" s="182"/>
      <c r="AL914" s="165"/>
      <c r="AM914" s="109"/>
      <c r="AN914" s="109"/>
      <c r="AO914" s="109"/>
      <c r="AP914" s="109"/>
      <c r="AQ914" s="109"/>
      <c r="AR914" s="109"/>
      <c r="AS914" s="166"/>
      <c r="AT914" s="165"/>
      <c r="AU914" s="109"/>
      <c r="AV914" s="109"/>
      <c r="AW914" s="109"/>
      <c r="AX914" s="109"/>
      <c r="AY914" s="109"/>
      <c r="AZ914" s="166"/>
      <c r="BA914" s="162"/>
      <c r="BB914" s="109"/>
      <c r="BC914" s="109"/>
    </row>
    <row r="915" spans="2:55" ht="75" customHeight="1">
      <c r="B915" s="109"/>
      <c r="C915" s="109"/>
      <c r="D915" s="109"/>
      <c r="E915" s="161"/>
      <c r="F915" s="165"/>
      <c r="G915" s="109"/>
      <c r="H915" s="109"/>
      <c r="I915" s="109"/>
      <c r="J915" s="109"/>
      <c r="K915" s="109"/>
      <c r="L915" s="109"/>
      <c r="M915" s="166"/>
      <c r="N915" s="108"/>
      <c r="O915" s="162"/>
      <c r="P915" s="162"/>
      <c r="Q915" s="109"/>
      <c r="R915" s="109"/>
      <c r="S915" s="109"/>
      <c r="T915" s="109"/>
      <c r="U915" s="109"/>
      <c r="V915" s="166"/>
      <c r="W915" s="165"/>
      <c r="X915" s="109"/>
      <c r="Y915" s="109"/>
      <c r="Z915" s="109"/>
      <c r="AA915" s="109"/>
      <c r="AB915" s="109"/>
      <c r="AC915" s="109"/>
      <c r="AD915" s="166"/>
      <c r="AE915" s="174"/>
      <c r="AF915" s="117"/>
      <c r="AG915" s="117"/>
      <c r="AH915" s="117"/>
      <c r="AI915" s="117"/>
      <c r="AJ915" s="117"/>
      <c r="AK915" s="182"/>
      <c r="AL915" s="165"/>
      <c r="AM915" s="109"/>
      <c r="AN915" s="109"/>
      <c r="AO915" s="109"/>
      <c r="AP915" s="109"/>
      <c r="AQ915" s="109"/>
      <c r="AR915" s="109"/>
      <c r="AS915" s="166"/>
      <c r="AT915" s="165"/>
      <c r="AU915" s="109"/>
      <c r="AV915" s="109"/>
      <c r="AW915" s="109"/>
      <c r="AX915" s="109"/>
      <c r="AY915" s="109"/>
      <c r="AZ915" s="166"/>
      <c r="BA915" s="162"/>
      <c r="BB915" s="109"/>
      <c r="BC915" s="109"/>
    </row>
    <row r="916" spans="2:55" ht="75" customHeight="1">
      <c r="B916" s="109"/>
      <c r="C916" s="109"/>
      <c r="D916" s="109"/>
      <c r="E916" s="161"/>
      <c r="F916" s="165"/>
      <c r="G916" s="109"/>
      <c r="H916" s="109"/>
      <c r="I916" s="109"/>
      <c r="J916" s="109"/>
      <c r="K916" s="109"/>
      <c r="L916" s="109"/>
      <c r="M916" s="166"/>
      <c r="N916" s="108"/>
      <c r="O916" s="162"/>
      <c r="P916" s="162"/>
      <c r="Q916" s="109"/>
      <c r="R916" s="109"/>
      <c r="S916" s="109"/>
      <c r="T916" s="109"/>
      <c r="U916" s="109"/>
      <c r="V916" s="166"/>
      <c r="W916" s="165"/>
      <c r="X916" s="109"/>
      <c r="Y916" s="109"/>
      <c r="Z916" s="109"/>
      <c r="AA916" s="109"/>
      <c r="AB916" s="109"/>
      <c r="AC916" s="109"/>
      <c r="AD916" s="166"/>
      <c r="AE916" s="174"/>
      <c r="AF916" s="117"/>
      <c r="AG916" s="117"/>
      <c r="AH916" s="117"/>
      <c r="AI916" s="117"/>
      <c r="AJ916" s="117"/>
      <c r="AK916" s="182"/>
      <c r="AL916" s="165"/>
      <c r="AM916" s="109"/>
      <c r="AN916" s="109"/>
      <c r="AO916" s="109"/>
      <c r="AP916" s="109"/>
      <c r="AQ916" s="109"/>
      <c r="AR916" s="109"/>
      <c r="AS916" s="166"/>
      <c r="AT916" s="165"/>
      <c r="AU916" s="109"/>
      <c r="AV916" s="109"/>
      <c r="AW916" s="109"/>
      <c r="AX916" s="109"/>
      <c r="AY916" s="109"/>
      <c r="AZ916" s="166"/>
      <c r="BA916" s="162"/>
      <c r="BB916" s="109"/>
      <c r="BC916" s="109"/>
    </row>
    <row r="917" spans="2:55" ht="75" customHeight="1">
      <c r="B917" s="109"/>
      <c r="C917" s="109"/>
      <c r="D917" s="109"/>
      <c r="E917" s="161"/>
      <c r="F917" s="165"/>
      <c r="G917" s="109"/>
      <c r="H917" s="109"/>
      <c r="I917" s="109"/>
      <c r="J917" s="109"/>
      <c r="K917" s="109"/>
      <c r="L917" s="109"/>
      <c r="M917" s="166"/>
      <c r="N917" s="108"/>
      <c r="O917" s="162"/>
      <c r="P917" s="162"/>
      <c r="Q917" s="109"/>
      <c r="R917" s="109"/>
      <c r="S917" s="109"/>
      <c r="T917" s="109"/>
      <c r="U917" s="109"/>
      <c r="V917" s="166"/>
      <c r="W917" s="165"/>
      <c r="X917" s="109"/>
      <c r="Y917" s="109"/>
      <c r="Z917" s="109"/>
      <c r="AA917" s="109"/>
      <c r="AB917" s="109"/>
      <c r="AC917" s="109"/>
      <c r="AD917" s="166"/>
      <c r="AE917" s="174"/>
      <c r="AF917" s="117"/>
      <c r="AG917" s="117"/>
      <c r="AH917" s="117"/>
      <c r="AI917" s="117"/>
      <c r="AJ917" s="117"/>
      <c r="AK917" s="182"/>
      <c r="AL917" s="165"/>
      <c r="AM917" s="109"/>
      <c r="AN917" s="109"/>
      <c r="AO917" s="109"/>
      <c r="AP917" s="109"/>
      <c r="AQ917" s="109"/>
      <c r="AR917" s="109"/>
      <c r="AS917" s="166"/>
      <c r="AT917" s="165"/>
      <c r="AU917" s="109"/>
      <c r="AV917" s="109"/>
      <c r="AW917" s="109"/>
      <c r="AX917" s="109"/>
      <c r="AY917" s="109"/>
      <c r="AZ917" s="166"/>
      <c r="BA917" s="162"/>
      <c r="BB917" s="109"/>
      <c r="BC917" s="109"/>
    </row>
    <row r="918" spans="2:55" ht="75" customHeight="1">
      <c r="B918" s="109"/>
      <c r="C918" s="109"/>
      <c r="D918" s="109"/>
      <c r="E918" s="161"/>
      <c r="F918" s="165"/>
      <c r="G918" s="109"/>
      <c r="H918" s="109"/>
      <c r="I918" s="109"/>
      <c r="J918" s="109"/>
      <c r="K918" s="109"/>
      <c r="L918" s="109"/>
      <c r="M918" s="166"/>
      <c r="N918" s="108"/>
      <c r="O918" s="162"/>
      <c r="P918" s="162"/>
      <c r="Q918" s="109"/>
      <c r="R918" s="109"/>
      <c r="S918" s="109"/>
      <c r="T918" s="109"/>
      <c r="U918" s="109"/>
      <c r="V918" s="166"/>
      <c r="W918" s="165"/>
      <c r="X918" s="109"/>
      <c r="Y918" s="109"/>
      <c r="Z918" s="109"/>
      <c r="AA918" s="109"/>
      <c r="AB918" s="109"/>
      <c r="AC918" s="109"/>
      <c r="AD918" s="166"/>
      <c r="AE918" s="174"/>
      <c r="AF918" s="117"/>
      <c r="AG918" s="117"/>
      <c r="AH918" s="117"/>
      <c r="AI918" s="117"/>
      <c r="AJ918" s="117"/>
      <c r="AK918" s="182"/>
      <c r="AL918" s="165"/>
      <c r="AM918" s="109"/>
      <c r="AN918" s="109"/>
      <c r="AO918" s="109"/>
      <c r="AP918" s="109"/>
      <c r="AQ918" s="109"/>
      <c r="AR918" s="109"/>
      <c r="AS918" s="166"/>
      <c r="AT918" s="165"/>
      <c r="AU918" s="109"/>
      <c r="AV918" s="109"/>
      <c r="AW918" s="109"/>
      <c r="AX918" s="109"/>
      <c r="AY918" s="109"/>
      <c r="AZ918" s="166"/>
      <c r="BA918" s="162"/>
      <c r="BB918" s="109"/>
      <c r="BC918" s="109"/>
    </row>
    <row r="919" spans="2:55" ht="75" customHeight="1">
      <c r="B919" s="109"/>
      <c r="C919" s="109"/>
      <c r="D919" s="109"/>
      <c r="E919" s="161"/>
      <c r="F919" s="165"/>
      <c r="G919" s="109"/>
      <c r="H919" s="109"/>
      <c r="I919" s="109"/>
      <c r="J919" s="109"/>
      <c r="K919" s="109"/>
      <c r="L919" s="109"/>
      <c r="M919" s="166"/>
      <c r="N919" s="108"/>
      <c r="O919" s="162"/>
      <c r="P919" s="162"/>
      <c r="Q919" s="109"/>
      <c r="R919" s="109"/>
      <c r="S919" s="109"/>
      <c r="T919" s="109"/>
      <c r="U919" s="109"/>
      <c r="V919" s="166"/>
      <c r="W919" s="165"/>
      <c r="X919" s="109"/>
      <c r="Y919" s="109"/>
      <c r="Z919" s="109"/>
      <c r="AA919" s="109"/>
      <c r="AB919" s="109"/>
      <c r="AC919" s="109"/>
      <c r="AD919" s="166"/>
      <c r="AE919" s="174"/>
      <c r="AF919" s="117"/>
      <c r="AG919" s="117"/>
      <c r="AH919" s="117"/>
      <c r="AI919" s="117"/>
      <c r="AJ919" s="117"/>
      <c r="AK919" s="182"/>
      <c r="AL919" s="165"/>
      <c r="AM919" s="109"/>
      <c r="AN919" s="109"/>
      <c r="AO919" s="109"/>
      <c r="AP919" s="109"/>
      <c r="AQ919" s="109"/>
      <c r="AR919" s="109"/>
      <c r="AS919" s="166"/>
      <c r="AT919" s="165"/>
      <c r="AU919" s="109"/>
      <c r="AV919" s="109"/>
      <c r="AW919" s="109"/>
      <c r="AX919" s="109"/>
      <c r="AY919" s="109"/>
      <c r="AZ919" s="166"/>
      <c r="BA919" s="162"/>
      <c r="BB919" s="109"/>
      <c r="BC919" s="109"/>
    </row>
    <row r="920" spans="2:55" ht="75" customHeight="1">
      <c r="B920" s="109"/>
      <c r="C920" s="109"/>
      <c r="D920" s="109"/>
      <c r="E920" s="161"/>
      <c r="F920" s="165"/>
      <c r="G920" s="109"/>
      <c r="H920" s="109"/>
      <c r="I920" s="109"/>
      <c r="J920" s="109"/>
      <c r="K920" s="109"/>
      <c r="L920" s="109"/>
      <c r="M920" s="166"/>
      <c r="N920" s="108"/>
      <c r="O920" s="162"/>
      <c r="P920" s="162"/>
      <c r="Q920" s="109"/>
      <c r="R920" s="109"/>
      <c r="S920" s="109"/>
      <c r="T920" s="109"/>
      <c r="U920" s="109"/>
      <c r="V920" s="166"/>
      <c r="W920" s="165"/>
      <c r="X920" s="109"/>
      <c r="Y920" s="109"/>
      <c r="Z920" s="109"/>
      <c r="AA920" s="109"/>
      <c r="AB920" s="109"/>
      <c r="AC920" s="109"/>
      <c r="AD920" s="166"/>
      <c r="AE920" s="174"/>
      <c r="AF920" s="117"/>
      <c r="AG920" s="117"/>
      <c r="AH920" s="117"/>
      <c r="AI920" s="117"/>
      <c r="AJ920" s="117"/>
      <c r="AK920" s="182"/>
      <c r="AL920" s="165"/>
      <c r="AM920" s="109"/>
      <c r="AN920" s="109"/>
      <c r="AO920" s="109"/>
      <c r="AP920" s="109"/>
      <c r="AQ920" s="109"/>
      <c r="AR920" s="109"/>
      <c r="AS920" s="166"/>
      <c r="AT920" s="165"/>
      <c r="AU920" s="109"/>
      <c r="AV920" s="109"/>
      <c r="AW920" s="109"/>
      <c r="AX920" s="109"/>
      <c r="AY920" s="109"/>
      <c r="AZ920" s="166"/>
      <c r="BA920" s="162"/>
      <c r="BB920" s="109"/>
      <c r="BC920" s="109"/>
    </row>
    <row r="921" spans="2:55" ht="75" customHeight="1">
      <c r="B921" s="109"/>
      <c r="C921" s="109"/>
      <c r="D921" s="109"/>
      <c r="E921" s="161"/>
      <c r="F921" s="165"/>
      <c r="G921" s="109"/>
      <c r="H921" s="109"/>
      <c r="I921" s="109"/>
      <c r="J921" s="109"/>
      <c r="K921" s="109"/>
      <c r="L921" s="109"/>
      <c r="M921" s="166"/>
      <c r="N921" s="108"/>
      <c r="O921" s="162"/>
      <c r="P921" s="162"/>
      <c r="Q921" s="109"/>
      <c r="R921" s="109"/>
      <c r="S921" s="109"/>
      <c r="T921" s="109"/>
      <c r="U921" s="109"/>
      <c r="V921" s="166"/>
      <c r="W921" s="165"/>
      <c r="X921" s="109"/>
      <c r="Y921" s="109"/>
      <c r="Z921" s="109"/>
      <c r="AA921" s="109"/>
      <c r="AB921" s="109"/>
      <c r="AC921" s="109"/>
      <c r="AD921" s="166"/>
      <c r="AE921" s="174"/>
      <c r="AF921" s="117"/>
      <c r="AG921" s="117"/>
      <c r="AH921" s="117"/>
      <c r="AI921" s="117"/>
      <c r="AJ921" s="117"/>
      <c r="AK921" s="182"/>
      <c r="AL921" s="165"/>
      <c r="AM921" s="109"/>
      <c r="AN921" s="109"/>
      <c r="AO921" s="109"/>
      <c r="AP921" s="109"/>
      <c r="AQ921" s="109"/>
      <c r="AR921" s="109"/>
      <c r="AS921" s="166"/>
      <c r="AT921" s="165"/>
      <c r="AU921" s="109"/>
      <c r="AV921" s="109"/>
      <c r="AW921" s="109"/>
      <c r="AX921" s="109"/>
      <c r="AY921" s="109"/>
      <c r="AZ921" s="166"/>
      <c r="BA921" s="162"/>
      <c r="BB921" s="109"/>
      <c r="BC921" s="109"/>
    </row>
    <row r="922" spans="2:55" ht="75" customHeight="1">
      <c r="B922" s="109"/>
      <c r="C922" s="109"/>
      <c r="D922" s="109"/>
      <c r="E922" s="161"/>
      <c r="F922" s="165"/>
      <c r="G922" s="109"/>
      <c r="H922" s="109"/>
      <c r="I922" s="109"/>
      <c r="J922" s="109"/>
      <c r="K922" s="109"/>
      <c r="L922" s="109"/>
      <c r="M922" s="166"/>
      <c r="N922" s="108"/>
      <c r="O922" s="162"/>
      <c r="P922" s="162"/>
      <c r="Q922" s="109"/>
      <c r="R922" s="109"/>
      <c r="S922" s="109"/>
      <c r="T922" s="109"/>
      <c r="U922" s="109"/>
      <c r="V922" s="166"/>
      <c r="W922" s="165"/>
      <c r="X922" s="109"/>
      <c r="Y922" s="109"/>
      <c r="Z922" s="109"/>
      <c r="AA922" s="109"/>
      <c r="AB922" s="109"/>
      <c r="AC922" s="109"/>
      <c r="AD922" s="166"/>
      <c r="AE922" s="174"/>
      <c r="AF922" s="117"/>
      <c r="AG922" s="117"/>
      <c r="AH922" s="117"/>
      <c r="AI922" s="117"/>
      <c r="AJ922" s="117"/>
      <c r="AK922" s="182"/>
      <c r="AL922" s="165"/>
      <c r="AM922" s="109"/>
      <c r="AN922" s="109"/>
      <c r="AO922" s="109"/>
      <c r="AP922" s="109"/>
      <c r="AQ922" s="109"/>
      <c r="AR922" s="109"/>
      <c r="AS922" s="166"/>
      <c r="AT922" s="165"/>
      <c r="AU922" s="109"/>
      <c r="AV922" s="109"/>
      <c r="AW922" s="109"/>
      <c r="AX922" s="109"/>
      <c r="AY922" s="109"/>
      <c r="AZ922" s="166"/>
      <c r="BA922" s="162"/>
      <c r="BB922" s="109"/>
      <c r="BC922" s="109"/>
    </row>
    <row r="923" spans="2:55" ht="75" customHeight="1">
      <c r="B923" s="109"/>
      <c r="C923" s="109"/>
      <c r="D923" s="109"/>
      <c r="E923" s="161"/>
      <c r="F923" s="165"/>
      <c r="G923" s="109"/>
      <c r="H923" s="109"/>
      <c r="I923" s="109"/>
      <c r="J923" s="109"/>
      <c r="K923" s="109"/>
      <c r="L923" s="109"/>
      <c r="M923" s="166"/>
      <c r="N923" s="108"/>
      <c r="O923" s="162"/>
      <c r="P923" s="162"/>
      <c r="Q923" s="109"/>
      <c r="R923" s="109"/>
      <c r="S923" s="109"/>
      <c r="T923" s="109"/>
      <c r="U923" s="109"/>
      <c r="V923" s="166"/>
      <c r="W923" s="165"/>
      <c r="X923" s="109"/>
      <c r="Y923" s="109"/>
      <c r="Z923" s="109"/>
      <c r="AA923" s="109"/>
      <c r="AB923" s="109"/>
      <c r="AC923" s="109"/>
      <c r="AD923" s="166"/>
      <c r="AE923" s="174"/>
      <c r="AF923" s="117"/>
      <c r="AG923" s="117"/>
      <c r="AH923" s="117"/>
      <c r="AI923" s="117"/>
      <c r="AJ923" s="117"/>
      <c r="AK923" s="182"/>
      <c r="AL923" s="165"/>
      <c r="AM923" s="109"/>
      <c r="AN923" s="109"/>
      <c r="AO923" s="109"/>
      <c r="AP923" s="109"/>
      <c r="AQ923" s="109"/>
      <c r="AR923" s="109"/>
      <c r="AS923" s="166"/>
      <c r="AT923" s="165"/>
      <c r="AU923" s="109"/>
      <c r="AV923" s="109"/>
      <c r="AW923" s="109"/>
      <c r="AX923" s="109"/>
      <c r="AY923" s="109"/>
      <c r="AZ923" s="166"/>
      <c r="BA923" s="162"/>
      <c r="BB923" s="109"/>
      <c r="BC923" s="109"/>
    </row>
    <row r="924" spans="2:55" ht="75" customHeight="1">
      <c r="B924" s="109"/>
      <c r="C924" s="109"/>
      <c r="D924" s="109"/>
      <c r="E924" s="161"/>
      <c r="F924" s="165"/>
      <c r="G924" s="109"/>
      <c r="H924" s="109"/>
      <c r="I924" s="109"/>
      <c r="J924" s="109"/>
      <c r="K924" s="109"/>
      <c r="L924" s="109"/>
      <c r="M924" s="166"/>
      <c r="N924" s="108"/>
      <c r="O924" s="162"/>
      <c r="P924" s="162"/>
      <c r="Q924" s="109"/>
      <c r="R924" s="109"/>
      <c r="S924" s="109"/>
      <c r="T924" s="109"/>
      <c r="U924" s="109"/>
      <c r="V924" s="166"/>
      <c r="W924" s="165"/>
      <c r="X924" s="109"/>
      <c r="Y924" s="109"/>
      <c r="Z924" s="109"/>
      <c r="AA924" s="109"/>
      <c r="AB924" s="109"/>
      <c r="AC924" s="109"/>
      <c r="AD924" s="166"/>
      <c r="AE924" s="174"/>
      <c r="AF924" s="117"/>
      <c r="AG924" s="117"/>
      <c r="AH924" s="117"/>
      <c r="AI924" s="117"/>
      <c r="AJ924" s="117"/>
      <c r="AK924" s="182"/>
      <c r="AL924" s="165"/>
      <c r="AM924" s="109"/>
      <c r="AN924" s="109"/>
      <c r="AO924" s="109"/>
      <c r="AP924" s="109"/>
      <c r="AQ924" s="109"/>
      <c r="AR924" s="109"/>
      <c r="AS924" s="166"/>
      <c r="AT924" s="165"/>
      <c r="AU924" s="109"/>
      <c r="AV924" s="109"/>
      <c r="AW924" s="109"/>
      <c r="AX924" s="109"/>
      <c r="AY924" s="109"/>
      <c r="AZ924" s="166"/>
      <c r="BA924" s="162"/>
      <c r="BB924" s="109"/>
      <c r="BC924" s="109"/>
    </row>
    <row r="925" spans="2:55" ht="75" customHeight="1">
      <c r="B925" s="109"/>
      <c r="C925" s="109"/>
      <c r="D925" s="109"/>
      <c r="E925" s="161"/>
      <c r="F925" s="165"/>
      <c r="G925" s="109"/>
      <c r="H925" s="109"/>
      <c r="I925" s="109"/>
      <c r="J925" s="109"/>
      <c r="K925" s="109"/>
      <c r="L925" s="109"/>
      <c r="M925" s="166"/>
      <c r="N925" s="108"/>
      <c r="O925" s="162"/>
      <c r="P925" s="162"/>
      <c r="Q925" s="109"/>
      <c r="R925" s="109"/>
      <c r="S925" s="109"/>
      <c r="T925" s="109"/>
      <c r="U925" s="109"/>
      <c r="V925" s="166"/>
      <c r="W925" s="165"/>
      <c r="X925" s="109"/>
      <c r="Y925" s="109"/>
      <c r="Z925" s="109"/>
      <c r="AA925" s="109"/>
      <c r="AB925" s="109"/>
      <c r="AC925" s="109"/>
      <c r="AD925" s="166"/>
      <c r="AE925" s="174"/>
      <c r="AF925" s="117"/>
      <c r="AG925" s="117"/>
      <c r="AH925" s="117"/>
      <c r="AI925" s="117"/>
      <c r="AJ925" s="117"/>
      <c r="AK925" s="182"/>
      <c r="AL925" s="165"/>
      <c r="AM925" s="109"/>
      <c r="AN925" s="109"/>
      <c r="AO925" s="109"/>
      <c r="AP925" s="109"/>
      <c r="AQ925" s="109"/>
      <c r="AR925" s="109"/>
      <c r="AS925" s="166"/>
      <c r="AT925" s="165"/>
      <c r="AU925" s="109"/>
      <c r="AV925" s="109"/>
      <c r="AW925" s="109"/>
      <c r="AX925" s="109"/>
      <c r="AY925" s="109"/>
      <c r="AZ925" s="166"/>
      <c r="BA925" s="162"/>
      <c r="BB925" s="109"/>
      <c r="BC925" s="109"/>
    </row>
    <row r="926" spans="2:55" ht="75" customHeight="1">
      <c r="B926" s="109"/>
      <c r="C926" s="109"/>
      <c r="D926" s="109"/>
      <c r="E926" s="161"/>
      <c r="F926" s="165"/>
      <c r="G926" s="109"/>
      <c r="H926" s="109"/>
      <c r="I926" s="109"/>
      <c r="J926" s="109"/>
      <c r="K926" s="109"/>
      <c r="L926" s="109"/>
      <c r="M926" s="166"/>
      <c r="N926" s="108"/>
      <c r="O926" s="162"/>
      <c r="P926" s="162"/>
      <c r="Q926" s="109"/>
      <c r="R926" s="109"/>
      <c r="S926" s="109"/>
      <c r="T926" s="109"/>
      <c r="U926" s="109"/>
      <c r="V926" s="166"/>
      <c r="W926" s="165"/>
      <c r="X926" s="109"/>
      <c r="Y926" s="109"/>
      <c r="Z926" s="109"/>
      <c r="AA926" s="109"/>
      <c r="AB926" s="109"/>
      <c r="AC926" s="109"/>
      <c r="AD926" s="166"/>
      <c r="AE926" s="174"/>
      <c r="AF926" s="117"/>
      <c r="AG926" s="117"/>
      <c r="AH926" s="117"/>
      <c r="AI926" s="117"/>
      <c r="AJ926" s="117"/>
      <c r="AK926" s="182"/>
      <c r="AL926" s="165"/>
      <c r="AM926" s="109"/>
      <c r="AN926" s="109"/>
      <c r="AO926" s="109"/>
      <c r="AP926" s="109"/>
      <c r="AQ926" s="109"/>
      <c r="AR926" s="109"/>
      <c r="AS926" s="166"/>
      <c r="AT926" s="165"/>
      <c r="AU926" s="109"/>
      <c r="AV926" s="109"/>
      <c r="AW926" s="109"/>
      <c r="AX926" s="109"/>
      <c r="AY926" s="109"/>
      <c r="AZ926" s="166"/>
      <c r="BA926" s="162"/>
      <c r="BB926" s="109"/>
      <c r="BC926" s="109"/>
    </row>
    <row r="927" spans="2:55" ht="75" customHeight="1">
      <c r="B927" s="109"/>
      <c r="C927" s="109"/>
      <c r="D927" s="109"/>
      <c r="E927" s="161"/>
      <c r="F927" s="165"/>
      <c r="G927" s="109"/>
      <c r="H927" s="109"/>
      <c r="I927" s="109"/>
      <c r="J927" s="109"/>
      <c r="K927" s="109"/>
      <c r="L927" s="109"/>
      <c r="M927" s="166"/>
      <c r="N927" s="108"/>
      <c r="O927" s="162"/>
      <c r="P927" s="162"/>
      <c r="Q927" s="109"/>
      <c r="R927" s="109"/>
      <c r="S927" s="109"/>
      <c r="T927" s="109"/>
      <c r="U927" s="109"/>
      <c r="V927" s="166"/>
      <c r="W927" s="165"/>
      <c r="X927" s="109"/>
      <c r="Y927" s="109"/>
      <c r="Z927" s="109"/>
      <c r="AA927" s="109"/>
      <c r="AB927" s="109"/>
      <c r="AC927" s="109"/>
      <c r="AD927" s="166"/>
      <c r="AE927" s="174"/>
      <c r="AF927" s="117"/>
      <c r="AG927" s="117"/>
      <c r="AH927" s="117"/>
      <c r="AI927" s="117"/>
      <c r="AJ927" s="117"/>
      <c r="AK927" s="182"/>
      <c r="AL927" s="165"/>
      <c r="AM927" s="109"/>
      <c r="AN927" s="109"/>
      <c r="AO927" s="109"/>
      <c r="AP927" s="109"/>
      <c r="AQ927" s="109"/>
      <c r="AR927" s="109"/>
      <c r="AS927" s="166"/>
      <c r="AT927" s="165"/>
      <c r="AU927" s="109"/>
      <c r="AV927" s="109"/>
      <c r="AW927" s="109"/>
      <c r="AX927" s="109"/>
      <c r="AY927" s="109"/>
      <c r="AZ927" s="166"/>
      <c r="BA927" s="162"/>
      <c r="BB927" s="109"/>
      <c r="BC927" s="109"/>
    </row>
    <row r="928" spans="2:55" ht="75" customHeight="1">
      <c r="B928" s="109"/>
      <c r="C928" s="109"/>
      <c r="D928" s="109"/>
      <c r="E928" s="161"/>
      <c r="F928" s="165"/>
      <c r="G928" s="109"/>
      <c r="H928" s="109"/>
      <c r="I928" s="109"/>
      <c r="J928" s="109"/>
      <c r="K928" s="109"/>
      <c r="L928" s="109"/>
      <c r="M928" s="166"/>
      <c r="N928" s="108"/>
      <c r="O928" s="162"/>
      <c r="P928" s="162"/>
      <c r="Q928" s="109"/>
      <c r="R928" s="109"/>
      <c r="S928" s="109"/>
      <c r="T928" s="109"/>
      <c r="U928" s="109"/>
      <c r="V928" s="166"/>
      <c r="W928" s="165"/>
      <c r="X928" s="109"/>
      <c r="Y928" s="109"/>
      <c r="Z928" s="109"/>
      <c r="AA928" s="109"/>
      <c r="AB928" s="109"/>
      <c r="AC928" s="109"/>
      <c r="AD928" s="166"/>
      <c r="AE928" s="174"/>
      <c r="AF928" s="117"/>
      <c r="AG928" s="117"/>
      <c r="AH928" s="117"/>
      <c r="AI928" s="117"/>
      <c r="AJ928" s="117"/>
      <c r="AK928" s="182"/>
      <c r="AL928" s="165"/>
      <c r="AM928" s="109"/>
      <c r="AN928" s="109"/>
      <c r="AO928" s="109"/>
      <c r="AP928" s="109"/>
      <c r="AQ928" s="109"/>
      <c r="AR928" s="109"/>
      <c r="AS928" s="166"/>
      <c r="AT928" s="165"/>
      <c r="AU928" s="109"/>
      <c r="AV928" s="109"/>
      <c r="AW928" s="109"/>
      <c r="AX928" s="109"/>
      <c r="AY928" s="109"/>
      <c r="AZ928" s="166"/>
      <c r="BA928" s="162"/>
      <c r="BB928" s="109"/>
      <c r="BC928" s="109"/>
    </row>
    <row r="929" spans="2:55" ht="75" customHeight="1">
      <c r="B929" s="109"/>
      <c r="C929" s="109"/>
      <c r="D929" s="109"/>
      <c r="E929" s="161"/>
      <c r="F929" s="165"/>
      <c r="G929" s="109"/>
      <c r="H929" s="109"/>
      <c r="I929" s="109"/>
      <c r="J929" s="109"/>
      <c r="K929" s="109"/>
      <c r="L929" s="109"/>
      <c r="M929" s="166"/>
      <c r="N929" s="108"/>
      <c r="O929" s="162"/>
      <c r="P929" s="162"/>
      <c r="Q929" s="109"/>
      <c r="R929" s="109"/>
      <c r="S929" s="109"/>
      <c r="T929" s="109"/>
      <c r="U929" s="109"/>
      <c r="V929" s="166"/>
      <c r="W929" s="165"/>
      <c r="X929" s="109"/>
      <c r="Y929" s="109"/>
      <c r="Z929" s="109"/>
      <c r="AA929" s="109"/>
      <c r="AB929" s="109"/>
      <c r="AC929" s="109"/>
      <c r="AD929" s="166"/>
      <c r="AE929" s="174"/>
      <c r="AF929" s="117"/>
      <c r="AG929" s="117"/>
      <c r="AH929" s="117"/>
      <c r="AI929" s="117"/>
      <c r="AJ929" s="117"/>
      <c r="AK929" s="182"/>
      <c r="AL929" s="165"/>
      <c r="AM929" s="109"/>
      <c r="AN929" s="109"/>
      <c r="AO929" s="109"/>
      <c r="AP929" s="109"/>
      <c r="AQ929" s="109"/>
      <c r="AR929" s="109"/>
      <c r="AS929" s="166"/>
      <c r="AT929" s="165"/>
      <c r="AU929" s="109"/>
      <c r="AV929" s="109"/>
      <c r="AW929" s="109"/>
      <c r="AX929" s="109"/>
      <c r="AY929" s="109"/>
      <c r="AZ929" s="166"/>
      <c r="BA929" s="162"/>
      <c r="BB929" s="109"/>
      <c r="BC929" s="109"/>
    </row>
    <row r="930" spans="2:55" ht="75" customHeight="1">
      <c r="B930" s="109"/>
      <c r="C930" s="109"/>
      <c r="D930" s="109"/>
      <c r="E930" s="161"/>
      <c r="F930" s="165"/>
      <c r="G930" s="109"/>
      <c r="H930" s="109"/>
      <c r="I930" s="109"/>
      <c r="J930" s="109"/>
      <c r="K930" s="109"/>
      <c r="L930" s="109"/>
      <c r="M930" s="166"/>
      <c r="N930" s="108"/>
      <c r="O930" s="162"/>
      <c r="P930" s="162"/>
      <c r="Q930" s="109"/>
      <c r="R930" s="109"/>
      <c r="S930" s="109"/>
      <c r="T930" s="109"/>
      <c r="U930" s="109"/>
      <c r="V930" s="166"/>
      <c r="W930" s="165"/>
      <c r="X930" s="109"/>
      <c r="Y930" s="109"/>
      <c r="Z930" s="109"/>
      <c r="AA930" s="109"/>
      <c r="AB930" s="109"/>
      <c r="AC930" s="109"/>
      <c r="AD930" s="166"/>
      <c r="AE930" s="174"/>
      <c r="AF930" s="117"/>
      <c r="AG930" s="117"/>
      <c r="AH930" s="117"/>
      <c r="AI930" s="117"/>
      <c r="AJ930" s="117"/>
      <c r="AK930" s="182"/>
      <c r="AL930" s="165"/>
      <c r="AM930" s="109"/>
      <c r="AN930" s="109"/>
      <c r="AO930" s="109"/>
      <c r="AP930" s="109"/>
      <c r="AQ930" s="109"/>
      <c r="AR930" s="109"/>
      <c r="AS930" s="166"/>
      <c r="AT930" s="165"/>
      <c r="AU930" s="109"/>
      <c r="AV930" s="109"/>
      <c r="AW930" s="109"/>
      <c r="AX930" s="109"/>
      <c r="AY930" s="109"/>
      <c r="AZ930" s="166"/>
      <c r="BA930" s="162"/>
      <c r="BB930" s="109"/>
      <c r="BC930" s="109"/>
    </row>
    <row r="931" spans="2:55" ht="75" customHeight="1">
      <c r="B931" s="109"/>
      <c r="C931" s="109"/>
      <c r="D931" s="109"/>
      <c r="E931" s="161"/>
      <c r="F931" s="165"/>
      <c r="G931" s="109"/>
      <c r="H931" s="109"/>
      <c r="I931" s="109"/>
      <c r="J931" s="109"/>
      <c r="K931" s="109"/>
      <c r="L931" s="109"/>
      <c r="M931" s="166"/>
      <c r="N931" s="108"/>
      <c r="O931" s="162"/>
      <c r="P931" s="162"/>
      <c r="Q931" s="109"/>
      <c r="R931" s="109"/>
      <c r="S931" s="109"/>
      <c r="T931" s="109"/>
      <c r="U931" s="109"/>
      <c r="V931" s="166"/>
      <c r="W931" s="165"/>
      <c r="X931" s="109"/>
      <c r="Y931" s="109"/>
      <c r="Z931" s="109"/>
      <c r="AA931" s="109"/>
      <c r="AB931" s="109"/>
      <c r="AC931" s="109"/>
      <c r="AD931" s="166"/>
      <c r="AE931" s="174"/>
      <c r="AF931" s="117"/>
      <c r="AG931" s="117"/>
      <c r="AH931" s="117"/>
      <c r="AI931" s="117"/>
      <c r="AJ931" s="117"/>
      <c r="AK931" s="182"/>
      <c r="AL931" s="165"/>
      <c r="AM931" s="109"/>
      <c r="AN931" s="109"/>
      <c r="AO931" s="109"/>
      <c r="AP931" s="109"/>
      <c r="AQ931" s="109"/>
      <c r="AR931" s="109"/>
      <c r="AS931" s="166"/>
      <c r="AT931" s="165"/>
      <c r="AU931" s="109"/>
      <c r="AV931" s="109"/>
      <c r="AW931" s="109"/>
      <c r="AX931" s="109"/>
      <c r="AY931" s="109"/>
      <c r="AZ931" s="166"/>
      <c r="BA931" s="162"/>
      <c r="BB931" s="109"/>
      <c r="BC931" s="109"/>
    </row>
    <row r="932" spans="2:55" ht="75" customHeight="1">
      <c r="B932" s="109"/>
      <c r="C932" s="109"/>
      <c r="D932" s="109"/>
      <c r="E932" s="161"/>
      <c r="F932" s="165"/>
      <c r="G932" s="109"/>
      <c r="H932" s="109"/>
      <c r="I932" s="109"/>
      <c r="J932" s="109"/>
      <c r="K932" s="109"/>
      <c r="L932" s="109"/>
      <c r="M932" s="166"/>
      <c r="N932" s="108"/>
      <c r="O932" s="162"/>
      <c r="P932" s="162"/>
      <c r="Q932" s="109"/>
      <c r="R932" s="109"/>
      <c r="S932" s="109"/>
      <c r="T932" s="109"/>
      <c r="U932" s="109"/>
      <c r="V932" s="166"/>
      <c r="W932" s="165"/>
      <c r="X932" s="109"/>
      <c r="Y932" s="109"/>
      <c r="Z932" s="109"/>
      <c r="AA932" s="109"/>
      <c r="AB932" s="109"/>
      <c r="AC932" s="109"/>
      <c r="AD932" s="166"/>
      <c r="AE932" s="174"/>
      <c r="AF932" s="117"/>
      <c r="AG932" s="117"/>
      <c r="AH932" s="117"/>
      <c r="AI932" s="117"/>
      <c r="AJ932" s="117"/>
      <c r="AK932" s="182"/>
      <c r="AL932" s="165"/>
      <c r="AM932" s="109"/>
      <c r="AN932" s="109"/>
      <c r="AO932" s="109"/>
      <c r="AP932" s="109"/>
      <c r="AQ932" s="109"/>
      <c r="AR932" s="109"/>
      <c r="AS932" s="166"/>
      <c r="AT932" s="165"/>
      <c r="AU932" s="109"/>
      <c r="AV932" s="109"/>
      <c r="AW932" s="109"/>
      <c r="AX932" s="109"/>
      <c r="AY932" s="109"/>
      <c r="AZ932" s="166"/>
      <c r="BA932" s="162"/>
      <c r="BB932" s="109"/>
      <c r="BC932" s="109"/>
    </row>
    <row r="933" spans="2:55" ht="75" customHeight="1">
      <c r="B933" s="109"/>
      <c r="C933" s="109"/>
      <c r="D933" s="109"/>
      <c r="E933" s="161"/>
      <c r="F933" s="165"/>
      <c r="G933" s="109"/>
      <c r="H933" s="109"/>
      <c r="I933" s="109"/>
      <c r="J933" s="109"/>
      <c r="K933" s="109"/>
      <c r="L933" s="109"/>
      <c r="M933" s="166"/>
      <c r="N933" s="108"/>
      <c r="O933" s="162"/>
      <c r="P933" s="162"/>
      <c r="Q933" s="109"/>
      <c r="R933" s="109"/>
      <c r="S933" s="109"/>
      <c r="T933" s="109"/>
      <c r="U933" s="109"/>
      <c r="V933" s="166"/>
      <c r="W933" s="165"/>
      <c r="X933" s="109"/>
      <c r="Y933" s="109"/>
      <c r="Z933" s="109"/>
      <c r="AA933" s="109"/>
      <c r="AB933" s="109"/>
      <c r="AC933" s="109"/>
      <c r="AD933" s="166"/>
      <c r="AE933" s="174"/>
      <c r="AF933" s="117"/>
      <c r="AG933" s="117"/>
      <c r="AH933" s="117"/>
      <c r="AI933" s="117"/>
      <c r="AJ933" s="117"/>
      <c r="AK933" s="182"/>
      <c r="AL933" s="165"/>
      <c r="AM933" s="109"/>
      <c r="AN933" s="109"/>
      <c r="AO933" s="109"/>
      <c r="AP933" s="109"/>
      <c r="AQ933" s="109"/>
      <c r="AR933" s="109"/>
      <c r="AS933" s="166"/>
      <c r="AT933" s="165"/>
      <c r="AU933" s="109"/>
      <c r="AV933" s="109"/>
      <c r="AW933" s="109"/>
      <c r="AX933" s="109"/>
      <c r="AY933" s="109"/>
      <c r="AZ933" s="166"/>
      <c r="BA933" s="162"/>
      <c r="BB933" s="109"/>
      <c r="BC933" s="109"/>
    </row>
    <row r="934" spans="2:55" ht="75" customHeight="1">
      <c r="B934" s="109"/>
      <c r="C934" s="109"/>
      <c r="D934" s="109"/>
      <c r="E934" s="161"/>
      <c r="F934" s="165"/>
      <c r="G934" s="109"/>
      <c r="H934" s="109"/>
      <c r="I934" s="109"/>
      <c r="J934" s="109"/>
      <c r="K934" s="109"/>
      <c r="L934" s="109"/>
      <c r="M934" s="166"/>
      <c r="N934" s="108"/>
      <c r="O934" s="162"/>
      <c r="P934" s="162"/>
      <c r="Q934" s="109"/>
      <c r="R934" s="109"/>
      <c r="S934" s="109"/>
      <c r="T934" s="109"/>
      <c r="U934" s="109"/>
      <c r="V934" s="166"/>
      <c r="W934" s="165"/>
      <c r="X934" s="109"/>
      <c r="Y934" s="109"/>
      <c r="Z934" s="109"/>
      <c r="AA934" s="109"/>
      <c r="AB934" s="109"/>
      <c r="AC934" s="109"/>
      <c r="AD934" s="166"/>
      <c r="AE934" s="174"/>
      <c r="AF934" s="117"/>
      <c r="AG934" s="117"/>
      <c r="AH934" s="117"/>
      <c r="AI934" s="117"/>
      <c r="AJ934" s="117"/>
      <c r="AK934" s="182"/>
      <c r="AL934" s="165"/>
      <c r="AM934" s="109"/>
      <c r="AN934" s="109"/>
      <c r="AO934" s="109"/>
      <c r="AP934" s="109"/>
      <c r="AQ934" s="109"/>
      <c r="AR934" s="109"/>
      <c r="AS934" s="166"/>
      <c r="AT934" s="165"/>
      <c r="AU934" s="109"/>
      <c r="AV934" s="109"/>
      <c r="AW934" s="109"/>
      <c r="AX934" s="109"/>
      <c r="AY934" s="109"/>
      <c r="AZ934" s="166"/>
      <c r="BA934" s="162"/>
      <c r="BB934" s="109"/>
      <c r="BC934" s="109"/>
    </row>
    <row r="935" spans="2:55" ht="75" customHeight="1">
      <c r="B935" s="109"/>
      <c r="C935" s="109"/>
      <c r="D935" s="109"/>
      <c r="E935" s="161"/>
      <c r="F935" s="165"/>
      <c r="G935" s="109"/>
      <c r="H935" s="109"/>
      <c r="I935" s="109"/>
      <c r="J935" s="109"/>
      <c r="K935" s="109"/>
      <c r="L935" s="109"/>
      <c r="M935" s="166"/>
      <c r="N935" s="108"/>
      <c r="O935" s="162"/>
      <c r="P935" s="162"/>
      <c r="Q935" s="109"/>
      <c r="R935" s="109"/>
      <c r="S935" s="109"/>
      <c r="T935" s="109"/>
      <c r="U935" s="109"/>
      <c r="V935" s="166"/>
      <c r="W935" s="165"/>
      <c r="X935" s="109"/>
      <c r="Y935" s="109"/>
      <c r="Z935" s="109"/>
      <c r="AA935" s="109"/>
      <c r="AB935" s="109"/>
      <c r="AC935" s="109"/>
      <c r="AD935" s="166"/>
      <c r="AE935" s="174"/>
      <c r="AF935" s="117"/>
      <c r="AG935" s="117"/>
      <c r="AH935" s="117"/>
      <c r="AI935" s="117"/>
      <c r="AJ935" s="117"/>
      <c r="AK935" s="182"/>
      <c r="AL935" s="165"/>
      <c r="AM935" s="109"/>
      <c r="AN935" s="109"/>
      <c r="AO935" s="109"/>
      <c r="AP935" s="109"/>
      <c r="AQ935" s="109"/>
      <c r="AR935" s="109"/>
      <c r="AS935" s="166"/>
      <c r="AT935" s="165"/>
      <c r="AU935" s="109"/>
      <c r="AV935" s="109"/>
      <c r="AW935" s="109"/>
      <c r="AX935" s="109"/>
      <c r="AY935" s="109"/>
      <c r="AZ935" s="166"/>
      <c r="BA935" s="162"/>
      <c r="BB935" s="109"/>
      <c r="BC935" s="109"/>
    </row>
    <row r="936" spans="2:55" ht="75" customHeight="1">
      <c r="B936" s="109"/>
      <c r="C936" s="109"/>
      <c r="D936" s="109"/>
      <c r="E936" s="161"/>
      <c r="F936" s="165"/>
      <c r="G936" s="109"/>
      <c r="H936" s="109"/>
      <c r="I936" s="109"/>
      <c r="J936" s="109"/>
      <c r="K936" s="109"/>
      <c r="L936" s="109"/>
      <c r="M936" s="166"/>
      <c r="N936" s="108"/>
      <c r="O936" s="162"/>
      <c r="P936" s="162"/>
      <c r="Q936" s="109"/>
      <c r="R936" s="109"/>
      <c r="S936" s="109"/>
      <c r="T936" s="109"/>
      <c r="U936" s="109"/>
      <c r="V936" s="166"/>
      <c r="W936" s="165"/>
      <c r="X936" s="109"/>
      <c r="Y936" s="109"/>
      <c r="Z936" s="109"/>
      <c r="AA936" s="109"/>
      <c r="AB936" s="109"/>
      <c r="AC936" s="109"/>
      <c r="AD936" s="166"/>
      <c r="AE936" s="174"/>
      <c r="AF936" s="117"/>
      <c r="AG936" s="117"/>
      <c r="AH936" s="117"/>
      <c r="AI936" s="117"/>
      <c r="AJ936" s="117"/>
      <c r="AK936" s="182"/>
      <c r="AL936" s="165"/>
      <c r="AM936" s="109"/>
      <c r="AN936" s="109"/>
      <c r="AO936" s="109"/>
      <c r="AP936" s="109"/>
      <c r="AQ936" s="109"/>
      <c r="AR936" s="109"/>
      <c r="AS936" s="166"/>
      <c r="AT936" s="165"/>
      <c r="AU936" s="109"/>
      <c r="AV936" s="109"/>
      <c r="AW936" s="109"/>
      <c r="AX936" s="109"/>
      <c r="AY936" s="109"/>
      <c r="AZ936" s="166"/>
      <c r="BA936" s="162"/>
      <c r="BB936" s="109"/>
      <c r="BC936" s="109"/>
    </row>
    <row r="937" spans="2:55" ht="75" customHeight="1">
      <c r="B937" s="109"/>
      <c r="C937" s="109"/>
      <c r="D937" s="109"/>
      <c r="E937" s="161"/>
      <c r="F937" s="165"/>
      <c r="G937" s="109"/>
      <c r="H937" s="109"/>
      <c r="I937" s="109"/>
      <c r="J937" s="109"/>
      <c r="K937" s="109"/>
      <c r="L937" s="109"/>
      <c r="M937" s="166"/>
      <c r="N937" s="108"/>
      <c r="O937" s="162"/>
      <c r="P937" s="162"/>
      <c r="Q937" s="109"/>
      <c r="R937" s="109"/>
      <c r="S937" s="109"/>
      <c r="T937" s="109"/>
      <c r="U937" s="109"/>
      <c r="V937" s="166"/>
      <c r="W937" s="165"/>
      <c r="X937" s="109"/>
      <c r="Y937" s="109"/>
      <c r="Z937" s="109"/>
      <c r="AA937" s="109"/>
      <c r="AB937" s="109"/>
      <c r="AC937" s="109"/>
      <c r="AD937" s="166"/>
      <c r="AE937" s="174"/>
      <c r="AF937" s="117"/>
      <c r="AG937" s="117"/>
      <c r="AH937" s="117"/>
      <c r="AI937" s="117"/>
      <c r="AJ937" s="117"/>
      <c r="AK937" s="182"/>
      <c r="AL937" s="165"/>
      <c r="AM937" s="109"/>
      <c r="AN937" s="109"/>
      <c r="AO937" s="109"/>
      <c r="AP937" s="109"/>
      <c r="AQ937" s="109"/>
      <c r="AR937" s="109"/>
      <c r="AS937" s="166"/>
      <c r="AT937" s="165"/>
      <c r="AU937" s="109"/>
      <c r="AV937" s="109"/>
      <c r="AW937" s="109"/>
      <c r="AX937" s="109"/>
      <c r="AY937" s="109"/>
      <c r="AZ937" s="166"/>
      <c r="BA937" s="162"/>
      <c r="BB937" s="109"/>
      <c r="BC937" s="109"/>
    </row>
  </sheetData>
  <autoFilter ref="A2:BC832" xr:uid="{0B266E3F-720F-4CB5-9A64-1423EC3F8E8A}">
    <filterColumn colId="0">
      <filters>
        <filter val="Brivo MR355"/>
        <filter val="Optima MR360"/>
        <filter val="SIGNA Aviator Air"/>
        <filter val="SIGNA Creator"/>
        <filter val="SIGNA PET/MR"/>
        <filter val="SIGNA Prime"/>
        <filter val="SIGNA Star Air"/>
        <filter val="SIGNA Victor"/>
      </filters>
    </filterColumn>
  </autoFilter>
  <dataConsolidate link="1"/>
  <mergeCells count="6">
    <mergeCell ref="P1:V1"/>
    <mergeCell ref="AE1:AK1"/>
    <mergeCell ref="AT1:AY1"/>
    <mergeCell ref="F1:M1"/>
    <mergeCell ref="W1:AD1"/>
    <mergeCell ref="AL1:AS1"/>
  </mergeCells>
  <phoneticPr fontId="17" type="noConversion"/>
  <conditionalFormatting sqref="C348:H348 B216:C216 E216 C294 C325 C335 C350 C506 C512 C555 C613 C642 B273:C273 E273 E294 E325 E335 E350 E506 E512 C611 E555 E611 E613 E642 C16:G16 AB14 B14:G14 AB16 B214:H214 B219:H219 B225:H225 B232:H232 B240:H240 B247:H247 C253:H253 B259:H259 B262:H262 B501:H501 B522:H522 B539:H539 B543:H543 B602:H604 AX642:BC644 AX629:BC629 AX14:BC14 AX180:BC182 AX170:BC170 AX155:BC155 AX143:BC143 AX131:BC131 AX573:BC573 AX348:BC348 AX320:BC323 AX299:BC301 AX258:BC260 AX252:BC254 AX246:BC248 AX238:BC238 AX231:BC233 AX224:BC226 AX575:BC578 AX312:BC312 AX280:AZ280 AX111:BC112 AX109:BC109 AX107:BC107 AX570:BC570 AX339:BC345 AX310:BC310 AX117:BC129 AX115:BC115 AX509:BC510 AX501:BC504 AX337:BC337 AX331:BC333 AX304:BC308 AX291:BC292 BB613 AX611:AZ611 AX514:BC515 AX506:BC506 AX350:BC378 AX335:BC335 AX325:BC329 AX273:BC276 AX294:BC295 AX216:BC220 AX553:BC553 AX543:BC543 AX315:BC316 AX192:BC192 AX189:BC189 AY186:BC186 AX587:BC587 AX585:AZ585 H216:V216 H272:V273 H286:V286 H294:V294 H512:V512 H215:W215 C293:V293 C511:V511 J134:L135 J138:L139 J142:L143 J146:L146 J150:L151 J154:L155 J157:L158 J166:L166 Y215:AK216 Y272:AK273 Y286:AK286 Y293:AK294 Y324:AK325 Y511:AK512 Y554:AK555 Y610:AK611 Y641:AK642 C298:AK298 J296:AK297 AN215:AS216 AN272:AS272 AN286:AS286 AN293:AS294 AN324:AS325 H324:V325 AN334:AS335 H334:V335 AN349:AS350 H349:V350 AN505:AS506 H505:V506 AN511:AS512 AN554:AS555 H554:V555 H610:V613 AN641:AS642 H641:V642 B217:R218 B290:O292 B502:R504 J214:R214 B220:R220 J219:R219 B226:R226 J225:R225 B233:R233 J232:R232 B248:R248 J247:R247 C254:R254 J253:R253 B260:R260 J259:R259 B263:R263 J300:R300 J321:R321 J571:R573 J602:R605 J221:R222 J227:R228 J235:R236 J249:R250 J255:R256 J261:R262 B266:R266 J264:R265 J267:R268 J288:O289 B287:O287 J317:R318 AM296:AS298 B223:R224 B230:R231 B237:R238 B245:R246 B251:R252 B257:R258 C299:R299 B295:AS295 S299:AS323 B327:AS327 B213:G213 P213:R213 AX284:BC285 C155:H155 H180:H182 B510:R510 B569:R570 C187:R187 H186:R186 C188 H188:R188 E188 C193:R194 C190:R191 C573:H573 C314:R316 C508:R509 C567:R568 C548:R549 B180:E182 B186:E186 B189:R189 B192:R192 B507:R507 B545:R547 B382:AL382 B384:AL384 B386:AL386 B388:AL388 B390:AC390 B392:AC392 B394:AC394 B397:BC397 B406:BC406 B408:BC408 B410:BC410 B415:BC415 B417:BC417 B419:BC419 C421:BC421 B423:AC423 C425:AC425 B427:AC427 S507:AS510 AX497:BC498 B517:AK517 B551:AS553 B556:AC563 AX551:BC551 B565:R566 AX583:AZ583 C629:AC629 B635:V635 B637:AC637 B520:AC520 J522:BC522 J524:BC524 B524:H524 B526:H526 J526:BC526 J528:AK528 B528:H528 B530:H530 J530:AK530 J532:AK532 B532:H532 B535:H535 B633:F633 AT639:AW644 B643:AS644 B639:V640 P45:R45 B45:K45 B96:K96 P96:R96 P129:R129 B129:G129 M54:R95 B130:L133 L17:R17 P18:R18 C17:I17 B18:G18 Y349:AK350 AE394:AL394 AE392:AL392 AE390:AL390 B402:AC405 AE402:AL405 B398:AC400 AE398:AL400 AE427:AL427 AE425:AL425 Y505:AK506 AE520:AL520 B518:AC518 AE518:AL518 B538:AW538 AE556:AS557 W582:AC582 Y612:AC613 AE612:AK614 AE633:AK633 W639:AC639 AE637:AK637 AE635:BC635 W640:AD640 AE639:AK640 B513:AS514 Y334:AK335 S17:AD45 AL352:AS377 AL378 AN378:AS378 AN386:BC386 AN384:BC384 AN382:BC382 AN380:BC380 AN390:BC390 AN392:BC392 AN394:BC394 AN388:BC388 AN398:BC400 AN402:BC405 AE423:AL423 AN423:BC423 AN425:BC425 AN427:BC427 B486:BC495 AN518:BC518 AN520:BC520 AL614:AW614 AN610:AS613 AX555:BC557 BA563:BB563 AT551:AW563 BA565:BB565 S565:AS565 AW565 S566:AW573 BA568:BB568 AE574:AW580 BB580:BC580 AE582:AS582 AX512:AY513 BA512:BC513 B614:AC614 S545:AW549 AX545:BC546 AX561:BB561 S503:AS504 S502:AK502 B515:AK515 AE559:AS563 AE558:AK558 AT349:AW378 AU347:AW348 J500:AK501 AT502:AW515 AU500:AW501 J542:AK543 AU542:AW543 AU585:AW586 W583:AK586 J347:AK348 BB585:BC585 B430:M432 AT432:AZ432 B435:M437 AT435:AZ435 B497:AK499 AT517:BC517 J535:AK535 AT535:BC535 AT532:BC532 AT530:BC530 AT528:BC528 B540:AK541 J539:AK539 AT637:AZ637 AX639:AZ640 BB637:BC637 BB639:BC640 AT497:AW499 AT539:AW541 AT583:AW584 BB582:BC583 AX559:BC560 AX558:AZ558 BB558:BC558 B574:AC580 B97:R128 C599:H599 C600:R601 B599:B600 B598:H598 B47:L95 B19:R44 B582:R595 C301:R304 C306:R306 C322:R323 C326:AS326 B328:AK328 B329:AS329 B331:AK331 B345:AK345 C346:AK346 B346:B352 B307:R313 B332:AS333 B305:R305 B314:B315 B321:H321 B334:B335 B336:AS342 B351:AK354 B380:AL380 B668:B669 B597:R597 C596:R596 C605:H605 E686 B412:BC413 B673 BA667:BA669 A672 AX538:BC540 B537:AM537 AT537:AZ537 BA671:BA688 C300:H300 B693:D693 F693:X693 AL693:AM693 BC693 AX282:BB283 BB280 AX589:BC598 BB611 AX47:BC105 M47:V53 AN46:AO46 S235:AS235 AT235:AW238 AN234:AO234 J240:AS240 S236:AK238 AT240:AW243 AX240:BC241 B241:AK241 J242:AK243 AO244 B274:AK276 AX278:BC279 AX16:BC45 S217:AS228 S230:AW233 AO236:AS237 AP238:AS238 AO241:AS243 AP273:AS276 BB609 I598:R599 B707:G707 AL707:AM707 BB707:BC707 BB599:BC608 B606:R609 S582:V609 AT587:AW612 W587:AS609 AX599:AZ609 BA599:BA613 A583:A614 W47:AS142 C624:V624 AA624:AB624 C628:V628 Y633:AC633 AA635:AB635 B467:BC483 B438:C439 E438:E439 X438:AK439 W149:AS154 Y170:AS170 AN169:AS169 Y169:AK169 M166:V167 P164:V165 Y164:AW167 F634 P633:V633 G633:O634 Y634:Z636 AC634:AC636 AN633:BC633 AA620:AB622 A620:A622 P620:V621 C620:O620 B621:O622 Y620:Z624 AC620:AD624 AE620:BC622 AE624:BC624 Y628:AC628 AE628:AW629 A628:A629 AD628:AD630 A617 C617:V617 Y617:AW617 G438:M439 B319:R320 C330:AK330 B344:AS344 C343:AS343 B356:AK365 C355:AK355 B367:AK378 C366:AK366 B645:BC649 B833:BC1048576 J814:AW814 AN813:AO813 B816:H816 J816:BC816 B818:AW818 AO817 B278:AK278 AS278 B820:E820 AS820:BC820 G820:AK820 B819:AL819 AM819:AM820 P440:BC464 W435:AK435 W432:AK432 W437:BC437 W430:AZ431 B465:M466 W465:BC466 AM438:BC439 W436:AZ436 BB435:BC436 BB430:BC432 BA428:BA436 D777:BC777 A768:C777 D768:D776 P287:AS292 AX287:BC287 B279:AS285 AT278:AW346 A278:A378 B269:R271 AX270:BC271 AX262:BC263 S245:AS271 AT245:AW276 A245:A276 AX194:BC214 B195:R212 S193:AS214 AX184:BC185 B184:H185 J177:R185 W171:AS192 D174 B174:B176 F171:G171 M169:R176 AT169:AW228 S169:V192 A169:A228 B170:B171 I169 C170:I170 J169:L170 S54:V143 M130:R143 Y155:AS159 B154:B156 F156:G156 M12:Y16 AE12:AW45 A12:A27 A4:A10 B3:BC11 AT47:AW159 M144:V159 Y143:AS148 A47:A159 C143:I143 B142:B145 BA793 A778:BC778 D752:BC753 A779:BB792 BC779:BC793 B253:B255 B440:N464 B698 A793:B793 C754:BC756 A757:BC762 I129 I707 B825:L825 AT826:AZ826 G826:L826 AM826 AA826:AK826 AA825:AM825 I821:I824 N825:Y826 B826:E826 A827:AM832 BA799 BC799 A799:B799 E765:BC776 A765:D767 A763:A764 BB827:BC832 AX549:BC549 AO829:AO832 AN825:AN832 AQ827:AZ832 BB826 BC825:BC826 AT763:AZ764 A751:A756 I751 AT751 AZ749:AZ751 A800:BC812 A794:BC798">
    <cfRule type="containsBlanks" dxfId="1994" priority="1779">
      <formula>LEN(TRIM(A3))=0</formula>
    </cfRule>
  </conditionalFormatting>
  <conditionalFormatting sqref="B221:H222 AX221:BC223">
    <cfRule type="containsBlanks" dxfId="1993" priority="1778">
      <formula>LEN(TRIM(B221))=0</formula>
    </cfRule>
  </conditionalFormatting>
  <conditionalFormatting sqref="B227:H228 AX227:BC228 AX230:BC230">
    <cfRule type="containsBlanks" dxfId="1992" priority="1777">
      <formula>LEN(TRIM(B227))=0</formula>
    </cfRule>
  </conditionalFormatting>
  <conditionalFormatting sqref="B235:H236 AX235:BC237">
    <cfRule type="containsBlanks" dxfId="1991" priority="1776">
      <formula>LEN(TRIM(B235))=0</formula>
    </cfRule>
  </conditionalFormatting>
  <conditionalFormatting sqref="B242:H243 AX242:BC243 AX245:BC245">
    <cfRule type="containsBlanks" dxfId="1990" priority="1775">
      <formula>LEN(TRIM(B242))=0</formula>
    </cfRule>
  </conditionalFormatting>
  <conditionalFormatting sqref="B249:H250 AX249:BC251">
    <cfRule type="containsBlanks" dxfId="1989" priority="1774">
      <formula>LEN(TRIM(B249))=0</formula>
    </cfRule>
  </conditionalFormatting>
  <conditionalFormatting sqref="B256:H256 AX255:BC257 C255:H255">
    <cfRule type="containsBlanks" dxfId="1988" priority="1773">
      <formula>LEN(TRIM(B255))=0</formula>
    </cfRule>
  </conditionalFormatting>
  <conditionalFormatting sqref="B261:H261 AX261:BC261">
    <cfRule type="containsBlanks" dxfId="1987" priority="1772">
      <formula>LEN(TRIM(B261))=0</formula>
    </cfRule>
  </conditionalFormatting>
  <conditionalFormatting sqref="B264:H265 AX264:BC266">
    <cfRule type="containsBlanks" dxfId="1986" priority="1771">
      <formula>LEN(TRIM(B264))=0</formula>
    </cfRule>
  </conditionalFormatting>
  <conditionalFormatting sqref="B267:H268 AX267:BC269">
    <cfRule type="containsBlanks" dxfId="1985" priority="1770">
      <formula>LEN(TRIM(B267))=0</formula>
    </cfRule>
  </conditionalFormatting>
  <conditionalFormatting sqref="B288:H289 AX288:BC290">
    <cfRule type="containsBlanks" dxfId="1984" priority="1769">
      <formula>LEN(TRIM(B288))=0</formula>
    </cfRule>
  </conditionalFormatting>
  <conditionalFormatting sqref="AX296:BC298 B296:H296 C297:H297 B306 B316:B318 B322 B297:B304 B324:B326">
    <cfRule type="containsBlanks" dxfId="1983" priority="1767">
      <formula>LEN(TRIM(B296))=0</formula>
    </cfRule>
  </conditionalFormatting>
  <conditionalFormatting sqref="C317:H318 AX317:BC319">
    <cfRule type="containsBlanks" dxfId="1982" priority="1766">
      <formula>LEN(TRIM(C317))=0</formula>
    </cfRule>
  </conditionalFormatting>
  <conditionalFormatting sqref="AX330:BC330">
    <cfRule type="containsBlanks" dxfId="1981" priority="1765">
      <formula>LEN(TRIM(AX330))=0</formula>
    </cfRule>
  </conditionalFormatting>
  <conditionalFormatting sqref="AX346:BC346">
    <cfRule type="containsBlanks" dxfId="1980" priority="1764">
      <formula>LEN(TRIM(AX346))=0</formula>
    </cfRule>
  </conditionalFormatting>
  <conditionalFormatting sqref="C347:H347 AX347:BC347">
    <cfRule type="containsBlanks" dxfId="1979" priority="1763">
      <formula>LEN(TRIM(C347))=0</formula>
    </cfRule>
  </conditionalFormatting>
  <conditionalFormatting sqref="AX499:BC499">
    <cfRule type="containsBlanks" dxfId="1978" priority="1762">
      <formula>LEN(TRIM(AX499))=0</formula>
    </cfRule>
  </conditionalFormatting>
  <conditionalFormatting sqref="B500:H500 AX500:BC500">
    <cfRule type="containsBlanks" dxfId="1977" priority="1761">
      <formula>LEN(TRIM(B500))=0</formula>
    </cfRule>
  </conditionalFormatting>
  <conditionalFormatting sqref="AX541:BC541">
    <cfRule type="containsBlanks" dxfId="1976" priority="1760">
      <formula>LEN(TRIM(AX541))=0</formula>
    </cfRule>
  </conditionalFormatting>
  <conditionalFormatting sqref="B542:H542 AX542:BC542">
    <cfRule type="containsBlanks" dxfId="1975" priority="1759">
      <formula>LEN(TRIM(B542))=0</formula>
    </cfRule>
  </conditionalFormatting>
  <conditionalFormatting sqref="AX552:BC552">
    <cfRule type="containsBlanks" dxfId="1974" priority="1758">
      <formula>LEN(TRIM(AX552))=0</formula>
    </cfRule>
  </conditionalFormatting>
  <conditionalFormatting sqref="AX562:BB562">
    <cfRule type="containsBlanks" dxfId="1973" priority="1757">
      <formula>LEN(TRIM(AX562))=0</formula>
    </cfRule>
  </conditionalFormatting>
  <conditionalFormatting sqref="AX579:BC579">
    <cfRule type="containsBlanks" dxfId="1972" priority="1756">
      <formula>LEN(TRIM(AX579))=0</formula>
    </cfRule>
  </conditionalFormatting>
  <conditionalFormatting sqref="AX584:AZ584 BB584:BC584">
    <cfRule type="containsBlanks" dxfId="1971" priority="1755">
      <formula>LEN(TRIM(AX584))=0</formula>
    </cfRule>
  </conditionalFormatting>
  <conditionalFormatting sqref="AX586:AZ586 BB586:BC586">
    <cfRule type="containsBlanks" dxfId="1970" priority="1754">
      <formula>LEN(TRIM(AX586))=0</formula>
    </cfRule>
  </conditionalFormatting>
  <conditionalFormatting sqref="AX588:BC588">
    <cfRule type="containsBlanks" dxfId="1969" priority="1753">
      <formula>LEN(TRIM(AX588))=0</formula>
    </cfRule>
  </conditionalFormatting>
  <conditionalFormatting sqref="C135 AX135:BC135 E135:H135">
    <cfRule type="containsBlanks" dxfId="1968" priority="1752">
      <formula>LEN(TRIM(C135))=0</formula>
    </cfRule>
  </conditionalFormatting>
  <conditionalFormatting sqref="C139 AX139:BC139 E139:H139">
    <cfRule type="containsBlanks" dxfId="1967" priority="1751">
      <formula>LEN(TRIM(C139))=0</formula>
    </cfRule>
  </conditionalFormatting>
  <conditionalFormatting sqref="C148 AX148:BC148 E148">
    <cfRule type="containsBlanks" dxfId="1966" priority="1750">
      <formula>LEN(TRIM(C148))=0</formula>
    </cfRule>
  </conditionalFormatting>
  <conditionalFormatting sqref="C151 AX151:BC151 H151 E151">
    <cfRule type="containsBlanks" dxfId="1965" priority="1749">
      <formula>LEN(TRIM(C151))=0</formula>
    </cfRule>
  </conditionalFormatting>
  <conditionalFormatting sqref="C158 AX158:BC158 H158 E158">
    <cfRule type="containsBlanks" dxfId="1964" priority="1748">
      <formula>LEN(TRIM(C158))=0</formula>
    </cfRule>
  </conditionalFormatting>
  <conditionalFormatting sqref="C166 AX166:BC166 H166 E166">
    <cfRule type="containsBlanks" dxfId="1963" priority="1747">
      <formula>LEN(TRIM(C166))=0</formula>
    </cfRule>
  </conditionalFormatting>
  <conditionalFormatting sqref="C173 AX173:BC173 E173">
    <cfRule type="containsBlanks" dxfId="1962" priority="1746">
      <formula>LEN(TRIM(C173))=0</formula>
    </cfRule>
  </conditionalFormatting>
  <conditionalFormatting sqref="C174 AX174:BC174 E174">
    <cfRule type="containsBlanks" dxfId="1961" priority="1745">
      <formula>LEN(TRIM(C174))=0</formula>
    </cfRule>
  </conditionalFormatting>
  <conditionalFormatting sqref="AX177:BC179 H177:H179 C177:E179">
    <cfRule type="containsBlanks" dxfId="1960" priority="1744">
      <formula>LEN(TRIM(C177))=0</formula>
    </cfRule>
  </conditionalFormatting>
  <conditionalFormatting sqref="AX183:BC183 H183 C183:E183">
    <cfRule type="containsBlanks" dxfId="1959" priority="1742">
      <formula>LEN(TRIM(C183))=0</formula>
    </cfRule>
  </conditionalFormatting>
  <conditionalFormatting sqref="AX187:BC187">
    <cfRule type="containsBlanks" dxfId="1958" priority="1738">
      <formula>LEN(TRIM(AX187))=0</formula>
    </cfRule>
  </conditionalFormatting>
  <conditionalFormatting sqref="AX188:BC188">
    <cfRule type="containsBlanks" dxfId="1957" priority="1737">
      <formula>LEN(TRIM(AX188))=0</formula>
    </cfRule>
  </conditionalFormatting>
  <conditionalFormatting sqref="AX190:BC190">
    <cfRule type="containsBlanks" dxfId="1956" priority="1734">
      <formula>LEN(TRIM(AX190))=0</formula>
    </cfRule>
  </conditionalFormatting>
  <conditionalFormatting sqref="AX191:BC191">
    <cfRule type="containsBlanks" dxfId="1955" priority="1733">
      <formula>LEN(TRIM(AX191))=0</formula>
    </cfRule>
  </conditionalFormatting>
  <conditionalFormatting sqref="AX193:BC193">
    <cfRule type="containsBlanks" dxfId="1954" priority="1729">
      <formula>LEN(TRIM(AX193))=0</formula>
    </cfRule>
  </conditionalFormatting>
  <conditionalFormatting sqref="AX302:BC302">
    <cfRule type="containsBlanks" dxfId="1953" priority="1728">
      <formula>LEN(TRIM(AX302))=0</formula>
    </cfRule>
  </conditionalFormatting>
  <conditionalFormatting sqref="AX303:BC303">
    <cfRule type="containsBlanks" dxfId="1952" priority="1727">
      <formula>LEN(TRIM(AX303))=0</formula>
    </cfRule>
  </conditionalFormatting>
  <conditionalFormatting sqref="AX313:BC313">
    <cfRule type="containsBlanks" dxfId="1951" priority="1726">
      <formula>LEN(TRIM(AX313))=0</formula>
    </cfRule>
  </conditionalFormatting>
  <conditionalFormatting sqref="AX314:BC314">
    <cfRule type="containsBlanks" dxfId="1950" priority="1725">
      <formula>LEN(TRIM(AX314))=0</formula>
    </cfRule>
  </conditionalFormatting>
  <conditionalFormatting sqref="AX507:BC507">
    <cfRule type="containsBlanks" dxfId="1949" priority="1724">
      <formula>LEN(TRIM(AX507))=0</formula>
    </cfRule>
  </conditionalFormatting>
  <conditionalFormatting sqref="AX508:BC508">
    <cfRule type="containsBlanks" dxfId="1948" priority="1723">
      <formula>LEN(TRIM(AX508))=0</formula>
    </cfRule>
  </conditionalFormatting>
  <conditionalFormatting sqref="AX547:BC547">
    <cfRule type="containsBlanks" dxfId="1947" priority="1722">
      <formula>LEN(TRIM(AX547))=0</formula>
    </cfRule>
  </conditionalFormatting>
  <conditionalFormatting sqref="AX548:BC548">
    <cfRule type="containsBlanks" dxfId="1946" priority="1721">
      <formula>LEN(TRIM(AX548))=0</formula>
    </cfRule>
  </conditionalFormatting>
  <conditionalFormatting sqref="AX566:BB566">
    <cfRule type="containsBlanks" dxfId="1945" priority="1720">
      <formula>LEN(TRIM(AX566))=0</formula>
    </cfRule>
  </conditionalFormatting>
  <conditionalFormatting sqref="BA567:BB567">
    <cfRule type="containsBlanks" dxfId="1944" priority="1719">
      <formula>LEN(TRIM(BA567))=0</formula>
    </cfRule>
  </conditionalFormatting>
  <conditionalFormatting sqref="AX571:BC571 C571:H571">
    <cfRule type="containsBlanks" dxfId="1943" priority="1718">
      <formula>LEN(TRIM(C571))=0</formula>
    </cfRule>
  </conditionalFormatting>
  <conditionalFormatting sqref="C572:E572 AX572:BC572 H572">
    <cfRule type="containsBlanks" dxfId="1942" priority="1717">
      <formula>LEN(TRIM(C572))=0</formula>
    </cfRule>
  </conditionalFormatting>
  <conditionalFormatting sqref="AX614:BC614">
    <cfRule type="containsBlanks" dxfId="1941" priority="1716">
      <formula>LEN(TRIM(AX614))=0</formula>
    </cfRule>
  </conditionalFormatting>
  <conditionalFormatting sqref="AX617:BC617">
    <cfRule type="containsBlanks" dxfId="1940" priority="1715">
      <formula>LEN(TRIM(AX617))=0</formula>
    </cfRule>
  </conditionalFormatting>
  <conditionalFormatting sqref="AX628:BC628">
    <cfRule type="containsBlanks" dxfId="1939" priority="1713">
      <formula>LEN(TRIM(AX628))=0</formula>
    </cfRule>
  </conditionalFormatting>
  <conditionalFormatting sqref="AL296:AL298">
    <cfRule type="containsBlanks" dxfId="1938" priority="1712">
      <formula>LEN(TRIM(AL296))=0</formula>
    </cfRule>
  </conditionalFormatting>
  <conditionalFormatting sqref="B215:E215 AX215:BC215">
    <cfRule type="containsBlanks" dxfId="1937" priority="1711">
      <formula>LEN(TRIM(B215))=0</formula>
    </cfRule>
  </conditionalFormatting>
  <conditionalFormatting sqref="D216">
    <cfRule type="containsBlanks" dxfId="1936" priority="1710">
      <formula>LEN(TRIM(D216))=0</formula>
    </cfRule>
  </conditionalFormatting>
  <conditionalFormatting sqref="F215:G216">
    <cfRule type="containsBlanks" dxfId="1935" priority="1709">
      <formula>LEN(TRIM(F215))=0</formula>
    </cfRule>
  </conditionalFormatting>
  <conditionalFormatting sqref="W216">
    <cfRule type="containsBlanks" dxfId="1934" priority="1708">
      <formula>LEN(TRIM(W216))=0</formula>
    </cfRule>
  </conditionalFormatting>
  <conditionalFormatting sqref="AL215:AM216">
    <cfRule type="containsBlanks" dxfId="1933" priority="1707">
      <formula>LEN(TRIM(AL215))=0</formula>
    </cfRule>
  </conditionalFormatting>
  <conditionalFormatting sqref="B272:E272 AX272:BC272">
    <cfRule type="containsBlanks" dxfId="1932" priority="1706">
      <formula>LEN(TRIM(B272))=0</formula>
    </cfRule>
  </conditionalFormatting>
  <conditionalFormatting sqref="B294">
    <cfRule type="containsBlanks" dxfId="1931" priority="1704">
      <formula>LEN(TRIM(B294))=0</formula>
    </cfRule>
  </conditionalFormatting>
  <conditionalFormatting sqref="B506">
    <cfRule type="containsBlanks" dxfId="1930" priority="1700">
      <formula>LEN(TRIM(B506))=0</formula>
    </cfRule>
  </conditionalFormatting>
  <conditionalFormatting sqref="B512">
    <cfRule type="containsBlanks" dxfId="1929" priority="1699">
      <formula>LEN(TRIM(B512))=0</formula>
    </cfRule>
  </conditionalFormatting>
  <conditionalFormatting sqref="B555">
    <cfRule type="containsBlanks" dxfId="1928" priority="1698">
      <formula>LEN(TRIM(B555))=0</formula>
    </cfRule>
  </conditionalFormatting>
  <conditionalFormatting sqref="B613">
    <cfRule type="containsBlanks" dxfId="1927" priority="1696">
      <formula>LEN(TRIM(B613))=0</formula>
    </cfRule>
  </conditionalFormatting>
  <conditionalFormatting sqref="D273">
    <cfRule type="containsBlanks" dxfId="1926" priority="1694">
      <formula>LEN(TRIM(D273))=0</formula>
    </cfRule>
  </conditionalFormatting>
  <conditionalFormatting sqref="F272">
    <cfRule type="containsBlanks" dxfId="1925" priority="1693">
      <formula>LEN(TRIM(F272))=0</formula>
    </cfRule>
  </conditionalFormatting>
  <conditionalFormatting sqref="F273">
    <cfRule type="containsBlanks" dxfId="1924" priority="1692">
      <formula>LEN(TRIM(F273))=0</formula>
    </cfRule>
  </conditionalFormatting>
  <conditionalFormatting sqref="G272">
    <cfRule type="containsBlanks" dxfId="1923" priority="1691">
      <formula>LEN(TRIM(G272))=0</formula>
    </cfRule>
  </conditionalFormatting>
  <conditionalFormatting sqref="G273">
    <cfRule type="containsBlanks" dxfId="1922" priority="1690">
      <formula>LEN(TRIM(G273))=0</formula>
    </cfRule>
  </conditionalFormatting>
  <conditionalFormatting sqref="W272">
    <cfRule type="containsBlanks" dxfId="1921" priority="1689">
      <formula>LEN(TRIM(W272))=0</formula>
    </cfRule>
  </conditionalFormatting>
  <conditionalFormatting sqref="W273">
    <cfRule type="containsBlanks" dxfId="1920" priority="1688">
      <formula>LEN(TRIM(W273))=0</formula>
    </cfRule>
  </conditionalFormatting>
  <conditionalFormatting sqref="X272">
    <cfRule type="containsBlanks" dxfId="1919" priority="1687">
      <formula>LEN(TRIM(X272))=0</formula>
    </cfRule>
  </conditionalFormatting>
  <conditionalFormatting sqref="X273">
    <cfRule type="containsBlanks" dxfId="1918" priority="1686">
      <formula>LEN(TRIM(X273))=0</formula>
    </cfRule>
  </conditionalFormatting>
  <conditionalFormatting sqref="AL272">
    <cfRule type="containsBlanks" dxfId="1917" priority="1685">
      <formula>LEN(TRIM(AL272))=0</formula>
    </cfRule>
  </conditionalFormatting>
  <conditionalFormatting sqref="AM272">
    <cfRule type="containsBlanks" dxfId="1916" priority="1683">
      <formula>LEN(TRIM(AM272))=0</formula>
    </cfRule>
  </conditionalFormatting>
  <conditionalFormatting sqref="C286:E286 AX286:BC286">
    <cfRule type="containsBlanks" dxfId="1915" priority="1681">
      <formula>LEN(TRIM(C286))=0</formula>
    </cfRule>
  </conditionalFormatting>
  <conditionalFormatting sqref="B286">
    <cfRule type="containsBlanks" dxfId="1914" priority="1680">
      <formula>LEN(TRIM(B286))=0</formula>
    </cfRule>
  </conditionalFormatting>
  <conditionalFormatting sqref="F286">
    <cfRule type="containsBlanks" dxfId="1913" priority="1678">
      <formula>LEN(TRIM(F286))=0</formula>
    </cfRule>
  </conditionalFormatting>
  <conditionalFormatting sqref="G286">
    <cfRule type="containsBlanks" dxfId="1912" priority="1676">
      <formula>LEN(TRIM(G286))=0</formula>
    </cfRule>
  </conditionalFormatting>
  <conditionalFormatting sqref="W286">
    <cfRule type="containsBlanks" dxfId="1911" priority="1674">
      <formula>LEN(TRIM(W286))=0</formula>
    </cfRule>
  </conditionalFormatting>
  <conditionalFormatting sqref="X286">
    <cfRule type="containsBlanks" dxfId="1910" priority="1672">
      <formula>LEN(TRIM(X286))=0</formula>
    </cfRule>
  </conditionalFormatting>
  <conditionalFormatting sqref="AL286">
    <cfRule type="containsBlanks" dxfId="1909" priority="1670">
      <formula>LEN(TRIM(AL286))=0</formula>
    </cfRule>
  </conditionalFormatting>
  <conditionalFormatting sqref="AM286">
    <cfRule type="containsBlanks" dxfId="1908" priority="1668">
      <formula>LEN(TRIM(AM286))=0</formula>
    </cfRule>
  </conditionalFormatting>
  <conditionalFormatting sqref="AX293:BC293">
    <cfRule type="containsBlanks" dxfId="1907" priority="1666">
      <formula>LEN(TRIM(AX293))=0</formula>
    </cfRule>
  </conditionalFormatting>
  <conditionalFormatting sqref="B293">
    <cfRule type="containsBlanks" dxfId="1906" priority="1665">
      <formula>LEN(TRIM(B293))=0</formula>
    </cfRule>
  </conditionalFormatting>
  <conditionalFormatting sqref="D294">
    <cfRule type="containsBlanks" dxfId="1905" priority="1664">
      <formula>LEN(TRIM(D294))=0</formula>
    </cfRule>
  </conditionalFormatting>
  <conditionalFormatting sqref="AM293">
    <cfRule type="containsBlanks" dxfId="1904" priority="1663">
      <formula>LEN(TRIM(AM293))=0</formula>
    </cfRule>
  </conditionalFormatting>
  <conditionalFormatting sqref="AM294">
    <cfRule type="containsBlanks" dxfId="1903" priority="1662">
      <formula>LEN(TRIM(AM294))=0</formula>
    </cfRule>
  </conditionalFormatting>
  <conditionalFormatting sqref="AL293">
    <cfRule type="containsBlanks" dxfId="1902" priority="1661">
      <formula>LEN(TRIM(AL293))=0</formula>
    </cfRule>
  </conditionalFormatting>
  <conditionalFormatting sqref="AL294">
    <cfRule type="containsBlanks" dxfId="1901" priority="1660">
      <formula>LEN(TRIM(AL294))=0</formula>
    </cfRule>
  </conditionalFormatting>
  <conditionalFormatting sqref="X293">
    <cfRule type="containsBlanks" dxfId="1900" priority="1659">
      <formula>LEN(TRIM(X293))=0</formula>
    </cfRule>
  </conditionalFormatting>
  <conditionalFormatting sqref="X294">
    <cfRule type="containsBlanks" dxfId="1899" priority="1658">
      <formula>LEN(TRIM(X294))=0</formula>
    </cfRule>
  </conditionalFormatting>
  <conditionalFormatting sqref="W293">
    <cfRule type="containsBlanks" dxfId="1898" priority="1657">
      <formula>LEN(TRIM(W293))=0</formula>
    </cfRule>
  </conditionalFormatting>
  <conditionalFormatting sqref="W294">
    <cfRule type="containsBlanks" dxfId="1897" priority="1656">
      <formula>LEN(TRIM(W294))=0</formula>
    </cfRule>
  </conditionalFormatting>
  <conditionalFormatting sqref="F294:G294">
    <cfRule type="containsBlanks" dxfId="1896" priority="1655">
      <formula>LEN(TRIM(F294))=0</formula>
    </cfRule>
  </conditionalFormatting>
  <conditionalFormatting sqref="C324:E324 AX324:BC324">
    <cfRule type="containsBlanks" dxfId="1895" priority="1654">
      <formula>LEN(TRIM(C324))=0</formula>
    </cfRule>
  </conditionalFormatting>
  <conditionalFormatting sqref="D325">
    <cfRule type="containsBlanks" dxfId="1894" priority="1652">
      <formula>LEN(TRIM(D325))=0</formula>
    </cfRule>
  </conditionalFormatting>
  <conditionalFormatting sqref="F324">
    <cfRule type="containsBlanks" dxfId="1893" priority="1651">
      <formula>LEN(TRIM(F324))=0</formula>
    </cfRule>
  </conditionalFormatting>
  <conditionalFormatting sqref="F325">
    <cfRule type="containsBlanks" dxfId="1892" priority="1650">
      <formula>LEN(TRIM(F325))=0</formula>
    </cfRule>
  </conditionalFormatting>
  <conditionalFormatting sqref="G324">
    <cfRule type="containsBlanks" dxfId="1891" priority="1649">
      <formula>LEN(TRIM(G324))=0</formula>
    </cfRule>
  </conditionalFormatting>
  <conditionalFormatting sqref="G325">
    <cfRule type="containsBlanks" dxfId="1890" priority="1648">
      <formula>LEN(TRIM(G325))=0</formula>
    </cfRule>
  </conditionalFormatting>
  <conditionalFormatting sqref="W324">
    <cfRule type="containsBlanks" dxfId="1889" priority="1647">
      <formula>LEN(TRIM(W324))=0</formula>
    </cfRule>
  </conditionalFormatting>
  <conditionalFormatting sqref="W325">
    <cfRule type="containsBlanks" dxfId="1888" priority="1646">
      <formula>LEN(TRIM(W325))=0</formula>
    </cfRule>
  </conditionalFormatting>
  <conditionalFormatting sqref="X324">
    <cfRule type="containsBlanks" dxfId="1887" priority="1645">
      <formula>LEN(TRIM(X324))=0</formula>
    </cfRule>
  </conditionalFormatting>
  <conditionalFormatting sqref="X325">
    <cfRule type="containsBlanks" dxfId="1886" priority="1644">
      <formula>LEN(TRIM(X325))=0</formula>
    </cfRule>
  </conditionalFormatting>
  <conditionalFormatting sqref="AM324">
    <cfRule type="containsBlanks" dxfId="1885" priority="1641">
      <formula>LEN(TRIM(AM324))=0</formula>
    </cfRule>
  </conditionalFormatting>
  <conditionalFormatting sqref="AM325">
    <cfRule type="containsBlanks" dxfId="1884" priority="1640">
      <formula>LEN(TRIM(AM325))=0</formula>
    </cfRule>
  </conditionalFormatting>
  <conditionalFormatting sqref="AL324">
    <cfRule type="containsBlanks" dxfId="1883" priority="1643">
      <formula>LEN(TRIM(AL324))=0</formula>
    </cfRule>
  </conditionalFormatting>
  <conditionalFormatting sqref="AL325">
    <cfRule type="containsBlanks" dxfId="1882" priority="1642">
      <formula>LEN(TRIM(AL325))=0</formula>
    </cfRule>
  </conditionalFormatting>
  <conditionalFormatting sqref="AM334">
    <cfRule type="containsBlanks" dxfId="1881" priority="1626">
      <formula>LEN(TRIM(AM334))=0</formula>
    </cfRule>
  </conditionalFormatting>
  <conditionalFormatting sqref="AM335">
    <cfRule type="containsBlanks" dxfId="1880" priority="1625">
      <formula>LEN(TRIM(AM335))=0</formula>
    </cfRule>
  </conditionalFormatting>
  <conditionalFormatting sqref="C334:E334 AX334:BC334">
    <cfRule type="containsBlanks" dxfId="1879" priority="1639">
      <formula>LEN(TRIM(C334))=0</formula>
    </cfRule>
  </conditionalFormatting>
  <conditionalFormatting sqref="D335">
    <cfRule type="containsBlanks" dxfId="1878" priority="1637">
      <formula>LEN(TRIM(D335))=0</formula>
    </cfRule>
  </conditionalFormatting>
  <conditionalFormatting sqref="F334">
    <cfRule type="containsBlanks" dxfId="1877" priority="1636">
      <formula>LEN(TRIM(F334))=0</formula>
    </cfRule>
  </conditionalFormatting>
  <conditionalFormatting sqref="F335">
    <cfRule type="containsBlanks" dxfId="1876" priority="1635">
      <formula>LEN(TRIM(F335))=0</formula>
    </cfRule>
  </conditionalFormatting>
  <conditionalFormatting sqref="G334">
    <cfRule type="containsBlanks" dxfId="1875" priority="1634">
      <formula>LEN(TRIM(G334))=0</formula>
    </cfRule>
  </conditionalFormatting>
  <conditionalFormatting sqref="G335">
    <cfRule type="containsBlanks" dxfId="1874" priority="1633">
      <formula>LEN(TRIM(G335))=0</formula>
    </cfRule>
  </conditionalFormatting>
  <conditionalFormatting sqref="W334">
    <cfRule type="containsBlanks" dxfId="1873" priority="1632">
      <formula>LEN(TRIM(W334))=0</formula>
    </cfRule>
  </conditionalFormatting>
  <conditionalFormatting sqref="W335">
    <cfRule type="containsBlanks" dxfId="1872" priority="1631">
      <formula>LEN(TRIM(W335))=0</formula>
    </cfRule>
  </conditionalFormatting>
  <conditionalFormatting sqref="X334">
    <cfRule type="containsBlanks" dxfId="1871" priority="1630">
      <formula>LEN(TRIM(X334))=0</formula>
    </cfRule>
  </conditionalFormatting>
  <conditionalFormatting sqref="X335">
    <cfRule type="containsBlanks" dxfId="1870" priority="1629">
      <formula>LEN(TRIM(X335))=0</formula>
    </cfRule>
  </conditionalFormatting>
  <conditionalFormatting sqref="AL334">
    <cfRule type="containsBlanks" dxfId="1869" priority="1628">
      <formula>LEN(TRIM(AL334))=0</formula>
    </cfRule>
  </conditionalFormatting>
  <conditionalFormatting sqref="AL335">
    <cfRule type="containsBlanks" dxfId="1868" priority="1627">
      <formula>LEN(TRIM(AL335))=0</formula>
    </cfRule>
  </conditionalFormatting>
  <conditionalFormatting sqref="AM349">
    <cfRule type="containsBlanks" dxfId="1867" priority="1611">
      <formula>LEN(TRIM(AM349))=0</formula>
    </cfRule>
  </conditionalFormatting>
  <conditionalFormatting sqref="AM350">
    <cfRule type="containsBlanks" dxfId="1866" priority="1610">
      <formula>LEN(TRIM(AM350))=0</formula>
    </cfRule>
  </conditionalFormatting>
  <conditionalFormatting sqref="C349:E349 AX349:BC349">
    <cfRule type="containsBlanks" dxfId="1865" priority="1624">
      <formula>LEN(TRIM(C349))=0</formula>
    </cfRule>
  </conditionalFormatting>
  <conditionalFormatting sqref="D350">
    <cfRule type="containsBlanks" dxfId="1864" priority="1622">
      <formula>LEN(TRIM(D350))=0</formula>
    </cfRule>
  </conditionalFormatting>
  <conditionalFormatting sqref="F349">
    <cfRule type="containsBlanks" dxfId="1863" priority="1621">
      <formula>LEN(TRIM(F349))=0</formula>
    </cfRule>
  </conditionalFormatting>
  <conditionalFormatting sqref="F350">
    <cfRule type="containsBlanks" dxfId="1862" priority="1620">
      <formula>LEN(TRIM(F350))=0</formula>
    </cfRule>
  </conditionalFormatting>
  <conditionalFormatting sqref="G349">
    <cfRule type="containsBlanks" dxfId="1861" priority="1619">
      <formula>LEN(TRIM(G349))=0</formula>
    </cfRule>
  </conditionalFormatting>
  <conditionalFormatting sqref="G350">
    <cfRule type="containsBlanks" dxfId="1860" priority="1618">
      <formula>LEN(TRIM(G350))=0</formula>
    </cfRule>
  </conditionalFormatting>
  <conditionalFormatting sqref="W349">
    <cfRule type="containsBlanks" dxfId="1859" priority="1617">
      <formula>LEN(TRIM(W349))=0</formula>
    </cfRule>
  </conditionalFormatting>
  <conditionalFormatting sqref="W350">
    <cfRule type="containsBlanks" dxfId="1858" priority="1616">
      <formula>LEN(TRIM(W350))=0</formula>
    </cfRule>
  </conditionalFormatting>
  <conditionalFormatting sqref="X349">
    <cfRule type="containsBlanks" dxfId="1857" priority="1615">
      <formula>LEN(TRIM(X349))=0</formula>
    </cfRule>
  </conditionalFormatting>
  <conditionalFormatting sqref="X350">
    <cfRule type="containsBlanks" dxfId="1856" priority="1614">
      <formula>LEN(TRIM(X350))=0</formula>
    </cfRule>
  </conditionalFormatting>
  <conditionalFormatting sqref="AL349">
    <cfRule type="containsBlanks" dxfId="1855" priority="1613">
      <formula>LEN(TRIM(AL349))=0</formula>
    </cfRule>
  </conditionalFormatting>
  <conditionalFormatting sqref="AL350">
    <cfRule type="containsBlanks" dxfId="1854" priority="1612">
      <formula>LEN(TRIM(AL350))=0</formula>
    </cfRule>
  </conditionalFormatting>
  <conditionalFormatting sqref="AM505">
    <cfRule type="containsBlanks" dxfId="1853" priority="1596">
      <formula>LEN(TRIM(AM505))=0</formula>
    </cfRule>
  </conditionalFormatting>
  <conditionalFormatting sqref="AM506">
    <cfRule type="containsBlanks" dxfId="1852" priority="1595">
      <formula>LEN(TRIM(AM506))=0</formula>
    </cfRule>
  </conditionalFormatting>
  <conditionalFormatting sqref="C505:E505 AX505:BC505">
    <cfRule type="containsBlanks" dxfId="1851" priority="1609">
      <formula>LEN(TRIM(C505))=0</formula>
    </cfRule>
  </conditionalFormatting>
  <conditionalFormatting sqref="B505">
    <cfRule type="containsBlanks" dxfId="1850" priority="1608">
      <formula>LEN(TRIM(B505))=0</formula>
    </cfRule>
  </conditionalFormatting>
  <conditionalFormatting sqref="D506">
    <cfRule type="containsBlanks" dxfId="1849" priority="1607">
      <formula>LEN(TRIM(D506))=0</formula>
    </cfRule>
  </conditionalFormatting>
  <conditionalFormatting sqref="AM512">
    <cfRule type="containsBlanks" dxfId="1848" priority="1581">
      <formula>LEN(TRIM(AM512))=0</formula>
    </cfRule>
  </conditionalFormatting>
  <conditionalFormatting sqref="AM555">
    <cfRule type="containsBlanks" dxfId="1847" priority="1569">
      <formula>LEN(TRIM(AM555))=0</formula>
    </cfRule>
  </conditionalFormatting>
  <conditionalFormatting sqref="F505">
    <cfRule type="containsBlanks" dxfId="1846" priority="1606">
      <formula>LEN(TRIM(F505))=0</formula>
    </cfRule>
  </conditionalFormatting>
  <conditionalFormatting sqref="F506">
    <cfRule type="containsBlanks" dxfId="1845" priority="1605">
      <formula>LEN(TRIM(F506))=0</formula>
    </cfRule>
  </conditionalFormatting>
  <conditionalFormatting sqref="G505">
    <cfRule type="containsBlanks" dxfId="1844" priority="1604">
      <formula>LEN(TRIM(G505))=0</formula>
    </cfRule>
  </conditionalFormatting>
  <conditionalFormatting sqref="G506">
    <cfRule type="containsBlanks" dxfId="1843" priority="1603">
      <formula>LEN(TRIM(G506))=0</formula>
    </cfRule>
  </conditionalFormatting>
  <conditionalFormatting sqref="W505">
    <cfRule type="containsBlanks" dxfId="1842" priority="1602">
      <formula>LEN(TRIM(W505))=0</formula>
    </cfRule>
  </conditionalFormatting>
  <conditionalFormatting sqref="W506">
    <cfRule type="containsBlanks" dxfId="1841" priority="1601">
      <formula>LEN(TRIM(W506))=0</formula>
    </cfRule>
  </conditionalFormatting>
  <conditionalFormatting sqref="X505">
    <cfRule type="containsBlanks" dxfId="1840" priority="1600">
      <formula>LEN(TRIM(X505))=0</formula>
    </cfRule>
  </conditionalFormatting>
  <conditionalFormatting sqref="X506">
    <cfRule type="containsBlanks" dxfId="1839" priority="1599">
      <formula>LEN(TRIM(X506))=0</formula>
    </cfRule>
  </conditionalFormatting>
  <conditionalFormatting sqref="AL505">
    <cfRule type="containsBlanks" dxfId="1838" priority="1598">
      <formula>LEN(TRIM(AL505))=0</formula>
    </cfRule>
  </conditionalFormatting>
  <conditionalFormatting sqref="AL506">
    <cfRule type="containsBlanks" dxfId="1837" priority="1597">
      <formula>LEN(TRIM(AL506))=0</formula>
    </cfRule>
  </conditionalFormatting>
  <conditionalFormatting sqref="AM511">
    <cfRule type="containsBlanks" dxfId="1836" priority="1582">
      <formula>LEN(TRIM(AM511))=0</formula>
    </cfRule>
  </conditionalFormatting>
  <conditionalFormatting sqref="AM611">
    <cfRule type="containsBlanks" dxfId="1835" priority="1557">
      <formula>LEN(TRIM(AM611))=0</formula>
    </cfRule>
  </conditionalFormatting>
  <conditionalFormatting sqref="AX511:AY511 BA511:BC511">
    <cfRule type="containsBlanks" dxfId="1834" priority="1594">
      <formula>LEN(TRIM(AX511))=0</formula>
    </cfRule>
  </conditionalFormatting>
  <conditionalFormatting sqref="B511">
    <cfRule type="containsBlanks" dxfId="1833" priority="1593">
      <formula>LEN(TRIM(B511))=0</formula>
    </cfRule>
  </conditionalFormatting>
  <conditionalFormatting sqref="D512">
    <cfRule type="containsBlanks" dxfId="1832" priority="1592">
      <formula>LEN(TRIM(D512))=0</formula>
    </cfRule>
  </conditionalFormatting>
  <conditionalFormatting sqref="F512:G512">
    <cfRule type="containsBlanks" dxfId="1831" priority="1591">
      <formula>LEN(TRIM(F512))=0</formula>
    </cfRule>
  </conditionalFormatting>
  <conditionalFormatting sqref="F555:G555">
    <cfRule type="containsBlanks" dxfId="1830" priority="1590">
      <formula>LEN(TRIM(F555))=0</formula>
    </cfRule>
  </conditionalFormatting>
  <conditionalFormatting sqref="F611:G611">
    <cfRule type="containsBlanks" dxfId="1829" priority="1589">
      <formula>LEN(TRIM(F611))=0</formula>
    </cfRule>
  </conditionalFormatting>
  <conditionalFormatting sqref="W511">
    <cfRule type="containsBlanks" dxfId="1828" priority="1588">
      <formula>LEN(TRIM(W511))=0</formula>
    </cfRule>
  </conditionalFormatting>
  <conditionalFormatting sqref="W512">
    <cfRule type="containsBlanks" dxfId="1827" priority="1587">
      <formula>LEN(TRIM(W512))=0</formula>
    </cfRule>
  </conditionalFormatting>
  <conditionalFormatting sqref="X511">
    <cfRule type="containsBlanks" dxfId="1826" priority="1586">
      <formula>LEN(TRIM(X511))=0</formula>
    </cfRule>
  </conditionalFormatting>
  <conditionalFormatting sqref="X512">
    <cfRule type="containsBlanks" dxfId="1825" priority="1585">
      <formula>LEN(TRIM(X512))=0</formula>
    </cfRule>
  </conditionalFormatting>
  <conditionalFormatting sqref="AL511">
    <cfRule type="containsBlanks" dxfId="1824" priority="1584">
      <formula>LEN(TRIM(AL511))=0</formula>
    </cfRule>
  </conditionalFormatting>
  <conditionalFormatting sqref="AL512">
    <cfRule type="containsBlanks" dxfId="1823" priority="1583">
      <formula>LEN(TRIM(AL512))=0</formula>
    </cfRule>
  </conditionalFormatting>
  <conditionalFormatting sqref="AM554">
    <cfRule type="containsBlanks" dxfId="1822" priority="1570">
      <formula>LEN(TRIM(AM554))=0</formula>
    </cfRule>
  </conditionalFormatting>
  <conditionalFormatting sqref="AM613">
    <cfRule type="containsBlanks" dxfId="1821" priority="1542">
      <formula>LEN(TRIM(AM613))=0</formula>
    </cfRule>
  </conditionalFormatting>
  <conditionalFormatting sqref="C554:E554 AX554:BC554">
    <cfRule type="containsBlanks" dxfId="1820" priority="1580">
      <formula>LEN(TRIM(C554))=0</formula>
    </cfRule>
  </conditionalFormatting>
  <conditionalFormatting sqref="B554">
    <cfRule type="containsBlanks" dxfId="1819" priority="1579">
      <formula>LEN(TRIM(B554))=0</formula>
    </cfRule>
  </conditionalFormatting>
  <conditionalFormatting sqref="F554:G554">
    <cfRule type="containsBlanks" dxfId="1818" priority="1578">
      <formula>LEN(TRIM(F554))=0</formula>
    </cfRule>
  </conditionalFormatting>
  <conditionalFormatting sqref="D555">
    <cfRule type="containsBlanks" dxfId="1817" priority="1577">
      <formula>LEN(TRIM(D555))=0</formula>
    </cfRule>
  </conditionalFormatting>
  <conditionalFormatting sqref="W554">
    <cfRule type="containsBlanks" dxfId="1816" priority="1576">
      <formula>LEN(TRIM(W554))=0</formula>
    </cfRule>
  </conditionalFormatting>
  <conditionalFormatting sqref="W555">
    <cfRule type="containsBlanks" dxfId="1815" priority="1575">
      <formula>LEN(TRIM(W555))=0</formula>
    </cfRule>
  </conditionalFormatting>
  <conditionalFormatting sqref="X554">
    <cfRule type="containsBlanks" dxfId="1814" priority="1574">
      <formula>LEN(TRIM(X554))=0</formula>
    </cfRule>
  </conditionalFormatting>
  <conditionalFormatting sqref="X555">
    <cfRule type="containsBlanks" dxfId="1813" priority="1573">
      <formula>LEN(TRIM(X555))=0</formula>
    </cfRule>
  </conditionalFormatting>
  <conditionalFormatting sqref="AL554">
    <cfRule type="containsBlanks" dxfId="1812" priority="1572">
      <formula>LEN(TRIM(AL554))=0</formula>
    </cfRule>
  </conditionalFormatting>
  <conditionalFormatting sqref="AL555">
    <cfRule type="containsBlanks" dxfId="1811" priority="1571">
      <formula>LEN(TRIM(AL555))=0</formula>
    </cfRule>
  </conditionalFormatting>
  <conditionalFormatting sqref="AM610">
    <cfRule type="containsBlanks" dxfId="1810" priority="1558">
      <formula>LEN(TRIM(AM610))=0</formula>
    </cfRule>
  </conditionalFormatting>
  <conditionalFormatting sqref="AM642">
    <cfRule type="containsBlanks" dxfId="1809" priority="1527">
      <formula>LEN(TRIM(AM642))=0</formula>
    </cfRule>
  </conditionalFormatting>
  <conditionalFormatting sqref="C610:E610 AX610:AZ610 BB610">
    <cfRule type="containsBlanks" dxfId="1808" priority="1568">
      <formula>LEN(TRIM(C610))=0</formula>
    </cfRule>
  </conditionalFormatting>
  <conditionalFormatting sqref="F610:G610">
    <cfRule type="containsBlanks" dxfId="1807" priority="1566">
      <formula>LEN(TRIM(F610))=0</formula>
    </cfRule>
  </conditionalFormatting>
  <conditionalFormatting sqref="D611">
    <cfRule type="containsBlanks" dxfId="1806" priority="1565">
      <formula>LEN(TRIM(D611))=0</formula>
    </cfRule>
  </conditionalFormatting>
  <conditionalFormatting sqref="W610">
    <cfRule type="containsBlanks" dxfId="1805" priority="1564">
      <formula>LEN(TRIM(W610))=0</formula>
    </cfRule>
  </conditionalFormatting>
  <conditionalFormatting sqref="W611">
    <cfRule type="containsBlanks" dxfId="1804" priority="1563">
      <formula>LEN(TRIM(W611))=0</formula>
    </cfRule>
  </conditionalFormatting>
  <conditionalFormatting sqref="X610">
    <cfRule type="containsBlanks" dxfId="1803" priority="1562">
      <formula>LEN(TRIM(X610))=0</formula>
    </cfRule>
  </conditionalFormatting>
  <conditionalFormatting sqref="X611">
    <cfRule type="containsBlanks" dxfId="1802" priority="1561">
      <formula>LEN(TRIM(X611))=0</formula>
    </cfRule>
  </conditionalFormatting>
  <conditionalFormatting sqref="AL610">
    <cfRule type="containsBlanks" dxfId="1801" priority="1560">
      <formula>LEN(TRIM(AL610))=0</formula>
    </cfRule>
  </conditionalFormatting>
  <conditionalFormatting sqref="AL611">
    <cfRule type="containsBlanks" dxfId="1800" priority="1559">
      <formula>LEN(TRIM(AL611))=0</formula>
    </cfRule>
  </conditionalFormatting>
  <conditionalFormatting sqref="AM612">
    <cfRule type="containsBlanks" dxfId="1799" priority="1543">
      <formula>LEN(TRIM(AM612))=0</formula>
    </cfRule>
  </conditionalFormatting>
  <conditionalFormatting sqref="AX113:BC113">
    <cfRule type="containsBlanks" dxfId="1798" priority="1526">
      <formula>LEN(TRIM(AX113))=0</formula>
    </cfRule>
  </conditionalFormatting>
  <conditionalFormatting sqref="C612:E612 AX612:AZ612 BB612">
    <cfRule type="containsBlanks" dxfId="1797" priority="1556">
      <formula>LEN(TRIM(C612))=0</formula>
    </cfRule>
  </conditionalFormatting>
  <conditionalFormatting sqref="B612">
    <cfRule type="containsBlanks" dxfId="1796" priority="1555">
      <formula>LEN(TRIM(B612))=0</formula>
    </cfRule>
  </conditionalFormatting>
  <conditionalFormatting sqref="D613">
    <cfRule type="containsBlanks" dxfId="1795" priority="1554">
      <formula>LEN(TRIM(D613))=0</formula>
    </cfRule>
  </conditionalFormatting>
  <conditionalFormatting sqref="F612">
    <cfRule type="containsBlanks" dxfId="1794" priority="1553">
      <formula>LEN(TRIM(F612))=0</formula>
    </cfRule>
  </conditionalFormatting>
  <conditionalFormatting sqref="F613">
    <cfRule type="containsBlanks" dxfId="1793" priority="1552">
      <formula>LEN(TRIM(F613))=0</formula>
    </cfRule>
  </conditionalFormatting>
  <conditionalFormatting sqref="G612">
    <cfRule type="containsBlanks" dxfId="1792" priority="1551">
      <formula>LEN(TRIM(G612))=0</formula>
    </cfRule>
  </conditionalFormatting>
  <conditionalFormatting sqref="G613">
    <cfRule type="containsBlanks" dxfId="1791" priority="1550">
      <formula>LEN(TRIM(G613))=0</formula>
    </cfRule>
  </conditionalFormatting>
  <conditionalFormatting sqref="W612">
    <cfRule type="containsBlanks" dxfId="1790" priority="1549">
      <formula>LEN(TRIM(W612))=0</formula>
    </cfRule>
  </conditionalFormatting>
  <conditionalFormatting sqref="W613">
    <cfRule type="containsBlanks" dxfId="1789" priority="1548">
      <formula>LEN(TRIM(W613))=0</formula>
    </cfRule>
  </conditionalFormatting>
  <conditionalFormatting sqref="X612">
    <cfRule type="containsBlanks" dxfId="1788" priority="1547">
      <formula>LEN(TRIM(X612))=0</formula>
    </cfRule>
  </conditionalFormatting>
  <conditionalFormatting sqref="X613">
    <cfRule type="containsBlanks" dxfId="1787" priority="1546">
      <formula>LEN(TRIM(X613))=0</formula>
    </cfRule>
  </conditionalFormatting>
  <conditionalFormatting sqref="AL612">
    <cfRule type="containsBlanks" dxfId="1786" priority="1545">
      <formula>LEN(TRIM(AL612))=0</formula>
    </cfRule>
  </conditionalFormatting>
  <conditionalFormatting sqref="AL613">
    <cfRule type="containsBlanks" dxfId="1785" priority="1544">
      <formula>LEN(TRIM(AL613))=0</formula>
    </cfRule>
  </conditionalFormatting>
  <conditionalFormatting sqref="AM641:AM642">
    <cfRule type="containsBlanks" dxfId="1784" priority="1528">
      <formula>LEN(TRIM(AM641))=0</formula>
    </cfRule>
  </conditionalFormatting>
  <conditionalFormatting sqref="AX114:BC114">
    <cfRule type="containsBlanks" dxfId="1783" priority="1525">
      <formula>LEN(TRIM(AX114))=0</formula>
    </cfRule>
  </conditionalFormatting>
  <conditionalFormatting sqref="C641:E641 D642 AX641:BC641">
    <cfRule type="containsBlanks" dxfId="1782" priority="1541">
      <formula>LEN(TRIM(C641))=0</formula>
    </cfRule>
  </conditionalFormatting>
  <conditionalFormatting sqref="B641">
    <cfRule type="containsBlanks" dxfId="1781" priority="1540">
      <formula>LEN(TRIM(B641))=0</formula>
    </cfRule>
  </conditionalFormatting>
  <conditionalFormatting sqref="D642">
    <cfRule type="containsBlanks" dxfId="1780" priority="1539">
      <formula>LEN(TRIM(D642))=0</formula>
    </cfRule>
  </conditionalFormatting>
  <conditionalFormatting sqref="F641:F642">
    <cfRule type="containsBlanks" dxfId="1779" priority="1538">
      <formula>LEN(TRIM(F641))=0</formula>
    </cfRule>
  </conditionalFormatting>
  <conditionalFormatting sqref="F642">
    <cfRule type="containsBlanks" dxfId="1778" priority="1537">
      <formula>LEN(TRIM(F642))=0</formula>
    </cfRule>
  </conditionalFormatting>
  <conditionalFormatting sqref="G641:G642">
    <cfRule type="containsBlanks" dxfId="1777" priority="1536">
      <formula>LEN(TRIM(G641))=0</formula>
    </cfRule>
  </conditionalFormatting>
  <conditionalFormatting sqref="G642">
    <cfRule type="containsBlanks" dxfId="1776" priority="1535">
      <formula>LEN(TRIM(G642))=0</formula>
    </cfRule>
  </conditionalFormatting>
  <conditionalFormatting sqref="AX116:BC116">
    <cfRule type="containsBlanks" dxfId="1775" priority="1524">
      <formula>LEN(TRIM(AX116))=0</formula>
    </cfRule>
  </conditionalFormatting>
  <conditionalFormatting sqref="AX281:BB281">
    <cfRule type="containsBlanks" dxfId="1774" priority="1523">
      <formula>LEN(TRIM(AX281))=0</formula>
    </cfRule>
  </conditionalFormatting>
  <conditionalFormatting sqref="W641:W642">
    <cfRule type="containsBlanks" dxfId="1773" priority="1534">
      <formula>LEN(TRIM(W641))=0</formula>
    </cfRule>
  </conditionalFormatting>
  <conditionalFormatting sqref="W642">
    <cfRule type="containsBlanks" dxfId="1772" priority="1533">
      <formula>LEN(TRIM(W642))=0</formula>
    </cfRule>
  </conditionalFormatting>
  <conditionalFormatting sqref="X641:X642">
    <cfRule type="containsBlanks" dxfId="1771" priority="1532">
      <formula>LEN(TRIM(X641))=0</formula>
    </cfRule>
  </conditionalFormatting>
  <conditionalFormatting sqref="X642">
    <cfRule type="containsBlanks" dxfId="1770" priority="1531">
      <formula>LEN(TRIM(X642))=0</formula>
    </cfRule>
  </conditionalFormatting>
  <conditionalFormatting sqref="AL641:AL642">
    <cfRule type="containsBlanks" dxfId="1769" priority="1530">
      <formula>LEN(TRIM(AL641))=0</formula>
    </cfRule>
  </conditionalFormatting>
  <conditionalFormatting sqref="AL642">
    <cfRule type="containsBlanks" dxfId="1768" priority="1529">
      <formula>LEN(TRIM(AL642))=0</formula>
    </cfRule>
  </conditionalFormatting>
  <conditionalFormatting sqref="AX309:BC309">
    <cfRule type="containsBlanks" dxfId="1767" priority="1522">
      <formula>LEN(TRIM(AX309))=0</formula>
    </cfRule>
  </conditionalFormatting>
  <conditionalFormatting sqref="AX338:BC338">
    <cfRule type="containsBlanks" dxfId="1766" priority="1521">
      <formula>LEN(TRIM(AX338))=0</formula>
    </cfRule>
  </conditionalFormatting>
  <conditionalFormatting sqref="AX569:BC569">
    <cfRule type="containsBlanks" dxfId="1765" priority="1520">
      <formula>LEN(TRIM(AX569))=0</formula>
    </cfRule>
  </conditionalFormatting>
  <conditionalFormatting sqref="AX106:BC106">
    <cfRule type="containsBlanks" dxfId="1764" priority="1519">
      <formula>LEN(TRIM(AX106))=0</formula>
    </cfRule>
  </conditionalFormatting>
  <conditionalFormatting sqref="AX108:BC108">
    <cfRule type="containsBlanks" dxfId="1763" priority="1518">
      <formula>LEN(TRIM(AX108))=0</formula>
    </cfRule>
  </conditionalFormatting>
  <conditionalFormatting sqref="AX110:BC110">
    <cfRule type="containsBlanks" dxfId="1762" priority="1517">
      <formula>LEN(TRIM(AX110))=0</formula>
    </cfRule>
  </conditionalFormatting>
  <conditionalFormatting sqref="AX311:BC311">
    <cfRule type="containsBlanks" dxfId="1761" priority="1515">
      <formula>LEN(TRIM(AX311))=0</formula>
    </cfRule>
  </conditionalFormatting>
  <conditionalFormatting sqref="AX336:BC336">
    <cfRule type="containsBlanks" dxfId="1760" priority="1514">
      <formula>LEN(TRIM(AX336))=0</formula>
    </cfRule>
  </conditionalFormatting>
  <conditionalFormatting sqref="AD14:AK14 AD16:AK16">
    <cfRule type="containsBlanks" dxfId="1759" priority="1508">
      <formula>LEN(TRIM(AD14))=0</formula>
    </cfRule>
  </conditionalFormatting>
  <conditionalFormatting sqref="AX574:BC574">
    <cfRule type="containsBlanks" dxfId="1758" priority="1513">
      <formula>LEN(TRIM(AX574))=0</formula>
    </cfRule>
  </conditionalFormatting>
  <conditionalFormatting sqref="AA14 AA16">
    <cfRule type="containsBlanks" dxfId="1757" priority="1507">
      <formula>LEN(TRIM(AA14))=0</formula>
    </cfRule>
  </conditionalFormatting>
  <conditionalFormatting sqref="H14 J14:L14">
    <cfRule type="containsBlanks" dxfId="1756" priority="1493">
      <formula>LEN(TRIM(H14))=0</formula>
    </cfRule>
  </conditionalFormatting>
  <conditionalFormatting sqref="AX130:BC130">
    <cfRule type="containsBlanks" dxfId="1755" priority="1484">
      <formula>LEN(TRIM(AX130))=0</formula>
    </cfRule>
  </conditionalFormatting>
  <conditionalFormatting sqref="AC14 AC16">
    <cfRule type="containsBlanks" dxfId="1754" priority="1511">
      <formula>LEN(TRIM(AC14))=0</formula>
    </cfRule>
  </conditionalFormatting>
  <conditionalFormatting sqref="Z14 Z16">
    <cfRule type="containsBlanks" dxfId="1753" priority="1510">
      <formula>LEN(TRIM(Z14))=0</formula>
    </cfRule>
  </conditionalFormatting>
  <conditionalFormatting sqref="H12:L12">
    <cfRule type="containsBlanks" dxfId="1752" priority="1501">
      <formula>LEN(TRIM(H12))=0</formula>
    </cfRule>
  </conditionalFormatting>
  <conditionalFormatting sqref="I135">
    <cfRule type="containsBlanks" dxfId="1751" priority="1482">
      <formula>LEN(TRIM(I135))=0</formula>
    </cfRule>
  </conditionalFormatting>
  <conditionalFormatting sqref="B12:G12 AB12 AX12:BC12">
    <cfRule type="containsBlanks" dxfId="1750" priority="1506">
      <formula>LEN(TRIM(B12))=0</formula>
    </cfRule>
  </conditionalFormatting>
  <conditionalFormatting sqref="AD12:AK12">
    <cfRule type="containsBlanks" dxfId="1749" priority="1503">
      <formula>LEN(TRIM(AD12))=0</formula>
    </cfRule>
  </conditionalFormatting>
  <conditionalFormatting sqref="AA12">
    <cfRule type="containsBlanks" dxfId="1748" priority="1502">
      <formula>LEN(TRIM(AA12))=0</formula>
    </cfRule>
  </conditionalFormatting>
  <conditionalFormatting sqref="AC12">
    <cfRule type="containsBlanks" dxfId="1747" priority="1505">
      <formula>LEN(TRIM(AC12))=0</formula>
    </cfRule>
  </conditionalFormatting>
  <conditionalFormatting sqref="Z12">
    <cfRule type="containsBlanks" dxfId="1746" priority="1504">
      <formula>LEN(TRIM(Z12))=0</formula>
    </cfRule>
  </conditionalFormatting>
  <conditionalFormatting sqref="H13:L13">
    <cfRule type="containsBlanks" dxfId="1745" priority="1494">
      <formula>LEN(TRIM(H13))=0</formula>
    </cfRule>
  </conditionalFormatting>
  <conditionalFormatting sqref="I139">
    <cfRule type="containsBlanks" dxfId="1744" priority="1480">
      <formula>LEN(TRIM(I139))=0</formula>
    </cfRule>
  </conditionalFormatting>
  <conditionalFormatting sqref="B13:G13 AB13 AX13:BC13">
    <cfRule type="containsBlanks" dxfId="1743" priority="1499">
      <formula>LEN(TRIM(B13))=0</formula>
    </cfRule>
  </conditionalFormatting>
  <conditionalFormatting sqref="AD13:AK13">
    <cfRule type="containsBlanks" dxfId="1742" priority="1496">
      <formula>LEN(TRIM(AD13))=0</formula>
    </cfRule>
  </conditionalFormatting>
  <conditionalFormatting sqref="AA13">
    <cfRule type="containsBlanks" dxfId="1741" priority="1495">
      <formula>LEN(TRIM(AA13))=0</formula>
    </cfRule>
  </conditionalFormatting>
  <conditionalFormatting sqref="AC13">
    <cfRule type="containsBlanks" dxfId="1740" priority="1498">
      <formula>LEN(TRIM(AC13))=0</formula>
    </cfRule>
  </conditionalFormatting>
  <conditionalFormatting sqref="Z13">
    <cfRule type="containsBlanks" dxfId="1739" priority="1497">
      <formula>LEN(TRIM(Z13))=0</formula>
    </cfRule>
  </conditionalFormatting>
  <conditionalFormatting sqref="I602:I605 I571:I573 I542:I543 I539 I522 I500:I501 I347:I348 I321 I318 I300 I297 I289 I268 I265 I262 I259 I256 I253 I250 I247 I243 I240 I236 I232 I228 I225 I222 I219 I214 I16 I14 I524 I526 I528 I530 I532 I535">
    <cfRule type="containsBlanks" dxfId="1738" priority="1485">
      <formula>LEN(TRIM(I14))=0</formula>
    </cfRule>
  </conditionalFormatting>
  <conditionalFormatting sqref="B15:G15 AB15 AX15:BC15 B16:B17">
    <cfRule type="containsBlanks" dxfId="1737" priority="1492">
      <formula>LEN(TRIM(B15))=0</formula>
    </cfRule>
  </conditionalFormatting>
  <conditionalFormatting sqref="AD15:AK15">
    <cfRule type="containsBlanks" dxfId="1736" priority="1489">
      <formula>LEN(TRIM(AD15))=0</formula>
    </cfRule>
  </conditionalFormatting>
  <conditionalFormatting sqref="AA15">
    <cfRule type="containsBlanks" dxfId="1735" priority="1488">
      <formula>LEN(TRIM(AA15))=0</formula>
    </cfRule>
  </conditionalFormatting>
  <conditionalFormatting sqref="AC15">
    <cfRule type="containsBlanks" dxfId="1734" priority="1491">
      <formula>LEN(TRIM(AC15))=0</formula>
    </cfRule>
  </conditionalFormatting>
  <conditionalFormatting sqref="Z15">
    <cfRule type="containsBlanks" dxfId="1733" priority="1490">
      <formula>LEN(TRIM(Z15))=0</formula>
    </cfRule>
  </conditionalFormatting>
  <conditionalFormatting sqref="H16 J16:L16">
    <cfRule type="containsBlanks" dxfId="1732" priority="1486">
      <formula>LEN(TRIM(H16))=0</formula>
    </cfRule>
  </conditionalFormatting>
  <conditionalFormatting sqref="H15:L15">
    <cfRule type="containsBlanks" dxfId="1731" priority="1487">
      <formula>LEN(TRIM(H15))=0</formula>
    </cfRule>
  </conditionalFormatting>
  <conditionalFormatting sqref="I151">
    <cfRule type="containsBlanks" dxfId="1730" priority="1475">
      <formula>LEN(TRIM(I151))=0</formula>
    </cfRule>
  </conditionalFormatting>
  <conditionalFormatting sqref="I155">
    <cfRule type="containsBlanks" dxfId="1729" priority="1473">
      <formula>LEN(TRIM(I155))=0</formula>
    </cfRule>
  </conditionalFormatting>
  <conditionalFormatting sqref="I158">
    <cfRule type="containsBlanks" dxfId="1728" priority="1471">
      <formula>LEN(TRIM(I158))=0</formula>
    </cfRule>
  </conditionalFormatting>
  <conditionalFormatting sqref="I166">
    <cfRule type="containsBlanks" dxfId="1727" priority="1469">
      <formula>LEN(TRIM(I166))=0</formula>
    </cfRule>
  </conditionalFormatting>
  <conditionalFormatting sqref="I173">
    <cfRule type="containsBlanks" dxfId="1726" priority="1461">
      <formula>LEN(TRIM(I173))=0</formula>
    </cfRule>
  </conditionalFormatting>
  <conditionalFormatting sqref="AX133:BC133">
    <cfRule type="containsBlanks" dxfId="1725" priority="1456">
      <formula>LEN(TRIM(AX133))=0</formula>
    </cfRule>
  </conditionalFormatting>
  <conditionalFormatting sqref="H137 J137:L137">
    <cfRule type="containsBlanks" dxfId="1724" priority="1454">
      <formula>LEN(TRIM(H137))=0</formula>
    </cfRule>
  </conditionalFormatting>
  <conditionalFormatting sqref="AX134:BC134 B134:H134">
    <cfRule type="containsBlanks" dxfId="1723" priority="1483">
      <formula>LEN(TRIM(B134))=0</formula>
    </cfRule>
  </conditionalFormatting>
  <conditionalFormatting sqref="H141 J141:L141">
    <cfRule type="containsBlanks" dxfId="1722" priority="1452">
      <formula>LEN(TRIM(H141))=0</formula>
    </cfRule>
  </conditionalFormatting>
  <conditionalFormatting sqref="AX138:BC138 B138:H138">
    <cfRule type="containsBlanks" dxfId="1721" priority="1481">
      <formula>LEN(TRIM(B138))=0</formula>
    </cfRule>
  </conditionalFormatting>
  <conditionalFormatting sqref="C142:E142 AX142:BC142 H142">
    <cfRule type="containsBlanks" dxfId="1720" priority="1479">
      <formula>LEN(TRIM(C142))=0</formula>
    </cfRule>
  </conditionalFormatting>
  <conditionalFormatting sqref="H145 J145:L145">
    <cfRule type="containsBlanks" dxfId="1719" priority="1450">
      <formula>LEN(TRIM(H145))=0</formula>
    </cfRule>
  </conditionalFormatting>
  <conditionalFormatting sqref="H149 J149:L149">
    <cfRule type="containsBlanks" dxfId="1718" priority="1448">
      <formula>LEN(TRIM(H149))=0</formula>
    </cfRule>
  </conditionalFormatting>
  <conditionalFormatting sqref="C146:E146 AX146:BC146 H146">
    <cfRule type="containsBlanks" dxfId="1717" priority="1477">
      <formula>LEN(TRIM(C146))=0</formula>
    </cfRule>
  </conditionalFormatting>
  <conditionalFormatting sqref="H153 J153:L153">
    <cfRule type="containsBlanks" dxfId="1716" priority="1446">
      <formula>LEN(TRIM(H153))=0</formula>
    </cfRule>
  </conditionalFormatting>
  <conditionalFormatting sqref="C150:E150 AX150:BC150 H150">
    <cfRule type="containsBlanks" dxfId="1715" priority="1476">
      <formula>LEN(TRIM(C150))=0</formula>
    </cfRule>
  </conditionalFormatting>
  <conditionalFormatting sqref="C154:E154 AX154:BC154 H154">
    <cfRule type="containsBlanks" dxfId="1714" priority="1474">
      <formula>LEN(TRIM(C154))=0</formula>
    </cfRule>
  </conditionalFormatting>
  <conditionalFormatting sqref="H156 J156:L156">
    <cfRule type="containsBlanks" dxfId="1713" priority="1444">
      <formula>LEN(TRIM(H156))=0</formula>
    </cfRule>
  </conditionalFormatting>
  <conditionalFormatting sqref="H164:O165">
    <cfRule type="containsBlanks" dxfId="1712" priority="1442">
      <formula>LEN(TRIM(H164))=0</formula>
    </cfRule>
  </conditionalFormatting>
  <conditionalFormatting sqref="C157:E157 AX157:BC157 H157">
    <cfRule type="containsBlanks" dxfId="1711" priority="1472">
      <formula>LEN(TRIM(C157))=0</formula>
    </cfRule>
  </conditionalFormatting>
  <conditionalFormatting sqref="H169">
    <cfRule type="containsBlanks" dxfId="1710" priority="1440">
      <formula>LEN(TRIM(H169))=0</formula>
    </cfRule>
  </conditionalFormatting>
  <conditionalFormatting sqref="C165:E165 AX165:BC165">
    <cfRule type="containsBlanks" dxfId="1709" priority="1470">
      <formula>LEN(TRIM(C165))=0</formula>
    </cfRule>
  </conditionalFormatting>
  <conditionalFormatting sqref="H171 J171:L171">
    <cfRule type="containsBlanks" dxfId="1708" priority="1438">
      <formula>LEN(TRIM(H171))=0</formula>
    </cfRule>
  </conditionalFormatting>
  <conditionalFormatting sqref="C172:E172 AX172:BC172">
    <cfRule type="containsBlanks" dxfId="1707" priority="1464">
      <formula>LEN(TRIM(C172))=0</formula>
    </cfRule>
  </conditionalFormatting>
  <conditionalFormatting sqref="AX132:BC132">
    <cfRule type="containsBlanks" dxfId="1706" priority="1433">
      <formula>LEN(TRIM(AX132))=0</formula>
    </cfRule>
  </conditionalFormatting>
  <conditionalFormatting sqref="H136 J136:L136">
    <cfRule type="containsBlanks" dxfId="1705" priority="1431">
      <formula>LEN(TRIM(H136))=0</formula>
    </cfRule>
  </conditionalFormatting>
  <conditionalFormatting sqref="I174">
    <cfRule type="containsBlanks" dxfId="1704" priority="1457">
      <formula>LEN(TRIM(I174))=0</formula>
    </cfRule>
  </conditionalFormatting>
  <conditionalFormatting sqref="J173:L173 H173">
    <cfRule type="containsBlanks" dxfId="1703" priority="1463">
      <formula>LEN(TRIM(H173))=0</formula>
    </cfRule>
  </conditionalFormatting>
  <conditionalFormatting sqref="J172:L172 H172">
    <cfRule type="containsBlanks" dxfId="1702" priority="1462">
      <formula>LEN(TRIM(H172))=0</formula>
    </cfRule>
  </conditionalFormatting>
  <conditionalFormatting sqref="H140 J140:L140">
    <cfRule type="containsBlanks" dxfId="1701" priority="1429">
      <formula>LEN(TRIM(H140))=0</formula>
    </cfRule>
  </conditionalFormatting>
  <conditionalFormatting sqref="C141 AX141:BC141 E141">
    <cfRule type="containsBlanks" dxfId="1700" priority="1453">
      <formula>LEN(TRIM(C141))=0</formula>
    </cfRule>
  </conditionalFormatting>
  <conditionalFormatting sqref="J174:L174 H174">
    <cfRule type="containsBlanks" dxfId="1699" priority="1459">
      <formula>LEN(TRIM(H174))=0</formula>
    </cfRule>
  </conditionalFormatting>
  <conditionalFormatting sqref="H144 J144:L144">
    <cfRule type="containsBlanks" dxfId="1698" priority="1427">
      <formula>LEN(TRIM(H144))=0</formula>
    </cfRule>
  </conditionalFormatting>
  <conditionalFormatting sqref="H147 J147:L147">
    <cfRule type="containsBlanks" dxfId="1697" priority="1424">
      <formula>LEN(TRIM(H147))=0</formula>
    </cfRule>
  </conditionalFormatting>
  <conditionalFormatting sqref="C137 AX137:BC137 E137">
    <cfRule type="containsBlanks" dxfId="1696" priority="1455">
      <formula>LEN(TRIM(C137))=0</formula>
    </cfRule>
  </conditionalFormatting>
  <conditionalFormatting sqref="H152 J152:L152">
    <cfRule type="containsBlanks" dxfId="1695" priority="1422">
      <formula>LEN(TRIM(H152))=0</formula>
    </cfRule>
  </conditionalFormatting>
  <conditionalFormatting sqref="H159 J159:L159">
    <cfRule type="containsBlanks" dxfId="1694" priority="1418">
      <formula>LEN(TRIM(H159))=0</formula>
    </cfRule>
  </conditionalFormatting>
  <conditionalFormatting sqref="H167 J167:L167">
    <cfRule type="containsBlanks" dxfId="1693" priority="1416">
      <formula>LEN(TRIM(H167))=0</formula>
    </cfRule>
  </conditionalFormatting>
  <conditionalFormatting sqref="C145:E145 AX145:BC145">
    <cfRule type="containsBlanks" dxfId="1692" priority="1451">
      <formula>LEN(TRIM(C145))=0</formula>
    </cfRule>
  </conditionalFormatting>
  <conditionalFormatting sqref="C149 AX149:BC149 E149">
    <cfRule type="containsBlanks" dxfId="1691" priority="1449">
      <formula>LEN(TRIM(C149))=0</formula>
    </cfRule>
  </conditionalFormatting>
  <conditionalFormatting sqref="C153 AX153:BC153 E153">
    <cfRule type="containsBlanks" dxfId="1690" priority="1447">
      <formula>LEN(TRIM(C153))=0</formula>
    </cfRule>
  </conditionalFormatting>
  <conditionalFormatting sqref="C156:E156 AX156:BC156">
    <cfRule type="containsBlanks" dxfId="1689" priority="1445">
      <formula>LEN(TRIM(C156))=0</formula>
    </cfRule>
  </conditionalFormatting>
  <conditionalFormatting sqref="C164 AX164:BC164 E164">
    <cfRule type="containsBlanks" dxfId="1688" priority="1443">
      <formula>LEN(TRIM(C164))=0</formula>
    </cfRule>
  </conditionalFormatting>
  <conditionalFormatting sqref="C169 AX169:BC169 E169">
    <cfRule type="containsBlanks" dxfId="1687" priority="1441">
      <formula>LEN(TRIM(C169))=0</formula>
    </cfRule>
  </conditionalFormatting>
  <conditionalFormatting sqref="C171:E171 AX171:BC171">
    <cfRule type="containsBlanks" dxfId="1686" priority="1439">
      <formula>LEN(TRIM(C171))=0</formula>
    </cfRule>
  </conditionalFormatting>
  <conditionalFormatting sqref="C176 AX176:BC176 E176">
    <cfRule type="containsBlanks" dxfId="1685" priority="1435">
      <formula>LEN(TRIM(C176))=0</formula>
    </cfRule>
  </conditionalFormatting>
  <conditionalFormatting sqref="H176 J176:L176">
    <cfRule type="containsBlanks" dxfId="1684" priority="1434">
      <formula>LEN(TRIM(H176))=0</formula>
    </cfRule>
  </conditionalFormatting>
  <conditionalFormatting sqref="C136 AX136:BC136 E136">
    <cfRule type="containsBlanks" dxfId="1683" priority="1432">
      <formula>LEN(TRIM(C136))=0</formula>
    </cfRule>
  </conditionalFormatting>
  <conditionalFormatting sqref="C140 AX140:BC140 E140">
    <cfRule type="containsBlanks" dxfId="1682" priority="1430">
      <formula>LEN(TRIM(C140))=0</formula>
    </cfRule>
  </conditionalFormatting>
  <conditionalFormatting sqref="H148 J148:L148">
    <cfRule type="containsBlanks" dxfId="1681" priority="1425">
      <formula>LEN(TRIM(H148))=0</formula>
    </cfRule>
  </conditionalFormatting>
  <conditionalFormatting sqref="C144:E144 AX144:BC144">
    <cfRule type="containsBlanks" dxfId="1680" priority="1428">
      <formula>LEN(TRIM(C144))=0</formula>
    </cfRule>
  </conditionalFormatting>
  <conditionalFormatting sqref="C147 AX147:BC147 E147">
    <cfRule type="containsBlanks" dxfId="1679" priority="1426">
      <formula>LEN(TRIM(C147))=0</formula>
    </cfRule>
  </conditionalFormatting>
  <conditionalFormatting sqref="C152 AX152:BC152 E152">
    <cfRule type="containsBlanks" dxfId="1678" priority="1423">
      <formula>LEN(TRIM(C152))=0</formula>
    </cfRule>
  </conditionalFormatting>
  <conditionalFormatting sqref="C159 AX159:BC159 E159">
    <cfRule type="containsBlanks" dxfId="1677" priority="1419">
      <formula>LEN(TRIM(C159))=0</formula>
    </cfRule>
  </conditionalFormatting>
  <conditionalFormatting sqref="C167 AX167:BC167 E167">
    <cfRule type="containsBlanks" dxfId="1676" priority="1417">
      <formula>LEN(TRIM(C167))=0</formula>
    </cfRule>
  </conditionalFormatting>
  <conditionalFormatting sqref="C175 AX175:BC175 E175">
    <cfRule type="containsBlanks" dxfId="1675" priority="1411">
      <formula>LEN(TRIM(C175))=0</formula>
    </cfRule>
  </conditionalFormatting>
  <conditionalFormatting sqref="H175 J175:L175">
    <cfRule type="containsBlanks" dxfId="1674" priority="1410">
      <formula>LEN(TRIM(H175))=0</formula>
    </cfRule>
  </conditionalFormatting>
  <conditionalFormatting sqref="I148">
    <cfRule type="containsBlanks" dxfId="1673" priority="1409">
      <formula>LEN(TRIM(I148))=0</formula>
    </cfRule>
  </conditionalFormatting>
  <conditionalFormatting sqref="I136">
    <cfRule type="containsBlanks" dxfId="1672" priority="1408">
      <formula>LEN(TRIM(I136))=0</formula>
    </cfRule>
  </conditionalFormatting>
  <conditionalFormatting sqref="I140">
    <cfRule type="containsBlanks" dxfId="1671" priority="1407">
      <formula>LEN(TRIM(I140))=0</formula>
    </cfRule>
  </conditionalFormatting>
  <conditionalFormatting sqref="I144">
    <cfRule type="containsBlanks" dxfId="1670" priority="1406">
      <formula>LEN(TRIM(I144))=0</formula>
    </cfRule>
  </conditionalFormatting>
  <conditionalFormatting sqref="I147">
    <cfRule type="containsBlanks" dxfId="1669" priority="1405">
      <formula>LEN(TRIM(I147))=0</formula>
    </cfRule>
  </conditionalFormatting>
  <conditionalFormatting sqref="I152">
    <cfRule type="containsBlanks" dxfId="1668" priority="1404">
      <formula>LEN(TRIM(I152))=0</formula>
    </cfRule>
  </conditionalFormatting>
  <conditionalFormatting sqref="I159">
    <cfRule type="containsBlanks" dxfId="1667" priority="1402">
      <formula>LEN(TRIM(I159))=0</formula>
    </cfRule>
  </conditionalFormatting>
  <conditionalFormatting sqref="I167">
    <cfRule type="containsBlanks" dxfId="1666" priority="1401">
      <formula>LEN(TRIM(I167))=0</formula>
    </cfRule>
  </conditionalFormatting>
  <conditionalFormatting sqref="I175">
    <cfRule type="containsBlanks" dxfId="1665" priority="1398">
      <formula>LEN(TRIM(I175))=0</formula>
    </cfRule>
  </conditionalFormatting>
  <conditionalFormatting sqref="I178">
    <cfRule type="containsBlanks" dxfId="1664" priority="1396">
      <formula>LEN(TRIM(I178))=0</formula>
    </cfRule>
  </conditionalFormatting>
  <conditionalFormatting sqref="I181">
    <cfRule type="containsBlanks" dxfId="1663" priority="1394">
      <formula>LEN(TRIM(I181))=0</formula>
    </cfRule>
  </conditionalFormatting>
  <conditionalFormatting sqref="I184">
    <cfRule type="containsBlanks" dxfId="1662" priority="1392">
      <formula>LEN(TRIM(I184))=0</formula>
    </cfRule>
  </conditionalFormatting>
  <conditionalFormatting sqref="AX186">
    <cfRule type="containsBlanks" dxfId="1661" priority="1391">
      <formula>LEN(TRIM(AX186))=0</formula>
    </cfRule>
  </conditionalFormatting>
  <conditionalFormatting sqref="I183 I180 I177 I172 I157 I154 I150 I146 I142 I138 I134">
    <cfRule type="containsBlanks" dxfId="1660" priority="1390">
      <formula>LEN(TRIM(I134))=0</formula>
    </cfRule>
  </conditionalFormatting>
  <conditionalFormatting sqref="I185 I182 I179 I176 I171 I156 I153 I149 I145 I141 I137">
    <cfRule type="containsBlanks" dxfId="1659" priority="1389">
      <formula>LEN(TRIM(I137))=0</formula>
    </cfRule>
  </conditionalFormatting>
  <conditionalFormatting sqref="I317 I296 I288 I267 I264 I261 I255 I249 I242 I235 I227 I221">
    <cfRule type="containsBlanks" dxfId="1658" priority="1388">
      <formula>LEN(TRIM(I221))=0</formula>
    </cfRule>
  </conditionalFormatting>
  <conditionalFormatting sqref="H213 J213:O213">
    <cfRule type="containsBlanks" dxfId="1657" priority="1387">
      <formula>LEN(TRIM(H213))=0</formula>
    </cfRule>
  </conditionalFormatting>
  <conditionalFormatting sqref="I213">
    <cfRule type="containsBlanks" dxfId="1656" priority="1386">
      <formula>LEN(TRIM(I213))=0</formula>
    </cfRule>
  </conditionalFormatting>
  <conditionalFormatting sqref="D175:D176">
    <cfRule type="containsBlanks" dxfId="1655" priority="1352">
      <formula>LEN(TRIM(D175))=0</formula>
    </cfRule>
  </conditionalFormatting>
  <conditionalFormatting sqref="F142:G142">
    <cfRule type="containsBlanks" dxfId="1654" priority="1385">
      <formula>LEN(TRIM(F142))=0</formula>
    </cfRule>
  </conditionalFormatting>
  <conditionalFormatting sqref="F144:F145">
    <cfRule type="containsBlanks" dxfId="1653" priority="1384">
      <formula>LEN(TRIM(F144))=0</formula>
    </cfRule>
  </conditionalFormatting>
  <conditionalFormatting sqref="F154:G154">
    <cfRule type="containsBlanks" dxfId="1652" priority="1383">
      <formula>LEN(TRIM(F154))=0</formula>
    </cfRule>
  </conditionalFormatting>
  <conditionalFormatting sqref="F180:G182">
    <cfRule type="containsBlanks" dxfId="1651" priority="1380">
      <formula>LEN(TRIM(F180))=0</formula>
    </cfRule>
  </conditionalFormatting>
  <conditionalFormatting sqref="F186:G186">
    <cfRule type="containsBlanks" dxfId="1650" priority="1379">
      <formula>LEN(TRIM(F186))=0</formula>
    </cfRule>
  </conditionalFormatting>
  <conditionalFormatting sqref="D135:D136">
    <cfRule type="containsBlanks" dxfId="1649" priority="1377">
      <formula>LEN(TRIM(D135))=0</formula>
    </cfRule>
  </conditionalFormatting>
  <conditionalFormatting sqref="D137">
    <cfRule type="containsBlanks" dxfId="1648" priority="1376">
      <formula>LEN(TRIM(D137))=0</formula>
    </cfRule>
  </conditionalFormatting>
  <conditionalFormatting sqref="F146:F147 F136:F137">
    <cfRule type="containsBlanks" dxfId="1647" priority="1375">
      <formula>LEN(TRIM(F136))=0</formula>
    </cfRule>
  </conditionalFormatting>
  <conditionalFormatting sqref="D188">
    <cfRule type="containsBlanks" dxfId="1646" priority="1346">
      <formula>LEN(TRIM(D188))=0</formula>
    </cfRule>
  </conditionalFormatting>
  <conditionalFormatting sqref="F148:G148">
    <cfRule type="containsBlanks" dxfId="1645" priority="1374">
      <formula>LEN(TRIM(F148))=0</formula>
    </cfRule>
  </conditionalFormatting>
  <conditionalFormatting sqref="F157:G157 F149">
    <cfRule type="containsBlanks" dxfId="1644" priority="1373">
      <formula>LEN(TRIM(F149))=0</formula>
    </cfRule>
  </conditionalFormatting>
  <conditionalFormatting sqref="F158:G158">
    <cfRule type="containsBlanks" dxfId="1643" priority="1372">
      <formula>LEN(TRIM(F158))=0</formula>
    </cfRule>
  </conditionalFormatting>
  <conditionalFormatting sqref="F172:G172 F159">
    <cfRule type="containsBlanks" dxfId="1642" priority="1371">
      <formula>LEN(TRIM(F159))=0</formula>
    </cfRule>
  </conditionalFormatting>
  <conditionalFormatting sqref="F173:G173">
    <cfRule type="containsBlanks" dxfId="1641" priority="1370">
      <formula>LEN(TRIM(F173))=0</formula>
    </cfRule>
  </conditionalFormatting>
  <conditionalFormatting sqref="F177:G178">
    <cfRule type="containsBlanks" dxfId="1640" priority="1369">
      <formula>LEN(TRIM(F177))=0</formula>
    </cfRule>
  </conditionalFormatting>
  <conditionalFormatting sqref="F183:G183 F179:G179">
    <cfRule type="containsBlanks" dxfId="1639" priority="1368">
      <formula>LEN(TRIM(F179))=0</formula>
    </cfRule>
  </conditionalFormatting>
  <conditionalFormatting sqref="D147:D149">
    <cfRule type="containsBlanks" dxfId="1638" priority="1366">
      <formula>LEN(TRIM(D147))=0</formula>
    </cfRule>
  </conditionalFormatting>
  <conditionalFormatting sqref="D158:D159 D164">
    <cfRule type="containsBlanks" dxfId="1637" priority="1365">
      <formula>LEN(TRIM(D158))=0</formula>
    </cfRule>
  </conditionalFormatting>
  <conditionalFormatting sqref="D173">
    <cfRule type="containsBlanks" dxfId="1636" priority="1364">
      <formula>LEN(TRIM(D173))=0</formula>
    </cfRule>
  </conditionalFormatting>
  <conditionalFormatting sqref="F572:G572">
    <cfRule type="containsBlanks" dxfId="1635" priority="1363">
      <formula>LEN(TRIM(F572))=0</formula>
    </cfRule>
  </conditionalFormatting>
  <conditionalFormatting sqref="A648">
    <cfRule type="containsBlanks" dxfId="1634" priority="1335">
      <formula>LEN(TRIM(A648))=0</formula>
    </cfRule>
  </conditionalFormatting>
  <conditionalFormatting sqref="D139:D141">
    <cfRule type="containsBlanks" dxfId="1633" priority="1362">
      <formula>LEN(TRIM(D139))=0</formula>
    </cfRule>
  </conditionalFormatting>
  <conditionalFormatting sqref="F150:G150 F140:G141">
    <cfRule type="containsBlanks" dxfId="1632" priority="1361">
      <formula>LEN(TRIM(F140))=0</formula>
    </cfRule>
  </conditionalFormatting>
  <conditionalFormatting sqref="F151:G151">
    <cfRule type="containsBlanks" dxfId="1631" priority="1360">
      <formula>LEN(TRIM(F151))=0</formula>
    </cfRule>
  </conditionalFormatting>
  <conditionalFormatting sqref="D151:D153">
    <cfRule type="containsBlanks" dxfId="1630" priority="1359">
      <formula>LEN(TRIM(D151))=0</formula>
    </cfRule>
  </conditionalFormatting>
  <conditionalFormatting sqref="F152:G153">
    <cfRule type="containsBlanks" dxfId="1629" priority="1358">
      <formula>LEN(TRIM(F152))=0</formula>
    </cfRule>
  </conditionalFormatting>
  <conditionalFormatting sqref="F166:G166">
    <cfRule type="containsBlanks" dxfId="1628" priority="1357">
      <formula>LEN(TRIM(F166))=0</formula>
    </cfRule>
  </conditionalFormatting>
  <conditionalFormatting sqref="D166:D167 D169">
    <cfRule type="containsBlanks" dxfId="1627" priority="1356">
      <formula>LEN(TRIM(D166))=0</formula>
    </cfRule>
  </conditionalFormatting>
  <conditionalFormatting sqref="F167:G167">
    <cfRule type="containsBlanks" dxfId="1626" priority="1355">
      <formula>LEN(TRIM(F167))=0</formula>
    </cfRule>
  </conditionalFormatting>
  <conditionalFormatting sqref="F174:G174">
    <cfRule type="containsBlanks" dxfId="1625" priority="1354">
      <formula>LEN(TRIM(F174))=0</formula>
    </cfRule>
  </conditionalFormatting>
  <conditionalFormatting sqref="F175:G176">
    <cfRule type="containsBlanks" dxfId="1624" priority="1351">
      <formula>LEN(TRIM(F175))=0</formula>
    </cfRule>
  </conditionalFormatting>
  <conditionalFormatting sqref="F188:G188">
    <cfRule type="containsBlanks" dxfId="1623" priority="1347">
      <formula>LEN(TRIM(F188))=0</formula>
    </cfRule>
  </conditionalFormatting>
  <conditionalFormatting sqref="B571">
    <cfRule type="containsBlanks" dxfId="1622" priority="1345">
      <formula>LEN(TRIM(B571))=0</formula>
    </cfRule>
  </conditionalFormatting>
  <conditionalFormatting sqref="A28">
    <cfRule type="containsBlanks" dxfId="1621" priority="1340">
      <formula>LEN(TRIM(A28))=0</formula>
    </cfRule>
  </conditionalFormatting>
  <conditionalFormatting sqref="A379">
    <cfRule type="containsBlanks" dxfId="1620" priority="1325">
      <formula>LEN(TRIM(A379))=0</formula>
    </cfRule>
  </conditionalFormatting>
  <conditionalFormatting sqref="A643">
    <cfRule type="containsBlanks" dxfId="1619" priority="1333">
      <formula>LEN(TRIM(A643))=0</formula>
    </cfRule>
  </conditionalFormatting>
  <conditionalFormatting sqref="A642">
    <cfRule type="containsBlanks" dxfId="1618" priority="1336">
      <formula>LEN(TRIM(A642))=0</formula>
    </cfRule>
  </conditionalFormatting>
  <conditionalFormatting sqref="B628 B572 B567 B548 B508 B193 B190 B187 B183 B177:B179 B172:B173 B157:B159 B146:B149 B135:B137 B164:B165">
    <cfRule type="containsBlanks" dxfId="1617" priority="1344">
      <formula>LEN(TRIM(B135))=0</formula>
    </cfRule>
  </conditionalFormatting>
  <conditionalFormatting sqref="A649">
    <cfRule type="containsBlanks" dxfId="1616" priority="1339">
      <formula>LEN(TRIM(A649))=0</formula>
    </cfRule>
  </conditionalFormatting>
  <conditionalFormatting sqref="B629 B620 B573 B568 B549 B509 B194 B191 B188 B166:B167 B150:B153 B139:B141 B169">
    <cfRule type="containsBlanks" dxfId="1615" priority="1343">
      <formula>LEN(TRIM(B139))=0</formula>
    </cfRule>
  </conditionalFormatting>
  <conditionalFormatting sqref="A381">
    <cfRule type="containsBlanks" dxfId="1614" priority="1322">
      <formula>LEN(TRIM(A381))=0</formula>
    </cfRule>
  </conditionalFormatting>
  <conditionalFormatting sqref="A641">
    <cfRule type="containsBlanks" dxfId="1613" priority="1337">
      <formula>LEN(TRIM(A641))=0</formula>
    </cfRule>
  </conditionalFormatting>
  <conditionalFormatting sqref="A11">
    <cfRule type="containsBlanks" dxfId="1612" priority="1341">
      <formula>LEN(TRIM(A11))=0</formula>
    </cfRule>
  </conditionalFormatting>
  <conditionalFormatting sqref="A644">
    <cfRule type="containsBlanks" dxfId="1611" priority="1338">
      <formula>LEN(TRIM(A644))=0</formula>
    </cfRule>
  </conditionalFormatting>
  <conditionalFormatting sqref="A383">
    <cfRule type="containsBlanks" dxfId="1610" priority="1319">
      <formula>LEN(TRIM(A383))=0</formula>
    </cfRule>
  </conditionalFormatting>
  <conditionalFormatting sqref="A640">
    <cfRule type="containsBlanks" dxfId="1609" priority="1334">
      <formula>LEN(TRIM(A640))=0</formula>
    </cfRule>
  </conditionalFormatting>
  <conditionalFormatting sqref="A398:A400 A403:A405 A431 A487:A495 A498:A515 A518 A552:A563 A566:A580 A436:A482 A537:A543 A545:A549 A42:A45 A668:A669 A230:A233 A235:A238 A240:A243 A166:A167">
    <cfRule type="containsBlanks" dxfId="1608" priority="1327">
      <formula>LEN(TRIM(A42))=0</formula>
    </cfRule>
  </conditionalFormatting>
  <conditionalFormatting sqref="A645:A647">
    <cfRule type="containsBlanks" dxfId="1607" priority="1332">
      <formula>LEN(TRIM(A645))=0</formula>
    </cfRule>
  </conditionalFormatting>
  <conditionalFormatting sqref="A29:A41">
    <cfRule type="containsBlanks" dxfId="1606" priority="1331">
      <formula>LEN(TRIM(A29))=0</formula>
    </cfRule>
  </conditionalFormatting>
  <conditionalFormatting sqref="A385">
    <cfRule type="containsBlanks" dxfId="1605" priority="1316">
      <formula>LEN(TRIM(A385))=0</formula>
    </cfRule>
  </conditionalFormatting>
  <conditionalFormatting sqref="A387">
    <cfRule type="containsBlanks" dxfId="1604" priority="1313">
      <formula>LEN(TRIM(A387))=0</formula>
    </cfRule>
  </conditionalFormatting>
  <conditionalFormatting sqref="A389">
    <cfRule type="containsBlanks" dxfId="1603" priority="1310">
      <formula>LEN(TRIM(A389))=0</formula>
    </cfRule>
  </conditionalFormatting>
  <conditionalFormatting sqref="A430">
    <cfRule type="containsBlanks" dxfId="1602" priority="1256">
      <formula>LEN(TRIM(A430))=0</formula>
    </cfRule>
  </conditionalFormatting>
  <conditionalFormatting sqref="A433">
    <cfRule type="containsBlanks" dxfId="1601" priority="1253">
      <formula>LEN(TRIM(A433))=0</formula>
    </cfRule>
  </conditionalFormatting>
  <conditionalFormatting sqref="A391">
    <cfRule type="containsBlanks" dxfId="1600" priority="1307">
      <formula>LEN(TRIM(A391))=0</formula>
    </cfRule>
  </conditionalFormatting>
  <conditionalFormatting sqref="A3">
    <cfRule type="containsBlanks" dxfId="1599" priority="1328">
      <formula>LEN(TRIM(A3))=0</formula>
    </cfRule>
  </conditionalFormatting>
  <conditionalFormatting sqref="A435">
    <cfRule type="containsBlanks" dxfId="1598" priority="1250">
      <formula>LEN(TRIM(A435))=0</formula>
    </cfRule>
  </conditionalFormatting>
  <conditionalFormatting sqref="A393">
    <cfRule type="containsBlanks" dxfId="1597" priority="1304">
      <formula>LEN(TRIM(A393))=0</formula>
    </cfRule>
  </conditionalFormatting>
  <conditionalFormatting sqref="A395">
    <cfRule type="containsBlanks" dxfId="1596" priority="1301">
      <formula>LEN(TRIM(A395))=0</formula>
    </cfRule>
  </conditionalFormatting>
  <conditionalFormatting sqref="B381:AL381 AN381:BC381">
    <cfRule type="containsBlanks" dxfId="1595" priority="1324">
      <formula>LEN(TRIM(B381))=0</formula>
    </cfRule>
  </conditionalFormatting>
  <conditionalFormatting sqref="B485:BC485">
    <cfRule type="containsBlanks" dxfId="1594" priority="1246">
      <formula>LEN(TRIM(B485))=0</formula>
    </cfRule>
  </conditionalFormatting>
  <conditionalFormatting sqref="A397">
    <cfRule type="containsBlanks" dxfId="1593" priority="1298">
      <formula>LEN(TRIM(A397))=0</formula>
    </cfRule>
  </conditionalFormatting>
  <conditionalFormatting sqref="B383:AL383 AN383:BC383">
    <cfRule type="containsBlanks" dxfId="1592" priority="1321">
      <formula>LEN(TRIM(B383))=0</formula>
    </cfRule>
  </conditionalFormatting>
  <conditionalFormatting sqref="B385:AL385 AN385:BC385">
    <cfRule type="containsBlanks" dxfId="1591" priority="1318">
      <formula>LEN(TRIM(B385))=0</formula>
    </cfRule>
  </conditionalFormatting>
  <conditionalFormatting sqref="C379:AL379 AN379:BC379">
    <cfRule type="containsBlanks" dxfId="1590" priority="1326">
      <formula>LEN(TRIM(C379))=0</formula>
    </cfRule>
  </conditionalFormatting>
  <conditionalFormatting sqref="A380">
    <cfRule type="containsBlanks" dxfId="1589" priority="1323">
      <formula>LEN(TRIM(A380))=0</formula>
    </cfRule>
  </conditionalFormatting>
  <conditionalFormatting sqref="A382">
    <cfRule type="containsBlanks" dxfId="1588" priority="1320">
      <formula>LEN(TRIM(A382))=0</formula>
    </cfRule>
  </conditionalFormatting>
  <conditionalFormatting sqref="B387:AL387 AN387:BC387">
    <cfRule type="containsBlanks" dxfId="1587" priority="1315">
      <formula>LEN(TRIM(B387))=0</formula>
    </cfRule>
  </conditionalFormatting>
  <conditionalFormatting sqref="A384">
    <cfRule type="containsBlanks" dxfId="1586" priority="1317">
      <formula>LEN(TRIM(A384))=0</formula>
    </cfRule>
  </conditionalFormatting>
  <conditionalFormatting sqref="A386">
    <cfRule type="containsBlanks" dxfId="1585" priority="1314">
      <formula>LEN(TRIM(A386))=0</formula>
    </cfRule>
  </conditionalFormatting>
  <conditionalFormatting sqref="A484">
    <cfRule type="containsBlanks" dxfId="1584" priority="1247">
      <formula>LEN(TRIM(A484))=0</formula>
    </cfRule>
  </conditionalFormatting>
  <conditionalFormatting sqref="A486">
    <cfRule type="containsBlanks" dxfId="1583" priority="1244">
      <formula>LEN(TRIM(A486))=0</formula>
    </cfRule>
  </conditionalFormatting>
  <conditionalFormatting sqref="A497">
    <cfRule type="containsBlanks" dxfId="1582" priority="1241">
      <formula>LEN(TRIM(A497))=0</formula>
    </cfRule>
  </conditionalFormatting>
  <conditionalFormatting sqref="A402">
    <cfRule type="containsBlanks" dxfId="1581" priority="1295">
      <formula>LEN(TRIM(A402))=0</formula>
    </cfRule>
  </conditionalFormatting>
  <conditionalFormatting sqref="B389:AL389 AN389:BC389">
    <cfRule type="containsBlanks" dxfId="1580" priority="1312">
      <formula>LEN(TRIM(B389))=0</formula>
    </cfRule>
  </conditionalFormatting>
  <conditionalFormatting sqref="A551">
    <cfRule type="containsBlanks" dxfId="1579" priority="1235">
      <formula>LEN(TRIM(A551))=0</formula>
    </cfRule>
  </conditionalFormatting>
  <conditionalFormatting sqref="B391:AC391 AE391:AL391 AN391:BC391">
    <cfRule type="containsBlanks" dxfId="1578" priority="1309">
      <formula>LEN(TRIM(B391))=0</formula>
    </cfRule>
  </conditionalFormatting>
  <conditionalFormatting sqref="A388">
    <cfRule type="containsBlanks" dxfId="1577" priority="1311">
      <formula>LEN(TRIM(A388))=0</formula>
    </cfRule>
  </conditionalFormatting>
  <conditionalFormatting sqref="B393:AC393 AE393:AL393 AN393:BC393">
    <cfRule type="containsBlanks" dxfId="1576" priority="1306">
      <formula>LEN(TRIM(B393))=0</formula>
    </cfRule>
  </conditionalFormatting>
  <conditionalFormatting sqref="A565">
    <cfRule type="containsBlanks" dxfId="1575" priority="1232">
      <formula>LEN(TRIM(A565))=0</formula>
    </cfRule>
  </conditionalFormatting>
  <conditionalFormatting sqref="B395:AC395 AE395:AL395 AN395:BC395">
    <cfRule type="containsBlanks" dxfId="1574" priority="1303">
      <formula>LEN(TRIM(B395))=0</formula>
    </cfRule>
  </conditionalFormatting>
  <conditionalFormatting sqref="A407">
    <cfRule type="containsBlanks" dxfId="1573" priority="1292">
      <formula>LEN(TRIM(A407))=0</formula>
    </cfRule>
  </conditionalFormatting>
  <conditionalFormatting sqref="B396:BC396">
    <cfRule type="containsBlanks" dxfId="1572" priority="1300">
      <formula>LEN(TRIM(B396))=0</formula>
    </cfRule>
  </conditionalFormatting>
  <conditionalFormatting sqref="B623:V623 AE623:BC623 AA623:AB623">
    <cfRule type="containsBlanks" dxfId="1571" priority="1228">
      <formula>LEN(TRIM(B623))=0</formula>
    </cfRule>
  </conditionalFormatting>
  <conditionalFormatting sqref="B401:AC401 AE401:AL401 AN401:BC401">
    <cfRule type="containsBlanks" dxfId="1570" priority="1297">
      <formula>LEN(TRIM(B401))=0</formula>
    </cfRule>
  </conditionalFormatting>
  <conditionalFormatting sqref="A390">
    <cfRule type="containsBlanks" dxfId="1569" priority="1308">
      <formula>LEN(TRIM(A390))=0</formula>
    </cfRule>
  </conditionalFormatting>
  <conditionalFormatting sqref="A392">
    <cfRule type="containsBlanks" dxfId="1568" priority="1305">
      <formula>LEN(TRIM(A392))=0</formula>
    </cfRule>
  </conditionalFormatting>
  <conditionalFormatting sqref="B407:BC407">
    <cfRule type="containsBlanks" dxfId="1567" priority="1294">
      <formula>LEN(TRIM(B407))=0</formula>
    </cfRule>
  </conditionalFormatting>
  <conditionalFormatting sqref="B409:BC409">
    <cfRule type="containsBlanks" dxfId="1566" priority="1291">
      <formula>LEN(TRIM(B409))=0</formula>
    </cfRule>
  </conditionalFormatting>
  <conditionalFormatting sqref="A394">
    <cfRule type="containsBlanks" dxfId="1565" priority="1302">
      <formula>LEN(TRIM(A394))=0</formula>
    </cfRule>
  </conditionalFormatting>
  <conditionalFormatting sqref="A582">
    <cfRule type="containsBlanks" dxfId="1564" priority="1229">
      <formula>LEN(TRIM(A582))=0</formula>
    </cfRule>
  </conditionalFormatting>
  <conditionalFormatting sqref="A396">
    <cfRule type="containsBlanks" dxfId="1563" priority="1299">
      <formula>LEN(TRIM(A396))=0</formula>
    </cfRule>
  </conditionalFormatting>
  <conditionalFormatting sqref="A401">
    <cfRule type="containsBlanks" dxfId="1562" priority="1296">
      <formula>LEN(TRIM(A401))=0</formula>
    </cfRule>
  </conditionalFormatting>
  <conditionalFormatting sqref="A406">
    <cfRule type="containsBlanks" dxfId="1561" priority="1293">
      <formula>LEN(TRIM(A406))=0</formula>
    </cfRule>
  </conditionalFormatting>
  <conditionalFormatting sqref="A624">
    <cfRule type="containsBlanks" dxfId="1560" priority="1226">
      <formula>LEN(TRIM(A624))=0</formula>
    </cfRule>
  </conditionalFormatting>
  <conditionalFormatting sqref="A408">
    <cfRule type="containsBlanks" dxfId="1559" priority="1290">
      <formula>LEN(TRIM(A408))=0</formula>
    </cfRule>
  </conditionalFormatting>
  <conditionalFormatting sqref="A409">
    <cfRule type="containsBlanks" dxfId="1558" priority="1289">
      <formula>LEN(TRIM(A409))=0</formula>
    </cfRule>
  </conditionalFormatting>
  <conditionalFormatting sqref="B411:BC411">
    <cfRule type="containsBlanks" dxfId="1557" priority="1288">
      <formula>LEN(TRIM(B411))=0</formula>
    </cfRule>
  </conditionalFormatting>
  <conditionalFormatting sqref="A411">
    <cfRule type="containsBlanks" dxfId="1556" priority="1286">
      <formula>LEN(TRIM(A411))=0</formula>
    </cfRule>
  </conditionalFormatting>
  <conditionalFormatting sqref="A410">
    <cfRule type="containsBlanks" dxfId="1555" priority="1287">
      <formula>LEN(TRIM(A410))=0</formula>
    </cfRule>
  </conditionalFormatting>
  <conditionalFormatting sqref="A414">
    <cfRule type="containsBlanks" dxfId="1554" priority="1280">
      <formula>LEN(TRIM(A414))=0</formula>
    </cfRule>
  </conditionalFormatting>
  <conditionalFormatting sqref="A412">
    <cfRule type="containsBlanks" dxfId="1553" priority="1284">
      <formula>LEN(TRIM(A412))=0</formula>
    </cfRule>
  </conditionalFormatting>
  <conditionalFormatting sqref="A416">
    <cfRule type="containsBlanks" dxfId="1552" priority="1277">
      <formula>LEN(TRIM(A416))=0</formula>
    </cfRule>
  </conditionalFormatting>
  <conditionalFormatting sqref="C414:BC414">
    <cfRule type="containsBlanks" dxfId="1551" priority="1282">
      <formula>LEN(TRIM(C414))=0</formula>
    </cfRule>
  </conditionalFormatting>
  <conditionalFormatting sqref="A418">
    <cfRule type="containsBlanks" dxfId="1550" priority="1274">
      <formula>LEN(TRIM(A418))=0</formula>
    </cfRule>
  </conditionalFormatting>
  <conditionalFormatting sqref="A413">
    <cfRule type="containsBlanks" dxfId="1549" priority="1281">
      <formula>LEN(TRIM(A413))=0</formula>
    </cfRule>
  </conditionalFormatting>
  <conditionalFormatting sqref="A420">
    <cfRule type="containsBlanks" dxfId="1548" priority="1271">
      <formula>LEN(TRIM(A420))=0</formula>
    </cfRule>
  </conditionalFormatting>
  <conditionalFormatting sqref="B416:BC416">
    <cfRule type="containsBlanks" dxfId="1547" priority="1279">
      <formula>LEN(TRIM(B416))=0</formula>
    </cfRule>
  </conditionalFormatting>
  <conditionalFormatting sqref="A422">
    <cfRule type="containsBlanks" dxfId="1546" priority="1268">
      <formula>LEN(TRIM(A422))=0</formula>
    </cfRule>
  </conditionalFormatting>
  <conditionalFormatting sqref="A415">
    <cfRule type="containsBlanks" dxfId="1545" priority="1278">
      <formula>LEN(TRIM(A415))=0</formula>
    </cfRule>
  </conditionalFormatting>
  <conditionalFormatting sqref="A424">
    <cfRule type="containsBlanks" dxfId="1544" priority="1265">
      <formula>LEN(TRIM(A424))=0</formula>
    </cfRule>
  </conditionalFormatting>
  <conditionalFormatting sqref="B418:BC418">
    <cfRule type="containsBlanks" dxfId="1543" priority="1276">
      <formula>LEN(TRIM(B418))=0</formula>
    </cfRule>
  </conditionalFormatting>
  <conditionalFormatting sqref="A426">
    <cfRule type="containsBlanks" dxfId="1542" priority="1262">
      <formula>LEN(TRIM(A426))=0</formula>
    </cfRule>
  </conditionalFormatting>
  <conditionalFormatting sqref="A417">
    <cfRule type="containsBlanks" dxfId="1541" priority="1275">
      <formula>LEN(TRIM(A417))=0</formula>
    </cfRule>
  </conditionalFormatting>
  <conditionalFormatting sqref="A432">
    <cfRule type="containsBlanks" dxfId="1540" priority="1254">
      <formula>LEN(TRIM(A432))=0</formula>
    </cfRule>
  </conditionalFormatting>
  <conditionalFormatting sqref="B420:BC420">
    <cfRule type="containsBlanks" dxfId="1539" priority="1273">
      <formula>LEN(TRIM(B420))=0</formula>
    </cfRule>
  </conditionalFormatting>
  <conditionalFormatting sqref="A428">
    <cfRule type="containsBlanks" dxfId="1538" priority="1259">
      <formula>LEN(TRIM(A428))=0</formula>
    </cfRule>
  </conditionalFormatting>
  <conditionalFormatting sqref="A434">
    <cfRule type="containsBlanks" dxfId="1537" priority="1251">
      <formula>LEN(TRIM(A434))=0</formula>
    </cfRule>
  </conditionalFormatting>
  <conditionalFormatting sqref="A419">
    <cfRule type="containsBlanks" dxfId="1536" priority="1272">
      <formula>LEN(TRIM(A419))=0</formula>
    </cfRule>
  </conditionalFormatting>
  <conditionalFormatting sqref="B422:BC422">
    <cfRule type="containsBlanks" dxfId="1535" priority="1270">
      <formula>LEN(TRIM(B422))=0</formula>
    </cfRule>
  </conditionalFormatting>
  <conditionalFormatting sqref="B484:BC484">
    <cfRule type="containsBlanks" dxfId="1534" priority="1249">
      <formula>LEN(TRIM(B484))=0</formula>
    </cfRule>
  </conditionalFormatting>
  <conditionalFormatting sqref="A483">
    <cfRule type="containsBlanks" dxfId="1533" priority="1248">
      <formula>LEN(TRIM(A483))=0</formula>
    </cfRule>
  </conditionalFormatting>
  <conditionalFormatting sqref="A421">
    <cfRule type="containsBlanks" dxfId="1532" priority="1269">
      <formula>LEN(TRIM(A421))=0</formula>
    </cfRule>
  </conditionalFormatting>
  <conditionalFormatting sqref="B424:AC424 AE424:AL424 AN424:BC424">
    <cfRule type="containsBlanks" dxfId="1531" priority="1267">
      <formula>LEN(TRIM(B424))=0</formula>
    </cfRule>
  </conditionalFormatting>
  <conditionalFormatting sqref="A516">
    <cfRule type="containsBlanks" dxfId="1530" priority="1239">
      <formula>LEN(TRIM(A516))=0</formula>
    </cfRule>
  </conditionalFormatting>
  <conditionalFormatting sqref="A485">
    <cfRule type="containsBlanks" dxfId="1529" priority="1245">
      <formula>LEN(TRIM(A485))=0</formula>
    </cfRule>
  </conditionalFormatting>
  <conditionalFormatting sqref="B426:AC426 AE426:AL426 AN426:BC426">
    <cfRule type="containsBlanks" dxfId="1528" priority="1264">
      <formula>LEN(TRIM(B426))=0</formula>
    </cfRule>
  </conditionalFormatting>
  <conditionalFormatting sqref="A429">
    <cfRule type="containsBlanks" dxfId="1527" priority="1257">
      <formula>LEN(TRIM(A429))=0</formula>
    </cfRule>
  </conditionalFormatting>
  <conditionalFormatting sqref="B550:AZ550 BB550:BC550">
    <cfRule type="containsBlanks" dxfId="1526" priority="1237">
      <formula>LEN(TRIM(B550))=0</formula>
    </cfRule>
  </conditionalFormatting>
  <conditionalFormatting sqref="B496:AK496 AT496:BC496">
    <cfRule type="containsBlanks" dxfId="1525" priority="1243">
      <formula>LEN(TRIM(B496))=0</formula>
    </cfRule>
  </conditionalFormatting>
  <conditionalFormatting sqref="A423">
    <cfRule type="containsBlanks" dxfId="1524" priority="1266">
      <formula>LEN(TRIM(A423))=0</formula>
    </cfRule>
  </conditionalFormatting>
  <conditionalFormatting sqref="A425">
    <cfRule type="containsBlanks" dxfId="1523" priority="1263">
      <formula>LEN(TRIM(A425))=0</formula>
    </cfRule>
  </conditionalFormatting>
  <conditionalFormatting sqref="A496">
    <cfRule type="containsBlanks" dxfId="1522" priority="1242">
      <formula>LEN(TRIM(A496))=0</formula>
    </cfRule>
  </conditionalFormatting>
  <conditionalFormatting sqref="A517">
    <cfRule type="containsBlanks" dxfId="1521" priority="1238">
      <formula>LEN(TRIM(A517))=0</formula>
    </cfRule>
  </conditionalFormatting>
  <conditionalFormatting sqref="A427">
    <cfRule type="containsBlanks" dxfId="1520" priority="1260">
      <formula>LEN(TRIM(A427))=0</formula>
    </cfRule>
  </conditionalFormatting>
  <conditionalFormatting sqref="B428:M428 AE428:AL428 AN428:AZ428 W428:AC428 BB428:BC428">
    <cfRule type="containsBlanks" dxfId="1519" priority="1261">
      <formula>LEN(TRIM(B428))=0</formula>
    </cfRule>
  </conditionalFormatting>
  <conditionalFormatting sqref="B564:AC564 AE564:BB564">
    <cfRule type="containsBlanks" dxfId="1518" priority="1234">
      <formula>LEN(TRIM(B564))=0</formula>
    </cfRule>
  </conditionalFormatting>
  <conditionalFormatting sqref="B516:AK516 AT516:BC516">
    <cfRule type="containsBlanks" dxfId="1517" priority="1240">
      <formula>LEN(TRIM(B516))=0</formula>
    </cfRule>
  </conditionalFormatting>
  <conditionalFormatting sqref="B434:M434 AT434:AZ434 W434:AK434 BB434:BC434">
    <cfRule type="containsBlanks" dxfId="1516" priority="1252">
      <formula>LEN(TRIM(B434))=0</formula>
    </cfRule>
  </conditionalFormatting>
  <conditionalFormatting sqref="B429:M429 W429:AZ429 BB429:BC429">
    <cfRule type="containsBlanks" dxfId="1515" priority="1258">
      <formula>LEN(TRIM(B429))=0</formula>
    </cfRule>
  </conditionalFormatting>
  <conditionalFormatting sqref="B581:AC581 AE581:BC581">
    <cfRule type="containsBlanks" dxfId="1514" priority="1231">
      <formula>LEN(TRIM(B581))=0</formula>
    </cfRule>
  </conditionalFormatting>
  <conditionalFormatting sqref="A581">
    <cfRule type="containsBlanks" dxfId="1513" priority="1230">
      <formula>LEN(TRIM(A581))=0</formula>
    </cfRule>
  </conditionalFormatting>
  <conditionalFormatting sqref="B636:V636 AE636:AK636 AT636:AZ636 BB636:BC636 AA636:AB636">
    <cfRule type="containsBlanks" dxfId="1512" priority="1222">
      <formula>LEN(TRIM(B636))=0</formula>
    </cfRule>
  </conditionalFormatting>
  <conditionalFormatting sqref="A564">
    <cfRule type="containsBlanks" dxfId="1511" priority="1233">
      <formula>LEN(TRIM(A564))=0</formula>
    </cfRule>
  </conditionalFormatting>
  <conditionalFormatting sqref="B433:M433 AT433:AZ433 W433:AK433 BB433:BC433">
    <cfRule type="containsBlanks" dxfId="1510" priority="1255">
      <formula>LEN(TRIM(B433))=0</formula>
    </cfRule>
  </conditionalFormatting>
  <conditionalFormatting sqref="A623">
    <cfRule type="containsBlanks" dxfId="1509" priority="1227">
      <formula>LEN(TRIM(A623))=0</formula>
    </cfRule>
  </conditionalFormatting>
  <conditionalFormatting sqref="A636">
    <cfRule type="containsBlanks" dxfId="1508" priority="1221">
      <formula>LEN(TRIM(A636))=0</formula>
    </cfRule>
  </conditionalFormatting>
  <conditionalFormatting sqref="A635">
    <cfRule type="containsBlanks" dxfId="1507" priority="1223">
      <formula>LEN(TRIM(A635))=0</formula>
    </cfRule>
  </conditionalFormatting>
  <conditionalFormatting sqref="B634:E634 AA634:AB634 P634:V634 AE634:BC634">
    <cfRule type="containsBlanks" dxfId="1506" priority="1225">
      <formula>LEN(TRIM(B634))=0</formula>
    </cfRule>
  </conditionalFormatting>
  <conditionalFormatting sqref="A550">
    <cfRule type="containsBlanks" dxfId="1505" priority="1236">
      <formula>LEN(TRIM(A550))=0</formula>
    </cfRule>
  </conditionalFormatting>
  <conditionalFormatting sqref="B519:AC519 AE519:AL519 AN519:BC519">
    <cfRule type="containsBlanks" dxfId="1504" priority="1219">
      <formula>LEN(TRIM(B519))=0</formula>
    </cfRule>
  </conditionalFormatting>
  <conditionalFormatting sqref="I529">
    <cfRule type="containsBlanks" dxfId="1503" priority="1201">
      <formula>LEN(TRIM(I529))=0</formula>
    </cfRule>
  </conditionalFormatting>
  <conditionalFormatting sqref="A520">
    <cfRule type="containsBlanks" dxfId="1502" priority="1216">
      <formula>LEN(TRIM(A520))=0</formula>
    </cfRule>
  </conditionalFormatting>
  <conditionalFormatting sqref="A519">
    <cfRule type="containsBlanks" dxfId="1501" priority="1218">
      <formula>LEN(TRIM(A519))=0</formula>
    </cfRule>
  </conditionalFormatting>
  <conditionalFormatting sqref="A637">
    <cfRule type="containsBlanks" dxfId="1500" priority="1220">
      <formula>LEN(TRIM(A637))=0</formula>
    </cfRule>
  </conditionalFormatting>
  <conditionalFormatting sqref="A634">
    <cfRule type="containsBlanks" dxfId="1499" priority="1224">
      <formula>LEN(TRIM(A634))=0</formula>
    </cfRule>
  </conditionalFormatting>
  <conditionalFormatting sqref="A521">
    <cfRule type="containsBlanks" dxfId="1498" priority="1215">
      <formula>LEN(TRIM(A521))=0</formula>
    </cfRule>
  </conditionalFormatting>
  <conditionalFormatting sqref="A523">
    <cfRule type="containsBlanks" dxfId="1497" priority="1211">
      <formula>LEN(TRIM(A523))=0</formula>
    </cfRule>
  </conditionalFormatting>
  <conditionalFormatting sqref="A525">
    <cfRule type="containsBlanks" dxfId="1496" priority="1207">
      <formula>LEN(TRIM(A525))=0</formula>
    </cfRule>
  </conditionalFormatting>
  <conditionalFormatting sqref="A527">
    <cfRule type="containsBlanks" dxfId="1495" priority="1203">
      <formula>LEN(TRIM(A527))=0</formula>
    </cfRule>
  </conditionalFormatting>
  <conditionalFormatting sqref="B521:AC521 AE521:BC521">
    <cfRule type="containsBlanks" dxfId="1494" priority="1217">
      <formula>LEN(TRIM(B521))=0</formula>
    </cfRule>
  </conditionalFormatting>
  <conditionalFormatting sqref="A529">
    <cfRule type="containsBlanks" dxfId="1493" priority="1199">
      <formula>LEN(TRIM(A529))=0</formula>
    </cfRule>
  </conditionalFormatting>
  <conditionalFormatting sqref="A531">
    <cfRule type="containsBlanks" dxfId="1492" priority="1195">
      <formula>LEN(TRIM(A531))=0</formula>
    </cfRule>
  </conditionalFormatting>
  <conditionalFormatting sqref="A533">
    <cfRule type="containsBlanks" dxfId="1491" priority="1191">
      <formula>LEN(TRIM(A533))=0</formula>
    </cfRule>
  </conditionalFormatting>
  <conditionalFormatting sqref="A535">
    <cfRule type="containsBlanks" dxfId="1490" priority="1187">
      <formula>LEN(TRIM(A535))=0</formula>
    </cfRule>
  </conditionalFormatting>
  <conditionalFormatting sqref="A633">
    <cfRule type="containsBlanks" dxfId="1489" priority="1184">
      <formula>LEN(TRIM(A633))=0</formula>
    </cfRule>
  </conditionalFormatting>
  <conditionalFormatting sqref="B523:H523 J523:BC523">
    <cfRule type="containsBlanks" dxfId="1488" priority="1214">
      <formula>LEN(TRIM(B523))=0</formula>
    </cfRule>
  </conditionalFormatting>
  <conditionalFormatting sqref="I523">
    <cfRule type="containsBlanks" dxfId="1487" priority="1213">
      <formula>LEN(TRIM(I523))=0</formula>
    </cfRule>
  </conditionalFormatting>
  <conditionalFormatting sqref="I527">
    <cfRule type="containsBlanks" dxfId="1486" priority="1205">
      <formula>LEN(TRIM(I527))=0</formula>
    </cfRule>
  </conditionalFormatting>
  <conditionalFormatting sqref="A526">
    <cfRule type="containsBlanks" dxfId="1485" priority="1204">
      <formula>LEN(TRIM(A526))=0</formula>
    </cfRule>
  </conditionalFormatting>
  <conditionalFormatting sqref="J525:BC525 B525:H525">
    <cfRule type="containsBlanks" dxfId="1484" priority="1210">
      <formula>LEN(TRIM(B525))=0</formula>
    </cfRule>
  </conditionalFormatting>
  <conditionalFormatting sqref="I531">
    <cfRule type="containsBlanks" dxfId="1483" priority="1197">
      <formula>LEN(TRIM(I531))=0</formula>
    </cfRule>
  </conditionalFormatting>
  <conditionalFormatting sqref="A528">
    <cfRule type="containsBlanks" dxfId="1482" priority="1200">
      <formula>LEN(TRIM(A528))=0</formula>
    </cfRule>
  </conditionalFormatting>
  <conditionalFormatting sqref="A530">
    <cfRule type="containsBlanks" dxfId="1481" priority="1196">
      <formula>LEN(TRIM(A530))=0</formula>
    </cfRule>
  </conditionalFormatting>
  <conditionalFormatting sqref="I525">
    <cfRule type="containsBlanks" dxfId="1480" priority="1209">
      <formula>LEN(TRIM(I525))=0</formula>
    </cfRule>
  </conditionalFormatting>
  <conditionalFormatting sqref="A522">
    <cfRule type="containsBlanks" dxfId="1479" priority="1212">
      <formula>LEN(TRIM(A522))=0</formula>
    </cfRule>
  </conditionalFormatting>
  <conditionalFormatting sqref="B527:H527 J527:BC527">
    <cfRule type="containsBlanks" dxfId="1478" priority="1206">
      <formula>LEN(TRIM(B527))=0</formula>
    </cfRule>
  </conditionalFormatting>
  <conditionalFormatting sqref="I533">
    <cfRule type="containsBlanks" dxfId="1477" priority="1193">
      <formula>LEN(TRIM(I533))=0</formula>
    </cfRule>
  </conditionalFormatting>
  <conditionalFormatting sqref="I534">
    <cfRule type="containsBlanks" dxfId="1476" priority="1189">
      <formula>LEN(TRIM(I534))=0</formula>
    </cfRule>
  </conditionalFormatting>
  <conditionalFormatting sqref="A532">
    <cfRule type="containsBlanks" dxfId="1475" priority="1192">
      <formula>LEN(TRIM(A532))=0</formula>
    </cfRule>
  </conditionalFormatting>
  <conditionalFormatting sqref="A534">
    <cfRule type="containsBlanks" dxfId="1474" priority="1188">
      <formula>LEN(TRIM(A534))=0</formula>
    </cfRule>
  </conditionalFormatting>
  <conditionalFormatting sqref="A524">
    <cfRule type="containsBlanks" dxfId="1473" priority="1208">
      <formula>LEN(TRIM(A524))=0</formula>
    </cfRule>
  </conditionalFormatting>
  <conditionalFormatting sqref="J529:AK529 B529:H529 AT529:BC529">
    <cfRule type="containsBlanks" dxfId="1472" priority="1202">
      <formula>LEN(TRIM(B529))=0</formula>
    </cfRule>
  </conditionalFormatting>
  <conditionalFormatting sqref="B531:H531 J531:AK531 AT531:BC531">
    <cfRule type="containsBlanks" dxfId="1471" priority="1198">
      <formula>LEN(TRIM(B531))=0</formula>
    </cfRule>
  </conditionalFormatting>
  <conditionalFormatting sqref="J533:AK533 B533:H533 AT533:BC533">
    <cfRule type="containsBlanks" dxfId="1470" priority="1194">
      <formula>LEN(TRIM(B533))=0</formula>
    </cfRule>
  </conditionalFormatting>
  <conditionalFormatting sqref="A630">
    <cfRule type="containsBlanks" dxfId="1469" priority="1185">
      <formula>LEN(TRIM(A630))=0</formula>
    </cfRule>
  </conditionalFormatting>
  <conditionalFormatting sqref="B534:H534 J534:AK534 AT534:BC534">
    <cfRule type="containsBlanks" dxfId="1468" priority="1190">
      <formula>LEN(TRIM(B534))=0</formula>
    </cfRule>
  </conditionalFormatting>
  <conditionalFormatting sqref="C630:AC630 AE630:BC630">
    <cfRule type="containsBlanks" dxfId="1467" priority="1186">
      <formula>LEN(TRIM(C630))=0</formula>
    </cfRule>
  </conditionalFormatting>
  <conditionalFormatting sqref="C638:AC638 AE638:AK638 AT638:AZ638 BB638:BC638">
    <cfRule type="containsBlanks" dxfId="1466" priority="1183">
      <formula>LEN(TRIM(C638))=0</formula>
    </cfRule>
  </conditionalFormatting>
  <conditionalFormatting sqref="A639">
    <cfRule type="containsBlanks" dxfId="1465" priority="1181">
      <formula>LEN(TRIM(A639))=0</formula>
    </cfRule>
  </conditionalFormatting>
  <conditionalFormatting sqref="A638">
    <cfRule type="containsBlanks" dxfId="1464" priority="1182">
      <formula>LEN(TRIM(A638))=0</formula>
    </cfRule>
  </conditionalFormatting>
  <conditionalFormatting sqref="L45:O45">
    <cfRule type="containsBlanks" dxfId="1463" priority="1180">
      <formula>LEN(TRIM(L45))=0</formula>
    </cfRule>
  </conditionalFormatting>
  <conditionalFormatting sqref="L96:O96">
    <cfRule type="containsBlanks" dxfId="1462" priority="1179">
      <formula>LEN(TRIM(L96))=0</formula>
    </cfRule>
  </conditionalFormatting>
  <conditionalFormatting sqref="H129 J129:O129">
    <cfRule type="containsBlanks" dxfId="1461" priority="1178">
      <formula>LEN(TRIM(H129))=0</formula>
    </cfRule>
  </conditionalFormatting>
  <conditionalFormatting sqref="G144:G145">
    <cfRule type="containsBlanks" dxfId="1460" priority="1177">
      <formula>LEN(TRIM(G144))=0</formula>
    </cfRule>
  </conditionalFormatting>
  <conditionalFormatting sqref="G136:G137">
    <cfRule type="containsBlanks" dxfId="1459" priority="1174">
      <formula>LEN(TRIM(G136))=0</formula>
    </cfRule>
  </conditionalFormatting>
  <conditionalFormatting sqref="G146:G147">
    <cfRule type="containsBlanks" dxfId="1458" priority="1173">
      <formula>LEN(TRIM(G146))=0</formula>
    </cfRule>
  </conditionalFormatting>
  <conditionalFormatting sqref="G149">
    <cfRule type="containsBlanks" dxfId="1457" priority="1172">
      <formula>LEN(TRIM(G149))=0</formula>
    </cfRule>
  </conditionalFormatting>
  <conditionalFormatting sqref="G159">
    <cfRule type="containsBlanks" dxfId="1456" priority="1171">
      <formula>LEN(TRIM(G159))=0</formula>
    </cfRule>
  </conditionalFormatting>
  <conditionalFormatting sqref="J17">
    <cfRule type="containsBlanks" dxfId="1455" priority="1169">
      <formula>LEN(TRIM(J17))=0</formula>
    </cfRule>
  </conditionalFormatting>
  <conditionalFormatting sqref="K17">
    <cfRule type="containsBlanks" dxfId="1454" priority="1168">
      <formula>LEN(TRIM(K17))=0</formula>
    </cfRule>
  </conditionalFormatting>
  <conditionalFormatting sqref="H18:I18 L18:O18">
    <cfRule type="containsBlanks" dxfId="1453" priority="1167">
      <formula>LEN(TRIM(H18))=0</formula>
    </cfRule>
  </conditionalFormatting>
  <conditionalFormatting sqref="J18">
    <cfRule type="containsBlanks" dxfId="1452" priority="1166">
      <formula>LEN(TRIM(J18))=0</formula>
    </cfRule>
  </conditionalFormatting>
  <conditionalFormatting sqref="K18">
    <cfRule type="containsBlanks" dxfId="1451" priority="1165">
      <formula>LEN(TRIM(K18))=0</formula>
    </cfRule>
  </conditionalFormatting>
  <conditionalFormatting sqref="X215">
    <cfRule type="containsBlanks" dxfId="1450" priority="1164">
      <formula>LEN(TRIM(X215))=0</formula>
    </cfRule>
  </conditionalFormatting>
  <conditionalFormatting sqref="X216">
    <cfRule type="containsBlanks" dxfId="1449" priority="1163">
      <formula>LEN(TRIM(X216))=0</formula>
    </cfRule>
  </conditionalFormatting>
  <conditionalFormatting sqref="AD390:AD395">
    <cfRule type="containsBlanks" dxfId="1448" priority="1162">
      <formula>LEN(TRIM(AD390))=0</formula>
    </cfRule>
  </conditionalFormatting>
  <conditionalFormatting sqref="AD398:AD405">
    <cfRule type="containsBlanks" dxfId="1447" priority="1161">
      <formula>LEN(TRIM(AD398))=0</formula>
    </cfRule>
  </conditionalFormatting>
  <conditionalFormatting sqref="AD423:AD428">
    <cfRule type="containsBlanks" dxfId="1446" priority="1160">
      <formula>LEN(TRIM(AD423))=0</formula>
    </cfRule>
  </conditionalFormatting>
  <conditionalFormatting sqref="AD518:AD520">
    <cfRule type="containsBlanks" dxfId="1445" priority="1159">
      <formula>LEN(TRIM(AD518))=0</formula>
    </cfRule>
  </conditionalFormatting>
  <conditionalFormatting sqref="AD521">
    <cfRule type="containsBlanks" dxfId="1444" priority="1158">
      <formula>LEN(TRIM(AD521))=0</formula>
    </cfRule>
  </conditionalFormatting>
  <conditionalFormatting sqref="AD556:AD564">
    <cfRule type="containsBlanks" dxfId="1443" priority="1157">
      <formula>LEN(TRIM(AD556))=0</formula>
    </cfRule>
  </conditionalFormatting>
  <conditionalFormatting sqref="AD574:AD582">
    <cfRule type="containsBlanks" dxfId="1442" priority="1156">
      <formula>LEN(TRIM(AD574))=0</formula>
    </cfRule>
  </conditionalFormatting>
  <conditionalFormatting sqref="AD612:AD614">
    <cfRule type="containsBlanks" dxfId="1441" priority="1155">
      <formula>LEN(TRIM(AD612))=0</formula>
    </cfRule>
  </conditionalFormatting>
  <conditionalFormatting sqref="AD633:AD636">
    <cfRule type="containsBlanks" dxfId="1440" priority="1153">
      <formula>LEN(TRIM(AD633))=0</formula>
    </cfRule>
  </conditionalFormatting>
  <conditionalFormatting sqref="AD637:AD639">
    <cfRule type="containsBlanks" dxfId="1439" priority="1152">
      <formula>LEN(TRIM(AD637))=0</formula>
    </cfRule>
  </conditionalFormatting>
  <conditionalFormatting sqref="AH28 AH25:AH26 AH23 AH20:AH21">
    <cfRule type="containsBlanks" dxfId="1438" priority="1151">
      <formula>LEN(TRIM(AH20))=0</formula>
    </cfRule>
  </conditionalFormatting>
  <conditionalFormatting sqref="AH33:AH35">
    <cfRule type="containsBlanks" dxfId="1437" priority="1150">
      <formula>LEN(TRIM(AH33))=0</formula>
    </cfRule>
  </conditionalFormatting>
  <conditionalFormatting sqref="AH37">
    <cfRule type="containsBlanks" dxfId="1436" priority="1149">
      <formula>LEN(TRIM(AH37))=0</formula>
    </cfRule>
  </conditionalFormatting>
  <conditionalFormatting sqref="AH39">
    <cfRule type="containsBlanks" dxfId="1435" priority="1148">
      <formula>LEN(TRIM(AH39))=0</formula>
    </cfRule>
  </conditionalFormatting>
  <conditionalFormatting sqref="AH40">
    <cfRule type="containsBlanks" dxfId="1434" priority="1147">
      <formula>LEN(TRIM(AH40))=0</formula>
    </cfRule>
  </conditionalFormatting>
  <conditionalFormatting sqref="AH47">
    <cfRule type="containsBlanks" dxfId="1433" priority="1146">
      <formula>LEN(TRIM(AH47))=0</formula>
    </cfRule>
  </conditionalFormatting>
  <conditionalFormatting sqref="AH48">
    <cfRule type="containsBlanks" dxfId="1432" priority="1145">
      <formula>LEN(TRIM(AH48))=0</formula>
    </cfRule>
  </conditionalFormatting>
  <conditionalFormatting sqref="AH51">
    <cfRule type="containsBlanks" dxfId="1431" priority="1144">
      <formula>LEN(TRIM(AH51))=0</formula>
    </cfRule>
  </conditionalFormatting>
  <conditionalFormatting sqref="AH52">
    <cfRule type="containsBlanks" dxfId="1430" priority="1143">
      <formula>LEN(TRIM(AH52))=0</formula>
    </cfRule>
  </conditionalFormatting>
  <conditionalFormatting sqref="AH63">
    <cfRule type="containsBlanks" dxfId="1429" priority="1142">
      <formula>LEN(TRIM(AH63))=0</formula>
    </cfRule>
  </conditionalFormatting>
  <conditionalFormatting sqref="AH70">
    <cfRule type="containsBlanks" dxfId="1428" priority="1141">
      <formula>LEN(TRIM(AH70))=0</formula>
    </cfRule>
  </conditionalFormatting>
  <conditionalFormatting sqref="AH71">
    <cfRule type="containsBlanks" dxfId="1427" priority="1140">
      <formula>LEN(TRIM(AH71))=0</formula>
    </cfRule>
  </conditionalFormatting>
  <conditionalFormatting sqref="AH72">
    <cfRule type="containsBlanks" dxfId="1426" priority="1139">
      <formula>LEN(TRIM(AH72))=0</formula>
    </cfRule>
  </conditionalFormatting>
  <conditionalFormatting sqref="AH74">
    <cfRule type="containsBlanks" dxfId="1425" priority="1138">
      <formula>LEN(TRIM(AH74))=0</formula>
    </cfRule>
  </conditionalFormatting>
  <conditionalFormatting sqref="AH76">
    <cfRule type="containsBlanks" dxfId="1424" priority="1137">
      <formula>LEN(TRIM(AH76))=0</formula>
    </cfRule>
  </conditionalFormatting>
  <conditionalFormatting sqref="AH77">
    <cfRule type="containsBlanks" dxfId="1423" priority="1136">
      <formula>LEN(TRIM(AH77))=0</formula>
    </cfRule>
  </conditionalFormatting>
  <conditionalFormatting sqref="AH80">
    <cfRule type="containsBlanks" dxfId="1422" priority="1135">
      <formula>LEN(TRIM(AH80))=0</formula>
    </cfRule>
  </conditionalFormatting>
  <conditionalFormatting sqref="AH85">
    <cfRule type="containsBlanks" dxfId="1421" priority="1134">
      <formula>LEN(TRIM(AH85))=0</formula>
    </cfRule>
  </conditionalFormatting>
  <conditionalFormatting sqref="AH86">
    <cfRule type="containsBlanks" dxfId="1420" priority="1133">
      <formula>LEN(TRIM(AH86))=0</formula>
    </cfRule>
  </conditionalFormatting>
  <conditionalFormatting sqref="AH87">
    <cfRule type="containsBlanks" dxfId="1419" priority="1132">
      <formula>LEN(TRIM(AH87))=0</formula>
    </cfRule>
  </conditionalFormatting>
  <conditionalFormatting sqref="AH89">
    <cfRule type="containsBlanks" dxfId="1418" priority="1131">
      <formula>LEN(TRIM(AH89))=0</formula>
    </cfRule>
  </conditionalFormatting>
  <conditionalFormatting sqref="AH108:AH109 AH91:AH92">
    <cfRule type="containsBlanks" dxfId="1417" priority="1130">
      <formula>LEN(TRIM(AH91))=0</formula>
    </cfRule>
  </conditionalFormatting>
  <conditionalFormatting sqref="AH192 AH186 AH114:AH115">
    <cfRule type="containsBlanks" dxfId="1416" priority="1129">
      <formula>LEN(TRIM(AH114))=0</formula>
    </cfRule>
  </conditionalFormatting>
  <conditionalFormatting sqref="AH198">
    <cfRule type="containsBlanks" dxfId="1415" priority="1128">
      <formula>LEN(TRIM(AH198))=0</formula>
    </cfRule>
  </conditionalFormatting>
  <conditionalFormatting sqref="AH209:AH211 AH207 AH201">
    <cfRule type="containsBlanks" dxfId="1414" priority="1127">
      <formula>LEN(TRIM(AH201))=0</formula>
    </cfRule>
  </conditionalFormatting>
  <conditionalFormatting sqref="AH213">
    <cfRule type="containsBlanks" dxfId="1413" priority="1126">
      <formula>LEN(TRIM(AH213))=0</formula>
    </cfRule>
  </conditionalFormatting>
  <conditionalFormatting sqref="AH274:AH276 AH278">
    <cfRule type="containsBlanks" dxfId="1412" priority="1125">
      <formula>LEN(TRIM(AH274))=0</formula>
    </cfRule>
  </conditionalFormatting>
  <conditionalFormatting sqref="AH305 AH284:AH286">
    <cfRule type="containsBlanks" dxfId="1411" priority="1123">
      <formula>LEN(TRIM(AH284))=0</formula>
    </cfRule>
  </conditionalFormatting>
  <conditionalFormatting sqref="AH306:AH312">
    <cfRule type="containsBlanks" dxfId="1410" priority="1122">
      <formula>LEN(TRIM(AH306))=0</formula>
    </cfRule>
  </conditionalFormatting>
  <conditionalFormatting sqref="AH336:AH337 AH323">
    <cfRule type="containsBlanks" dxfId="1409" priority="1121">
      <formula>LEN(TRIM(AH323))=0</formula>
    </cfRule>
  </conditionalFormatting>
  <conditionalFormatting sqref="AH338:AH343">
    <cfRule type="containsBlanks" dxfId="1408" priority="1120">
      <formula>LEN(TRIM(AH338))=0</formula>
    </cfRule>
  </conditionalFormatting>
  <conditionalFormatting sqref="AH364:AH365 AH354:AH355 AH344">
    <cfRule type="containsBlanks" dxfId="1407" priority="1119">
      <formula>LEN(TRIM(AH344))=0</formula>
    </cfRule>
  </conditionalFormatting>
  <conditionalFormatting sqref="AH448:AH449 AH438:AH439">
    <cfRule type="containsBlanks" dxfId="1406" priority="1118">
      <formula>LEN(TRIM(AH438))=0</formula>
    </cfRule>
  </conditionalFormatting>
  <conditionalFormatting sqref="AM378 AM380 AM382 AM384 AM386">
    <cfRule type="containsBlanks" dxfId="1405" priority="1117">
      <formula>LEN(TRIM(AM378))=0</formula>
    </cfRule>
  </conditionalFormatting>
  <conditionalFormatting sqref="AM381">
    <cfRule type="containsBlanks" dxfId="1404" priority="1115">
      <formula>LEN(TRIM(AM381))=0</formula>
    </cfRule>
  </conditionalFormatting>
  <conditionalFormatting sqref="AM383">
    <cfRule type="containsBlanks" dxfId="1403" priority="1114">
      <formula>LEN(TRIM(AM383))=0</formula>
    </cfRule>
  </conditionalFormatting>
  <conditionalFormatting sqref="AM385">
    <cfRule type="containsBlanks" dxfId="1402" priority="1113">
      <formula>LEN(TRIM(AM385))=0</formula>
    </cfRule>
  </conditionalFormatting>
  <conditionalFormatting sqref="AM379">
    <cfRule type="containsBlanks" dxfId="1401" priority="1116">
      <formula>LEN(TRIM(AM379))=0</formula>
    </cfRule>
  </conditionalFormatting>
  <conditionalFormatting sqref="AM388 AM390 AM392 AM394">
    <cfRule type="containsBlanks" dxfId="1400" priority="1112">
      <formula>LEN(TRIM(AM388))=0</formula>
    </cfRule>
  </conditionalFormatting>
  <conditionalFormatting sqref="AM387">
    <cfRule type="containsBlanks" dxfId="1399" priority="1111">
      <formula>LEN(TRIM(AM387))=0</formula>
    </cfRule>
  </conditionalFormatting>
  <conditionalFormatting sqref="AM389">
    <cfRule type="containsBlanks" dxfId="1398" priority="1110">
      <formula>LEN(TRIM(AM389))=0</formula>
    </cfRule>
  </conditionalFormatting>
  <conditionalFormatting sqref="AM391">
    <cfRule type="containsBlanks" dxfId="1397" priority="1109">
      <formula>LEN(TRIM(AM391))=0</formula>
    </cfRule>
  </conditionalFormatting>
  <conditionalFormatting sqref="AM393">
    <cfRule type="containsBlanks" dxfId="1396" priority="1108">
      <formula>LEN(TRIM(AM393))=0</formula>
    </cfRule>
  </conditionalFormatting>
  <conditionalFormatting sqref="AM395">
    <cfRule type="containsBlanks" dxfId="1395" priority="1107">
      <formula>LEN(TRIM(AM395))=0</formula>
    </cfRule>
  </conditionalFormatting>
  <conditionalFormatting sqref="AM402:AM405 AM398:AM400">
    <cfRule type="containsBlanks" dxfId="1394" priority="1106">
      <formula>LEN(TRIM(AM398))=0</formula>
    </cfRule>
  </conditionalFormatting>
  <conditionalFormatting sqref="AM401">
    <cfRule type="containsBlanks" dxfId="1393" priority="1105">
      <formula>LEN(TRIM(AM401))=0</formula>
    </cfRule>
  </conditionalFormatting>
  <conditionalFormatting sqref="AM423 AM425 AM427">
    <cfRule type="containsBlanks" dxfId="1392" priority="1104">
      <formula>LEN(TRIM(AM423))=0</formula>
    </cfRule>
  </conditionalFormatting>
  <conditionalFormatting sqref="AM424">
    <cfRule type="containsBlanks" dxfId="1391" priority="1103">
      <formula>LEN(TRIM(AM424))=0</formula>
    </cfRule>
  </conditionalFormatting>
  <conditionalFormatting sqref="AM426">
    <cfRule type="containsBlanks" dxfId="1390" priority="1102">
      <formula>LEN(TRIM(AM426))=0</formula>
    </cfRule>
  </conditionalFormatting>
  <conditionalFormatting sqref="AM428">
    <cfRule type="containsBlanks" dxfId="1389" priority="1101">
      <formula>LEN(TRIM(AM428))=0</formula>
    </cfRule>
  </conditionalFormatting>
  <conditionalFormatting sqref="AM520 AM518">
    <cfRule type="containsBlanks" dxfId="1388" priority="1100">
      <formula>LEN(TRIM(AM518))=0</formula>
    </cfRule>
  </conditionalFormatting>
  <conditionalFormatting sqref="AM519">
    <cfRule type="containsBlanks" dxfId="1387" priority="1099">
      <formula>LEN(TRIM(AM519))=0</formula>
    </cfRule>
  </conditionalFormatting>
  <conditionalFormatting sqref="AT613:AW613">
    <cfRule type="containsBlanks" dxfId="1386" priority="1098">
      <formula>LEN(TRIM(AT613))=0</formula>
    </cfRule>
  </conditionalFormatting>
  <conditionalFormatting sqref="AX613:AZ613">
    <cfRule type="containsBlanks" dxfId="1385" priority="1097">
      <formula>LEN(TRIM(AX613))=0</formula>
    </cfRule>
  </conditionalFormatting>
  <conditionalFormatting sqref="AZ563">
    <cfRule type="containsBlanks" dxfId="1384" priority="1096">
      <formula>LEN(TRIM(AZ563))=0</formula>
    </cfRule>
  </conditionalFormatting>
  <conditionalFormatting sqref="AY563">
    <cfRule type="containsBlanks" dxfId="1383" priority="1095">
      <formula>LEN(TRIM(AY563))=0</formula>
    </cfRule>
  </conditionalFormatting>
  <conditionalFormatting sqref="AX563">
    <cfRule type="containsBlanks" dxfId="1382" priority="1094">
      <formula>LEN(TRIM(AX563))=0</formula>
    </cfRule>
  </conditionalFormatting>
  <conditionalFormatting sqref="AZ565">
    <cfRule type="containsBlanks" dxfId="1381" priority="1093">
      <formula>LEN(TRIM(AZ565))=0</formula>
    </cfRule>
  </conditionalFormatting>
  <conditionalFormatting sqref="AY565">
    <cfRule type="containsBlanks" dxfId="1380" priority="1092">
      <formula>LEN(TRIM(AY565))=0</formula>
    </cfRule>
  </conditionalFormatting>
  <conditionalFormatting sqref="AX565">
    <cfRule type="containsBlanks" dxfId="1379" priority="1091">
      <formula>LEN(TRIM(AX565))=0</formula>
    </cfRule>
  </conditionalFormatting>
  <conditionalFormatting sqref="AV565">
    <cfRule type="containsBlanks" dxfId="1378" priority="1090">
      <formula>LEN(TRIM(AV565))=0</formula>
    </cfRule>
  </conditionalFormatting>
  <conditionalFormatting sqref="AU565">
    <cfRule type="containsBlanks" dxfId="1377" priority="1089">
      <formula>LEN(TRIM(AU565))=0</formula>
    </cfRule>
  </conditionalFormatting>
  <conditionalFormatting sqref="AT565">
    <cfRule type="containsBlanks" dxfId="1376" priority="1088">
      <formula>LEN(TRIM(AT565))=0</formula>
    </cfRule>
  </conditionalFormatting>
  <conditionalFormatting sqref="AY567:AY568">
    <cfRule type="containsBlanks" dxfId="1375" priority="1087">
      <formula>LEN(TRIM(AY567))=0</formula>
    </cfRule>
  </conditionalFormatting>
  <conditionalFormatting sqref="AX567:AX568">
    <cfRule type="containsBlanks" dxfId="1374" priority="1086">
      <formula>LEN(TRIM(AX567))=0</formula>
    </cfRule>
  </conditionalFormatting>
  <conditionalFormatting sqref="AZ567:AZ568">
    <cfRule type="containsBlanks" dxfId="1373" priority="1085">
      <formula>LEN(TRIM(AZ567))=0</formula>
    </cfRule>
  </conditionalFormatting>
  <conditionalFormatting sqref="AY580">
    <cfRule type="containsBlanks" dxfId="1372" priority="1084">
      <formula>LEN(TRIM(AY580))=0</formula>
    </cfRule>
  </conditionalFormatting>
  <conditionalFormatting sqref="AX580">
    <cfRule type="containsBlanks" dxfId="1371" priority="1083">
      <formula>LEN(TRIM(AX580))=0</formula>
    </cfRule>
  </conditionalFormatting>
  <conditionalFormatting sqref="AZ580">
    <cfRule type="containsBlanks" dxfId="1370" priority="1082">
      <formula>LEN(TRIM(AZ580))=0</formula>
    </cfRule>
  </conditionalFormatting>
  <conditionalFormatting sqref="A651">
    <cfRule type="containsBlanks" dxfId="1369" priority="1080">
      <formula>LEN(TRIM(A651))=0</formula>
    </cfRule>
  </conditionalFormatting>
  <conditionalFormatting sqref="A650">
    <cfRule type="containsBlanks" dxfId="1368" priority="1081">
      <formula>LEN(TRIM(A650))=0</formula>
    </cfRule>
  </conditionalFormatting>
  <conditionalFormatting sqref="B651">
    <cfRule type="containsBlanks" dxfId="1367" priority="1079">
      <formula>LEN(TRIM(B651))=0</formula>
    </cfRule>
  </conditionalFormatting>
  <conditionalFormatting sqref="B650">
    <cfRule type="containsBlanks" dxfId="1366" priority="1078">
      <formula>LEN(TRIM(B650))=0</formula>
    </cfRule>
  </conditionalFormatting>
  <conditionalFormatting sqref="C651">
    <cfRule type="containsBlanks" dxfId="1365" priority="1077">
      <formula>LEN(TRIM(C651))=0</formula>
    </cfRule>
  </conditionalFormatting>
  <conditionalFormatting sqref="C650">
    <cfRule type="containsBlanks" dxfId="1364" priority="1076">
      <formula>LEN(TRIM(C650))=0</formula>
    </cfRule>
  </conditionalFormatting>
  <conditionalFormatting sqref="D651:AC651 AE651:AS651 BB651:BC651">
    <cfRule type="containsBlanks" dxfId="1363" priority="1075">
      <formula>LEN(TRIM(D651))=0</formula>
    </cfRule>
  </conditionalFormatting>
  <conditionalFormatting sqref="D650:AC650 AE650:AS650 BB650:BC650">
    <cfRule type="containsBlanks" dxfId="1362" priority="1074">
      <formula>LEN(TRIM(D650))=0</formula>
    </cfRule>
  </conditionalFormatting>
  <conditionalFormatting sqref="AD650:AD651">
    <cfRule type="containsBlanks" dxfId="1361" priority="1073">
      <formula>LEN(TRIM(AD650))=0</formula>
    </cfRule>
  </conditionalFormatting>
  <conditionalFormatting sqref="AZ650:AZ651 AZ582">
    <cfRule type="containsBlanks" dxfId="1360" priority="1072">
      <formula>LEN(TRIM(AZ582))=0</formula>
    </cfRule>
  </conditionalFormatting>
  <conditionalFormatting sqref="AU650:AV651 AU582:AV582">
    <cfRule type="containsBlanks" dxfId="1359" priority="1071">
      <formula>LEN(TRIM(AU582))=0</formula>
    </cfRule>
  </conditionalFormatting>
  <conditionalFormatting sqref="AW650:AW651 AW582">
    <cfRule type="containsBlanks" dxfId="1358" priority="1070">
      <formula>LEN(TRIM(AW582))=0</formula>
    </cfRule>
  </conditionalFormatting>
  <conditionalFormatting sqref="AX650:AX651 AX582">
    <cfRule type="containsBlanks" dxfId="1357" priority="1069">
      <formula>LEN(TRIM(AX582))=0</formula>
    </cfRule>
  </conditionalFormatting>
  <conditionalFormatting sqref="AY650:AY651 AY582">
    <cfRule type="containsBlanks" dxfId="1356" priority="1068">
      <formula>LEN(TRIM(AY582))=0</formula>
    </cfRule>
  </conditionalFormatting>
  <conditionalFormatting sqref="AZ511:AZ513">
    <cfRule type="containsBlanks" dxfId="1355" priority="1067">
      <formula>LEN(TRIM(AZ511))=0</formula>
    </cfRule>
  </conditionalFormatting>
  <conditionalFormatting sqref="AT582">
    <cfRule type="containsBlanks" dxfId="1354" priority="1064">
      <formula>LEN(TRIM(AT582))=0</formula>
    </cfRule>
  </conditionalFormatting>
  <conditionalFormatting sqref="AT650">
    <cfRule type="containsBlanks" dxfId="1353" priority="1063">
      <formula>LEN(TRIM(AT650))=0</formula>
    </cfRule>
  </conditionalFormatting>
  <conditionalFormatting sqref="AT651">
    <cfRule type="containsBlanks" dxfId="1352" priority="1062">
      <formula>LEN(TRIM(AT651))=0</formula>
    </cfRule>
  </conditionalFormatting>
  <conditionalFormatting sqref="P622:V622">
    <cfRule type="containsBlanks" dxfId="1351" priority="1061">
      <formula>LEN(TRIM(P622))=0</formula>
    </cfRule>
  </conditionalFormatting>
  <conditionalFormatting sqref="B544:BC544">
    <cfRule type="containsBlanks" dxfId="1350" priority="1060">
      <formula>LEN(TRIM(B544))=0</formula>
    </cfRule>
  </conditionalFormatting>
  <conditionalFormatting sqref="A544">
    <cfRule type="containsBlanks" dxfId="1349" priority="1059">
      <formula>LEN(TRIM(A544))=0</formula>
    </cfRule>
  </conditionalFormatting>
  <conditionalFormatting sqref="BC610:BC611">
    <cfRule type="containsBlanks" dxfId="1348" priority="1058">
      <formula>LEN(TRIM(BC610))=0</formula>
    </cfRule>
  </conditionalFormatting>
  <conditionalFormatting sqref="BC612:BC613 BC609 BC561:BC568">
    <cfRule type="containsBlanks" dxfId="1347" priority="1057">
      <formula>LEN(TRIM(BC561))=0</formula>
    </cfRule>
  </conditionalFormatting>
  <conditionalFormatting sqref="BA580">
    <cfRule type="containsBlanks" dxfId="1346" priority="1056">
      <formula>LEN(TRIM(BA580))=0</formula>
    </cfRule>
  </conditionalFormatting>
  <conditionalFormatting sqref="BA650:BA651 BA582">
    <cfRule type="containsBlanks" dxfId="1345" priority="1055">
      <formula>LEN(TRIM(BA582))=0</formula>
    </cfRule>
  </conditionalFormatting>
  <conditionalFormatting sqref="BC652 M652:O652">
    <cfRule type="containsBlanks" dxfId="1344" priority="1053">
      <formula>LEN(TRIM(M652))=0</formula>
    </cfRule>
  </conditionalFormatting>
  <conditionalFormatting sqref="BA652">
    <cfRule type="containsBlanks" dxfId="1343" priority="1052">
      <formula>LEN(TRIM(BA652))=0</formula>
    </cfRule>
  </conditionalFormatting>
  <conditionalFormatting sqref="C652">
    <cfRule type="containsBlanks" dxfId="1342" priority="1051">
      <formula>LEN(TRIM(C652))=0</formula>
    </cfRule>
  </conditionalFormatting>
  <conditionalFormatting sqref="B652">
    <cfRule type="containsBlanks" dxfId="1341" priority="1050">
      <formula>LEN(TRIM(B652))=0</formula>
    </cfRule>
  </conditionalFormatting>
  <conditionalFormatting sqref="A652">
    <cfRule type="containsBlanks" dxfId="1340" priority="1049">
      <formula>LEN(TRIM(A652))=0</formula>
    </cfRule>
  </conditionalFormatting>
  <conditionalFormatting sqref="BB652 D652:L652 P652:AC652 AE652:AK652">
    <cfRule type="containsBlanks" dxfId="1339" priority="1048">
      <formula>LEN(TRIM(D652))=0</formula>
    </cfRule>
  </conditionalFormatting>
  <conditionalFormatting sqref="AD652">
    <cfRule type="containsBlanks" dxfId="1338" priority="1047">
      <formula>LEN(TRIM(AD652))=0</formula>
    </cfRule>
  </conditionalFormatting>
  <conditionalFormatting sqref="AW652">
    <cfRule type="containsBlanks" dxfId="1337" priority="1046">
      <formula>LEN(TRIM(AW652))=0</formula>
    </cfRule>
  </conditionalFormatting>
  <conditionalFormatting sqref="AX652:AZ652">
    <cfRule type="containsBlanks" dxfId="1336" priority="1045">
      <formula>LEN(TRIM(AX652))=0</formula>
    </cfRule>
  </conditionalFormatting>
  <conditionalFormatting sqref="AT652:AV652">
    <cfRule type="containsBlanks" dxfId="1335" priority="1044">
      <formula>LEN(TRIM(AT652))=0</formula>
    </cfRule>
  </conditionalFormatting>
  <conditionalFormatting sqref="BC654 M654:O654">
    <cfRule type="containsBlanks" dxfId="1334" priority="1042">
      <formula>LEN(TRIM(M654))=0</formula>
    </cfRule>
  </conditionalFormatting>
  <conditionalFormatting sqref="BA654">
    <cfRule type="containsBlanks" dxfId="1333" priority="1041">
      <formula>LEN(TRIM(BA654))=0</formula>
    </cfRule>
  </conditionalFormatting>
  <conditionalFormatting sqref="C654">
    <cfRule type="containsBlanks" dxfId="1332" priority="1040">
      <formula>LEN(TRIM(C654))=0</formula>
    </cfRule>
  </conditionalFormatting>
  <conditionalFormatting sqref="A654">
    <cfRule type="containsBlanks" dxfId="1331" priority="1039">
      <formula>LEN(TRIM(A654))=0</formula>
    </cfRule>
  </conditionalFormatting>
  <conditionalFormatting sqref="BB654 D654:L654 P654:AC654 AE654:AK654">
    <cfRule type="containsBlanks" dxfId="1330" priority="1038">
      <formula>LEN(TRIM(D654))=0</formula>
    </cfRule>
  </conditionalFormatting>
  <conditionalFormatting sqref="AD654">
    <cfRule type="containsBlanks" dxfId="1329" priority="1037">
      <formula>LEN(TRIM(AD654))=0</formula>
    </cfRule>
  </conditionalFormatting>
  <conditionalFormatting sqref="AW654">
    <cfRule type="containsBlanks" dxfId="1328" priority="1036">
      <formula>LEN(TRIM(AW654))=0</formula>
    </cfRule>
  </conditionalFormatting>
  <conditionalFormatting sqref="AX654:AZ654">
    <cfRule type="containsBlanks" dxfId="1327" priority="1035">
      <formula>LEN(TRIM(AX654))=0</formula>
    </cfRule>
  </conditionalFormatting>
  <conditionalFormatting sqref="AU654:AV654">
    <cfRule type="containsBlanks" dxfId="1326" priority="1034">
      <formula>LEN(TRIM(AU654))=0</formula>
    </cfRule>
  </conditionalFormatting>
  <conditionalFormatting sqref="BC655 M655:O655">
    <cfRule type="containsBlanks" dxfId="1325" priority="1033">
      <formula>LEN(TRIM(M655))=0</formula>
    </cfRule>
  </conditionalFormatting>
  <conditionalFormatting sqref="BA655">
    <cfRule type="containsBlanks" dxfId="1324" priority="1032">
      <formula>LEN(TRIM(BA655))=0</formula>
    </cfRule>
  </conditionalFormatting>
  <conditionalFormatting sqref="C655">
    <cfRule type="containsBlanks" dxfId="1323" priority="1031">
      <formula>LEN(TRIM(C655))=0</formula>
    </cfRule>
  </conditionalFormatting>
  <conditionalFormatting sqref="A655">
    <cfRule type="containsBlanks" dxfId="1322" priority="1030">
      <formula>LEN(TRIM(A655))=0</formula>
    </cfRule>
  </conditionalFormatting>
  <conditionalFormatting sqref="BB655 D655:L655 P655:AC655 AE655:AS655">
    <cfRule type="containsBlanks" dxfId="1321" priority="1029">
      <formula>LEN(TRIM(D655))=0</formula>
    </cfRule>
  </conditionalFormatting>
  <conditionalFormatting sqref="AD655">
    <cfRule type="containsBlanks" dxfId="1320" priority="1028">
      <formula>LEN(TRIM(AD655))=0</formula>
    </cfRule>
  </conditionalFormatting>
  <conditionalFormatting sqref="AW655">
    <cfRule type="containsBlanks" dxfId="1319" priority="1027">
      <formula>LEN(TRIM(AW655))=0</formula>
    </cfRule>
  </conditionalFormatting>
  <conditionalFormatting sqref="AX655:AZ655">
    <cfRule type="containsBlanks" dxfId="1318" priority="1026">
      <formula>LEN(TRIM(AX655))=0</formula>
    </cfRule>
  </conditionalFormatting>
  <conditionalFormatting sqref="AT655:AV655">
    <cfRule type="containsBlanks" dxfId="1317" priority="1025">
      <formula>LEN(TRIM(AT655))=0</formula>
    </cfRule>
  </conditionalFormatting>
  <conditionalFormatting sqref="B655">
    <cfRule type="containsBlanks" dxfId="1316" priority="1024">
      <formula>LEN(TRIM(B655))=0</formula>
    </cfRule>
  </conditionalFormatting>
  <conditionalFormatting sqref="BC656 M656:O656">
    <cfRule type="containsBlanks" dxfId="1315" priority="1023">
      <formula>LEN(TRIM(M656))=0</formula>
    </cfRule>
  </conditionalFormatting>
  <conditionalFormatting sqref="BA656">
    <cfRule type="containsBlanks" dxfId="1314" priority="1022">
      <formula>LEN(TRIM(BA656))=0</formula>
    </cfRule>
  </conditionalFormatting>
  <conditionalFormatting sqref="C656">
    <cfRule type="containsBlanks" dxfId="1313" priority="1021">
      <formula>LEN(TRIM(C656))=0</formula>
    </cfRule>
  </conditionalFormatting>
  <conditionalFormatting sqref="A656">
    <cfRule type="containsBlanks" dxfId="1312" priority="1020">
      <formula>LEN(TRIM(A656))=0</formula>
    </cfRule>
  </conditionalFormatting>
  <conditionalFormatting sqref="BB656 D656:L656 P656:AC656 AE656:AS656">
    <cfRule type="containsBlanks" dxfId="1311" priority="1019">
      <formula>LEN(TRIM(D656))=0</formula>
    </cfRule>
  </conditionalFormatting>
  <conditionalFormatting sqref="AD656">
    <cfRule type="containsBlanks" dxfId="1310" priority="1018">
      <formula>LEN(TRIM(AD656))=0</formula>
    </cfRule>
  </conditionalFormatting>
  <conditionalFormatting sqref="AW656">
    <cfRule type="containsBlanks" dxfId="1309" priority="1017">
      <formula>LEN(TRIM(AW656))=0</formula>
    </cfRule>
  </conditionalFormatting>
  <conditionalFormatting sqref="AX656:AZ656">
    <cfRule type="containsBlanks" dxfId="1308" priority="1016">
      <formula>LEN(TRIM(AX656))=0</formula>
    </cfRule>
  </conditionalFormatting>
  <conditionalFormatting sqref="AT656:AV656">
    <cfRule type="containsBlanks" dxfId="1307" priority="1015">
      <formula>LEN(TRIM(AT656))=0</formula>
    </cfRule>
  </conditionalFormatting>
  <conditionalFormatting sqref="B656">
    <cfRule type="containsBlanks" dxfId="1306" priority="1014">
      <formula>LEN(TRIM(B656))=0</formula>
    </cfRule>
  </conditionalFormatting>
  <conditionalFormatting sqref="B657 D657">
    <cfRule type="containsBlanks" dxfId="1305" priority="1013">
      <formula>LEN(TRIM(B657))=0</formula>
    </cfRule>
  </conditionalFormatting>
  <conditionalFormatting sqref="BC657 M657:O657">
    <cfRule type="containsBlanks" dxfId="1304" priority="1012">
      <formula>LEN(TRIM(M657))=0</formula>
    </cfRule>
  </conditionalFormatting>
  <conditionalFormatting sqref="BA657 BA640">
    <cfRule type="containsBlanks" dxfId="1303" priority="1011">
      <formula>LEN(TRIM(BA640))=0</formula>
    </cfRule>
  </conditionalFormatting>
  <conditionalFormatting sqref="C657">
    <cfRule type="containsBlanks" dxfId="1302" priority="1010">
      <formula>LEN(TRIM(C657))=0</formula>
    </cfRule>
  </conditionalFormatting>
  <conditionalFormatting sqref="A657">
    <cfRule type="containsBlanks" dxfId="1301" priority="1009">
      <formula>LEN(TRIM(A657))=0</formula>
    </cfRule>
  </conditionalFormatting>
  <conditionalFormatting sqref="BB657 E657 P657:V657 AE657:AK657 H657:L657 Y657:AC657">
    <cfRule type="containsBlanks" dxfId="1300" priority="1008">
      <formula>LEN(TRIM(E657))=0</formula>
    </cfRule>
  </conditionalFormatting>
  <conditionalFormatting sqref="AD657">
    <cfRule type="containsBlanks" dxfId="1299" priority="1007">
      <formula>LEN(TRIM(AD657))=0</formula>
    </cfRule>
  </conditionalFormatting>
  <conditionalFormatting sqref="AW657">
    <cfRule type="containsBlanks" dxfId="1298" priority="1006">
      <formula>LEN(TRIM(AW657))=0</formula>
    </cfRule>
  </conditionalFormatting>
  <conditionalFormatting sqref="AX657:AZ657">
    <cfRule type="containsBlanks" dxfId="1297" priority="1005">
      <formula>LEN(TRIM(AX657))=0</formula>
    </cfRule>
  </conditionalFormatting>
  <conditionalFormatting sqref="AT657:AV657">
    <cfRule type="containsBlanks" dxfId="1296" priority="1004">
      <formula>LEN(TRIM(AT657))=0</formula>
    </cfRule>
  </conditionalFormatting>
  <conditionalFormatting sqref="F657">
    <cfRule type="containsBlanks" dxfId="1295" priority="1003">
      <formula>LEN(TRIM(F657))=0</formula>
    </cfRule>
  </conditionalFormatting>
  <conditionalFormatting sqref="G657">
    <cfRule type="containsBlanks" dxfId="1294" priority="1002">
      <formula>LEN(TRIM(G657))=0</formula>
    </cfRule>
  </conditionalFormatting>
  <conditionalFormatting sqref="W657">
    <cfRule type="containsBlanks" dxfId="1293" priority="1001">
      <formula>LEN(TRIM(W657))=0</formula>
    </cfRule>
  </conditionalFormatting>
  <conditionalFormatting sqref="X657">
    <cfRule type="containsBlanks" dxfId="1292" priority="1000">
      <formula>LEN(TRIM(X657))=0</formula>
    </cfRule>
  </conditionalFormatting>
  <conditionalFormatting sqref="D658">
    <cfRule type="containsBlanks" dxfId="1291" priority="999">
      <formula>LEN(TRIM(D658))=0</formula>
    </cfRule>
  </conditionalFormatting>
  <conditionalFormatting sqref="BC658 M658:O658">
    <cfRule type="containsBlanks" dxfId="1290" priority="998">
      <formula>LEN(TRIM(M658))=0</formula>
    </cfRule>
  </conditionalFormatting>
  <conditionalFormatting sqref="BA658">
    <cfRule type="containsBlanks" dxfId="1289" priority="997">
      <formula>LEN(TRIM(BA658))=0</formula>
    </cfRule>
  </conditionalFormatting>
  <conditionalFormatting sqref="C658">
    <cfRule type="containsBlanks" dxfId="1288" priority="996">
      <formula>LEN(TRIM(C658))=0</formula>
    </cfRule>
  </conditionalFormatting>
  <conditionalFormatting sqref="A658">
    <cfRule type="containsBlanks" dxfId="1287" priority="995">
      <formula>LEN(TRIM(A658))=0</formula>
    </cfRule>
  </conditionalFormatting>
  <conditionalFormatting sqref="BB658 E658 P658:V658 AE658:AK658 H658:L658 Y658:AC658">
    <cfRule type="containsBlanks" dxfId="1286" priority="994">
      <formula>LEN(TRIM(E658))=0</formula>
    </cfRule>
  </conditionalFormatting>
  <conditionalFormatting sqref="AD658">
    <cfRule type="containsBlanks" dxfId="1285" priority="993">
      <formula>LEN(TRIM(AD658))=0</formula>
    </cfRule>
  </conditionalFormatting>
  <conditionalFormatting sqref="AW658">
    <cfRule type="containsBlanks" dxfId="1284" priority="992">
      <formula>LEN(TRIM(AW658))=0</formula>
    </cfRule>
  </conditionalFormatting>
  <conditionalFormatting sqref="AX658:AZ658">
    <cfRule type="containsBlanks" dxfId="1283" priority="991">
      <formula>LEN(TRIM(AX658))=0</formula>
    </cfRule>
  </conditionalFormatting>
  <conditionalFormatting sqref="AT658:AV658">
    <cfRule type="containsBlanks" dxfId="1282" priority="990">
      <formula>LEN(TRIM(AT658))=0</formula>
    </cfRule>
  </conditionalFormatting>
  <conditionalFormatting sqref="F658">
    <cfRule type="containsBlanks" dxfId="1281" priority="989">
      <formula>LEN(TRIM(F658))=0</formula>
    </cfRule>
  </conditionalFormatting>
  <conditionalFormatting sqref="G658">
    <cfRule type="containsBlanks" dxfId="1280" priority="988">
      <formula>LEN(TRIM(G658))=0</formula>
    </cfRule>
  </conditionalFormatting>
  <conditionalFormatting sqref="W658">
    <cfRule type="containsBlanks" dxfId="1279" priority="987">
      <formula>LEN(TRIM(W658))=0</formula>
    </cfRule>
  </conditionalFormatting>
  <conditionalFormatting sqref="X658">
    <cfRule type="containsBlanks" dxfId="1278" priority="986">
      <formula>LEN(TRIM(X658))=0</formula>
    </cfRule>
  </conditionalFormatting>
  <conditionalFormatting sqref="B658">
    <cfRule type="containsBlanks" dxfId="1277" priority="985">
      <formula>LEN(TRIM(B658))=0</formula>
    </cfRule>
  </conditionalFormatting>
  <conditionalFormatting sqref="D659">
    <cfRule type="containsBlanks" dxfId="1276" priority="984">
      <formula>LEN(TRIM(D659))=0</formula>
    </cfRule>
  </conditionalFormatting>
  <conditionalFormatting sqref="BC659 M659:O659">
    <cfRule type="containsBlanks" dxfId="1275" priority="983">
      <formula>LEN(TRIM(M659))=0</formula>
    </cfRule>
  </conditionalFormatting>
  <conditionalFormatting sqref="BA659">
    <cfRule type="containsBlanks" dxfId="1274" priority="982">
      <formula>LEN(TRIM(BA659))=0</formula>
    </cfRule>
  </conditionalFormatting>
  <conditionalFormatting sqref="C659">
    <cfRule type="containsBlanks" dxfId="1273" priority="981">
      <formula>LEN(TRIM(C659))=0</formula>
    </cfRule>
  </conditionalFormatting>
  <conditionalFormatting sqref="A659">
    <cfRule type="containsBlanks" dxfId="1272" priority="980">
      <formula>LEN(TRIM(A659))=0</formula>
    </cfRule>
  </conditionalFormatting>
  <conditionalFormatting sqref="BB659 E659 P659:V659 AE659:AK659 H659:L659 Y659:AC659">
    <cfRule type="containsBlanks" dxfId="1271" priority="979">
      <formula>LEN(TRIM(E659))=0</formula>
    </cfRule>
  </conditionalFormatting>
  <conditionalFormatting sqref="AD659">
    <cfRule type="containsBlanks" dxfId="1270" priority="978">
      <formula>LEN(TRIM(AD659))=0</formula>
    </cfRule>
  </conditionalFormatting>
  <conditionalFormatting sqref="AW659">
    <cfRule type="containsBlanks" dxfId="1269" priority="977">
      <formula>LEN(TRIM(AW659))=0</formula>
    </cfRule>
  </conditionalFormatting>
  <conditionalFormatting sqref="AX659:AZ659">
    <cfRule type="containsBlanks" dxfId="1268" priority="976">
      <formula>LEN(TRIM(AX659))=0</formula>
    </cfRule>
  </conditionalFormatting>
  <conditionalFormatting sqref="AT659:AV659">
    <cfRule type="containsBlanks" dxfId="1267" priority="975">
      <formula>LEN(TRIM(AT659))=0</formula>
    </cfRule>
  </conditionalFormatting>
  <conditionalFormatting sqref="F659">
    <cfRule type="containsBlanks" dxfId="1266" priority="974">
      <formula>LEN(TRIM(F659))=0</formula>
    </cfRule>
  </conditionalFormatting>
  <conditionalFormatting sqref="G659">
    <cfRule type="containsBlanks" dxfId="1265" priority="973">
      <formula>LEN(TRIM(G659))=0</formula>
    </cfRule>
  </conditionalFormatting>
  <conditionalFormatting sqref="W659">
    <cfRule type="containsBlanks" dxfId="1264" priority="972">
      <formula>LEN(TRIM(W659))=0</formula>
    </cfRule>
  </conditionalFormatting>
  <conditionalFormatting sqref="X659">
    <cfRule type="containsBlanks" dxfId="1263" priority="971">
      <formula>LEN(TRIM(X659))=0</formula>
    </cfRule>
  </conditionalFormatting>
  <conditionalFormatting sqref="B659">
    <cfRule type="containsBlanks" dxfId="1262" priority="970">
      <formula>LEN(TRIM(B659))=0</formula>
    </cfRule>
  </conditionalFormatting>
  <conditionalFormatting sqref="BC653 M653:O653">
    <cfRule type="containsBlanks" dxfId="1261" priority="969">
      <formula>LEN(TRIM(M653))=0</formula>
    </cfRule>
  </conditionalFormatting>
  <conditionalFormatting sqref="BA653 BA586">
    <cfRule type="containsBlanks" dxfId="1260" priority="968">
      <formula>LEN(TRIM(BA586))=0</formula>
    </cfRule>
  </conditionalFormatting>
  <conditionalFormatting sqref="C653">
    <cfRule type="containsBlanks" dxfId="1259" priority="967">
      <formula>LEN(TRIM(C653))=0</formula>
    </cfRule>
  </conditionalFormatting>
  <conditionalFormatting sqref="B653">
    <cfRule type="containsBlanks" dxfId="1258" priority="966">
      <formula>LEN(TRIM(B653))=0</formula>
    </cfRule>
  </conditionalFormatting>
  <conditionalFormatting sqref="A653">
    <cfRule type="containsBlanks" dxfId="1257" priority="965">
      <formula>LEN(TRIM(A653))=0</formula>
    </cfRule>
  </conditionalFormatting>
  <conditionalFormatting sqref="BB653 D653:L653 P653:AC653 AE653:AK653">
    <cfRule type="containsBlanks" dxfId="1256" priority="964">
      <formula>LEN(TRIM(D653))=0</formula>
    </cfRule>
  </conditionalFormatting>
  <conditionalFormatting sqref="AD653">
    <cfRule type="containsBlanks" dxfId="1255" priority="963">
      <formula>LEN(TRIM(AD653))=0</formula>
    </cfRule>
  </conditionalFormatting>
  <conditionalFormatting sqref="AW653">
    <cfRule type="containsBlanks" dxfId="1254" priority="962">
      <formula>LEN(TRIM(AW653))=0</formula>
    </cfRule>
  </conditionalFormatting>
  <conditionalFormatting sqref="AX653:AZ653">
    <cfRule type="containsBlanks" dxfId="1253" priority="961">
      <formula>LEN(TRIM(AX653))=0</formula>
    </cfRule>
  </conditionalFormatting>
  <conditionalFormatting sqref="AU653:AV653">
    <cfRule type="containsBlanks" dxfId="1252" priority="960">
      <formula>LEN(TRIM(AU653))=0</formula>
    </cfRule>
  </conditionalFormatting>
  <conditionalFormatting sqref="B654">
    <cfRule type="containsBlanks" dxfId="1251" priority="959">
      <formula>LEN(TRIM(B654))=0</formula>
    </cfRule>
  </conditionalFormatting>
  <conditionalFormatting sqref="BC660 M660:O660">
    <cfRule type="containsBlanks" dxfId="1250" priority="958">
      <formula>LEN(TRIM(M660))=0</formula>
    </cfRule>
  </conditionalFormatting>
  <conditionalFormatting sqref="BA660">
    <cfRule type="containsBlanks" dxfId="1249" priority="957">
      <formula>LEN(TRIM(BA660))=0</formula>
    </cfRule>
  </conditionalFormatting>
  <conditionalFormatting sqref="C660">
    <cfRule type="containsBlanks" dxfId="1248" priority="956">
      <formula>LEN(TRIM(C660))=0</formula>
    </cfRule>
  </conditionalFormatting>
  <conditionalFormatting sqref="A660">
    <cfRule type="containsBlanks" dxfId="1247" priority="955">
      <formula>LEN(TRIM(A660))=0</formula>
    </cfRule>
  </conditionalFormatting>
  <conditionalFormatting sqref="BB660 E660 P660:V660 AE660:AK660 H660:L660 Y660:AC660">
    <cfRule type="containsBlanks" dxfId="1246" priority="954">
      <formula>LEN(TRIM(E660))=0</formula>
    </cfRule>
  </conditionalFormatting>
  <conditionalFormatting sqref="AD660">
    <cfRule type="containsBlanks" dxfId="1245" priority="953">
      <formula>LEN(TRIM(AD660))=0</formula>
    </cfRule>
  </conditionalFormatting>
  <conditionalFormatting sqref="AW660">
    <cfRule type="containsBlanks" dxfId="1244" priority="952">
      <formula>LEN(TRIM(AW660))=0</formula>
    </cfRule>
  </conditionalFormatting>
  <conditionalFormatting sqref="AX660:AZ660">
    <cfRule type="containsBlanks" dxfId="1243" priority="951">
      <formula>LEN(TRIM(AX660))=0</formula>
    </cfRule>
  </conditionalFormatting>
  <conditionalFormatting sqref="AT660:AV660">
    <cfRule type="containsBlanks" dxfId="1242" priority="950">
      <formula>LEN(TRIM(AT660))=0</formula>
    </cfRule>
  </conditionalFormatting>
  <conditionalFormatting sqref="B660">
    <cfRule type="containsBlanks" dxfId="1241" priority="949">
      <formula>LEN(TRIM(B660))=0</formula>
    </cfRule>
  </conditionalFormatting>
  <conditionalFormatting sqref="D660">
    <cfRule type="containsBlanks" dxfId="1240" priority="948">
      <formula>LEN(TRIM(D660))=0</formula>
    </cfRule>
  </conditionalFormatting>
  <conditionalFormatting sqref="F660">
    <cfRule type="containsBlanks" dxfId="1239" priority="947">
      <formula>LEN(TRIM(F660))=0</formula>
    </cfRule>
  </conditionalFormatting>
  <conditionalFormatting sqref="G660">
    <cfRule type="containsBlanks" dxfId="1238" priority="946">
      <formula>LEN(TRIM(G660))=0</formula>
    </cfRule>
  </conditionalFormatting>
  <conditionalFormatting sqref="W660">
    <cfRule type="containsBlanks" dxfId="1237" priority="945">
      <formula>LEN(TRIM(W660))=0</formula>
    </cfRule>
  </conditionalFormatting>
  <conditionalFormatting sqref="X660">
    <cfRule type="containsBlanks" dxfId="1236" priority="944">
      <formula>LEN(TRIM(X660))=0</formula>
    </cfRule>
  </conditionalFormatting>
  <conditionalFormatting sqref="BC663 M663:O663">
    <cfRule type="containsBlanks" dxfId="1235" priority="943">
      <formula>LEN(TRIM(M663))=0</formula>
    </cfRule>
  </conditionalFormatting>
  <conditionalFormatting sqref="BA663">
    <cfRule type="containsBlanks" dxfId="1234" priority="942">
      <formula>LEN(TRIM(BA663))=0</formula>
    </cfRule>
  </conditionalFormatting>
  <conditionalFormatting sqref="C663">
    <cfRule type="containsBlanks" dxfId="1233" priority="941">
      <formula>LEN(TRIM(C663))=0</formula>
    </cfRule>
  </conditionalFormatting>
  <conditionalFormatting sqref="A663">
    <cfRule type="containsBlanks" dxfId="1232" priority="940">
      <formula>LEN(TRIM(A663))=0</formula>
    </cfRule>
  </conditionalFormatting>
  <conditionalFormatting sqref="BB663 E663 P663:V663 AE663:AK663 H663:L663 Y663:AC663">
    <cfRule type="containsBlanks" dxfId="1231" priority="939">
      <formula>LEN(TRIM(E663))=0</formula>
    </cfRule>
  </conditionalFormatting>
  <conditionalFormatting sqref="AD663">
    <cfRule type="containsBlanks" dxfId="1230" priority="938">
      <formula>LEN(TRIM(AD663))=0</formula>
    </cfRule>
  </conditionalFormatting>
  <conditionalFormatting sqref="AW663">
    <cfRule type="containsBlanks" dxfId="1229" priority="937">
      <formula>LEN(TRIM(AW663))=0</formula>
    </cfRule>
  </conditionalFormatting>
  <conditionalFormatting sqref="AX663:AZ663">
    <cfRule type="containsBlanks" dxfId="1228" priority="936">
      <formula>LEN(TRIM(AX663))=0</formula>
    </cfRule>
  </conditionalFormatting>
  <conditionalFormatting sqref="AT663:AV663">
    <cfRule type="containsBlanks" dxfId="1227" priority="935">
      <formula>LEN(TRIM(AT663))=0</formula>
    </cfRule>
  </conditionalFormatting>
  <conditionalFormatting sqref="D663">
    <cfRule type="containsBlanks" dxfId="1226" priority="934">
      <formula>LEN(TRIM(D663))=0</formula>
    </cfRule>
  </conditionalFormatting>
  <conditionalFormatting sqref="BC661 M661:O661">
    <cfRule type="containsBlanks" dxfId="1225" priority="933">
      <formula>LEN(TRIM(M661))=0</formula>
    </cfRule>
  </conditionalFormatting>
  <conditionalFormatting sqref="BA661">
    <cfRule type="containsBlanks" dxfId="1224" priority="932">
      <formula>LEN(TRIM(BA661))=0</formula>
    </cfRule>
  </conditionalFormatting>
  <conditionalFormatting sqref="C661">
    <cfRule type="containsBlanks" dxfId="1223" priority="931">
      <formula>LEN(TRIM(C661))=0</formula>
    </cfRule>
  </conditionalFormatting>
  <conditionalFormatting sqref="A661">
    <cfRule type="containsBlanks" dxfId="1222" priority="930">
      <formula>LEN(TRIM(A661))=0</formula>
    </cfRule>
  </conditionalFormatting>
  <conditionalFormatting sqref="BB661 E661 P661:V661 AE661:AK661 H661:L661 Y661:AC661">
    <cfRule type="containsBlanks" dxfId="1221" priority="929">
      <formula>LEN(TRIM(E661))=0</formula>
    </cfRule>
  </conditionalFormatting>
  <conditionalFormatting sqref="AD661">
    <cfRule type="containsBlanks" dxfId="1220" priority="928">
      <formula>LEN(TRIM(AD661))=0</formula>
    </cfRule>
  </conditionalFormatting>
  <conditionalFormatting sqref="AW661">
    <cfRule type="containsBlanks" dxfId="1219" priority="927">
      <formula>LEN(TRIM(AW661))=0</formula>
    </cfRule>
  </conditionalFormatting>
  <conditionalFormatting sqref="AX661:AZ661">
    <cfRule type="containsBlanks" dxfId="1218" priority="926">
      <formula>LEN(TRIM(AX661))=0</formula>
    </cfRule>
  </conditionalFormatting>
  <conditionalFormatting sqref="AT661:AV661">
    <cfRule type="containsBlanks" dxfId="1217" priority="925">
      <formula>LEN(TRIM(AT661))=0</formula>
    </cfRule>
  </conditionalFormatting>
  <conditionalFormatting sqref="D661">
    <cfRule type="containsBlanks" dxfId="1216" priority="924">
      <formula>LEN(TRIM(D661))=0</formula>
    </cfRule>
  </conditionalFormatting>
  <conditionalFormatting sqref="F661">
    <cfRule type="containsBlanks" dxfId="1215" priority="923">
      <formula>LEN(TRIM(F661))=0</formula>
    </cfRule>
  </conditionalFormatting>
  <conditionalFormatting sqref="G661">
    <cfRule type="containsBlanks" dxfId="1214" priority="922">
      <formula>LEN(TRIM(G661))=0</formula>
    </cfRule>
  </conditionalFormatting>
  <conditionalFormatting sqref="W661">
    <cfRule type="containsBlanks" dxfId="1213" priority="921">
      <formula>LEN(TRIM(W661))=0</formula>
    </cfRule>
  </conditionalFormatting>
  <conditionalFormatting sqref="X661">
    <cfRule type="containsBlanks" dxfId="1212" priority="920">
      <formula>LEN(TRIM(X661))=0</formula>
    </cfRule>
  </conditionalFormatting>
  <conditionalFormatting sqref="B661">
    <cfRule type="containsBlanks" dxfId="1211" priority="917">
      <formula>LEN(TRIM(B661))=0</formula>
    </cfRule>
  </conditionalFormatting>
  <conditionalFormatting sqref="B663">
    <cfRule type="containsBlanks" dxfId="1210" priority="916">
      <formula>LEN(TRIM(B663))=0</formula>
    </cfRule>
  </conditionalFormatting>
  <conditionalFormatting sqref="F663">
    <cfRule type="containsBlanks" dxfId="1209" priority="915">
      <formula>LEN(TRIM(F663))=0</formula>
    </cfRule>
  </conditionalFormatting>
  <conditionalFormatting sqref="G663">
    <cfRule type="containsBlanks" dxfId="1208" priority="914">
      <formula>LEN(TRIM(G663))=0</formula>
    </cfRule>
  </conditionalFormatting>
  <conditionalFormatting sqref="W663">
    <cfRule type="containsBlanks" dxfId="1207" priority="913">
      <formula>LEN(TRIM(W663))=0</formula>
    </cfRule>
  </conditionalFormatting>
  <conditionalFormatting sqref="X663">
    <cfRule type="containsBlanks" dxfId="1206" priority="912">
      <formula>LEN(TRIM(X663))=0</formula>
    </cfRule>
  </conditionalFormatting>
  <conditionalFormatting sqref="BC662 M662:O662">
    <cfRule type="containsBlanks" dxfId="1205" priority="909">
      <formula>LEN(TRIM(M662))=0</formula>
    </cfRule>
  </conditionalFormatting>
  <conditionalFormatting sqref="BA662 BA693">
    <cfRule type="containsBlanks" dxfId="1204" priority="908">
      <formula>LEN(TRIM(BA662))=0</formula>
    </cfRule>
  </conditionalFormatting>
  <conditionalFormatting sqref="C662">
    <cfRule type="containsBlanks" dxfId="1203" priority="907">
      <formula>LEN(TRIM(C662))=0</formula>
    </cfRule>
  </conditionalFormatting>
  <conditionalFormatting sqref="A662">
    <cfRule type="containsBlanks" dxfId="1202" priority="906">
      <formula>LEN(TRIM(A662))=0</formula>
    </cfRule>
  </conditionalFormatting>
  <conditionalFormatting sqref="BB662 E662 P662:V662 AE662:AK662 H662:L662 Y662:AC662 BB693">
    <cfRule type="containsBlanks" dxfId="1201" priority="905">
      <formula>LEN(TRIM(E662))=0</formula>
    </cfRule>
  </conditionalFormatting>
  <conditionalFormatting sqref="AD662">
    <cfRule type="containsBlanks" dxfId="1200" priority="904">
      <formula>LEN(TRIM(AD662))=0</formula>
    </cfRule>
  </conditionalFormatting>
  <conditionalFormatting sqref="AW662">
    <cfRule type="containsBlanks" dxfId="1199" priority="903">
      <formula>LEN(TRIM(AW662))=0</formula>
    </cfRule>
  </conditionalFormatting>
  <conditionalFormatting sqref="AX662:AZ662">
    <cfRule type="containsBlanks" dxfId="1198" priority="902">
      <formula>LEN(TRIM(AX662))=0</formula>
    </cfRule>
  </conditionalFormatting>
  <conditionalFormatting sqref="AT662:AV662">
    <cfRule type="containsBlanks" dxfId="1197" priority="901">
      <formula>LEN(TRIM(AT662))=0</formula>
    </cfRule>
  </conditionalFormatting>
  <conditionalFormatting sqref="D662">
    <cfRule type="containsBlanks" dxfId="1196" priority="900">
      <formula>LEN(TRIM(D662))=0</formula>
    </cfRule>
  </conditionalFormatting>
  <conditionalFormatting sqref="B662">
    <cfRule type="containsBlanks" dxfId="1195" priority="899">
      <formula>LEN(TRIM(B662))=0</formula>
    </cfRule>
  </conditionalFormatting>
  <conditionalFormatting sqref="F662">
    <cfRule type="containsBlanks" dxfId="1194" priority="898">
      <formula>LEN(TRIM(F662))=0</formula>
    </cfRule>
  </conditionalFormatting>
  <conditionalFormatting sqref="G662">
    <cfRule type="containsBlanks" dxfId="1193" priority="897">
      <formula>LEN(TRIM(G662))=0</formula>
    </cfRule>
  </conditionalFormatting>
  <conditionalFormatting sqref="W662">
    <cfRule type="containsBlanks" dxfId="1192" priority="896">
      <formula>LEN(TRIM(W662))=0</formula>
    </cfRule>
  </conditionalFormatting>
  <conditionalFormatting sqref="X662">
    <cfRule type="containsBlanks" dxfId="1191" priority="895">
      <formula>LEN(TRIM(X662))=0</formula>
    </cfRule>
  </conditionalFormatting>
  <conditionalFormatting sqref="AN328:AS328 AN351:AS351 AN502:AS502 AN515:AS515 AN558:AS558 AN652:AS652">
    <cfRule type="containsBlanks" dxfId="1190" priority="894">
      <formula>LEN(TRIM(AN328))=0</formula>
    </cfRule>
  </conditionalFormatting>
  <conditionalFormatting sqref="AL328:AM328 AL351:AM351 AL502:AM502 AL515:AM515 AL558:AM558 AL652:AM652">
    <cfRule type="containsBlanks" dxfId="1189" priority="893">
      <formula>LEN(TRIM(AL328))=0</formula>
    </cfRule>
  </conditionalFormatting>
  <conditionalFormatting sqref="AT347:AT348 AT500:AT501 AT542:AT543 AT585:AT586 AT653:AT654">
    <cfRule type="containsBlanks" dxfId="1188" priority="892">
      <formula>LEN(TRIM(AT347))=0</formula>
    </cfRule>
  </conditionalFormatting>
  <conditionalFormatting sqref="AN347:AS348 AN500:AS501 AN542:AS543 AN585:AS586 AN653:AS654">
    <cfRule type="containsBlanks" dxfId="1187" priority="890">
      <formula>LEN(TRIM(AN347))=0</formula>
    </cfRule>
  </conditionalFormatting>
  <conditionalFormatting sqref="AL347:AM348 AL500:AM501 AL542:AM543 AL585:AM586 AL653:AM654">
    <cfRule type="containsBlanks" dxfId="1186" priority="889">
      <formula>LEN(TRIM(AL347))=0</formula>
    </cfRule>
  </conditionalFormatting>
  <conditionalFormatting sqref="BA585">
    <cfRule type="containsBlanks" dxfId="1185" priority="888">
      <formula>LEN(TRIM(BA585))=0</formula>
    </cfRule>
  </conditionalFormatting>
  <conditionalFormatting sqref="AN432:AS435 AN496:AS497 AN516:AS517 AN528:AS535 AN539:AS539 AN636:AS640 AN657:AS659 AN662:AS663">
    <cfRule type="containsBlanks" dxfId="1184" priority="887">
      <formula>LEN(TRIM(AN432))=0</formula>
    </cfRule>
  </conditionalFormatting>
  <conditionalFormatting sqref="AL432:AL435 AL496:AL497 AL516:AL517 AL528:AL535 AL539 AL636:AL640 AL657:AL659 AL662:AL663">
    <cfRule type="containsBlanks" dxfId="1183" priority="886">
      <formula>LEN(TRIM(AL432))=0</formula>
    </cfRule>
  </conditionalFormatting>
  <conditionalFormatting sqref="AM432:AM435 AM496:AM497 AM516:AM517 AM528:AM535 AM539 AM636:AM640 AM657:AM659 AM662:AM663">
    <cfRule type="containsBlanks" dxfId="1182" priority="885">
      <formula>LEN(TRIM(AM432))=0</formula>
    </cfRule>
  </conditionalFormatting>
  <conditionalFormatting sqref="BA636:BA639">
    <cfRule type="containsBlanks" dxfId="1181" priority="884">
      <formula>LEN(TRIM(BA636))=0</formula>
    </cfRule>
  </conditionalFormatting>
  <conditionalFormatting sqref="AN330:AS331 AN345:AS346 AN498:AS499 AN540:AS541 AN583:AS584 AN660:AS661">
    <cfRule type="containsBlanks" dxfId="1180" priority="883">
      <formula>LEN(TRIM(AN330))=0</formula>
    </cfRule>
  </conditionalFormatting>
  <conditionalFormatting sqref="AL330:AL331 AL345:AL346 AL498:AL499 AL540:AL541 AL583:AL584 AL660:AL661">
    <cfRule type="containsBlanks" dxfId="1179" priority="882">
      <formula>LEN(TRIM(AL330))=0</formula>
    </cfRule>
  </conditionalFormatting>
  <conditionalFormatting sqref="AM330:AM331 AM345:AM346 AM498:AM499 AM540:AM541 AM583:AM584 AM660:AM661">
    <cfRule type="containsBlanks" dxfId="1178" priority="881">
      <formula>LEN(TRIM(AM330))=0</formula>
    </cfRule>
  </conditionalFormatting>
  <conditionalFormatting sqref="BA583:BA584">
    <cfRule type="containsBlanks" dxfId="1177" priority="880">
      <formula>LEN(TRIM(BA583))=0</formula>
    </cfRule>
  </conditionalFormatting>
  <conditionalFormatting sqref="BA558">
    <cfRule type="containsBlanks" dxfId="1176" priority="879">
      <formula>LEN(TRIM(BA558))=0</formula>
    </cfRule>
  </conditionalFormatting>
  <conditionalFormatting sqref="BC664">
    <cfRule type="containsBlanks" dxfId="1175" priority="877">
      <formula>LEN(TRIM(BC664))=0</formula>
    </cfRule>
  </conditionalFormatting>
  <conditionalFormatting sqref="BA664">
    <cfRule type="containsBlanks" dxfId="1174" priority="876">
      <formula>LEN(TRIM(BA664))=0</formula>
    </cfRule>
  </conditionalFormatting>
  <conditionalFormatting sqref="C664">
    <cfRule type="containsBlanks" dxfId="1173" priority="875">
      <formula>LEN(TRIM(C664))=0</formula>
    </cfRule>
  </conditionalFormatting>
  <conditionalFormatting sqref="A664">
    <cfRule type="containsBlanks" dxfId="1172" priority="874">
      <formula>LEN(TRIM(A664))=0</formula>
    </cfRule>
  </conditionalFormatting>
  <conditionalFormatting sqref="BB664 E664 AE664:AK664 Y664:AC664 H664:V664">
    <cfRule type="containsBlanks" dxfId="1171" priority="873">
      <formula>LEN(TRIM(E664))=0</formula>
    </cfRule>
  </conditionalFormatting>
  <conditionalFormatting sqref="AD664">
    <cfRule type="containsBlanks" dxfId="1170" priority="872">
      <formula>LEN(TRIM(AD664))=0</formula>
    </cfRule>
  </conditionalFormatting>
  <conditionalFormatting sqref="AW664">
    <cfRule type="containsBlanks" dxfId="1169" priority="871">
      <formula>LEN(TRIM(AW664))=0</formula>
    </cfRule>
  </conditionalFormatting>
  <conditionalFormatting sqref="AX664:AZ664">
    <cfRule type="containsBlanks" dxfId="1168" priority="870">
      <formula>LEN(TRIM(AX664))=0</formula>
    </cfRule>
  </conditionalFormatting>
  <conditionalFormatting sqref="AT664:AV664">
    <cfRule type="containsBlanks" dxfId="1167" priority="869">
      <formula>LEN(TRIM(AT664))=0</formula>
    </cfRule>
  </conditionalFormatting>
  <conditionalFormatting sqref="D664">
    <cfRule type="containsBlanks" dxfId="1166" priority="868">
      <formula>LEN(TRIM(D664))=0</formula>
    </cfRule>
  </conditionalFormatting>
  <conditionalFormatting sqref="B664">
    <cfRule type="containsBlanks" dxfId="1165" priority="867">
      <formula>LEN(TRIM(B664))=0</formula>
    </cfRule>
  </conditionalFormatting>
  <conditionalFormatting sqref="F664">
    <cfRule type="containsBlanks" dxfId="1164" priority="866">
      <formula>LEN(TRIM(F664))=0</formula>
    </cfRule>
  </conditionalFormatting>
  <conditionalFormatting sqref="G664">
    <cfRule type="containsBlanks" dxfId="1163" priority="865">
      <formula>LEN(TRIM(G664))=0</formula>
    </cfRule>
  </conditionalFormatting>
  <conditionalFormatting sqref="W664">
    <cfRule type="containsBlanks" dxfId="1162" priority="864">
      <formula>LEN(TRIM(W664))=0</formula>
    </cfRule>
  </conditionalFormatting>
  <conditionalFormatting sqref="X664">
    <cfRule type="containsBlanks" dxfId="1161" priority="863">
      <formula>LEN(TRIM(X664))=0</formula>
    </cfRule>
  </conditionalFormatting>
  <conditionalFormatting sqref="AL664">
    <cfRule type="containsBlanks" dxfId="1160" priority="861">
      <formula>LEN(TRIM(AL664))=0</formula>
    </cfRule>
  </conditionalFormatting>
  <conditionalFormatting sqref="AM664">
    <cfRule type="containsBlanks" dxfId="1159" priority="860">
      <formula>LEN(TRIM(AM664))=0</formula>
    </cfRule>
  </conditionalFormatting>
  <conditionalFormatting sqref="AN664:AS664">
    <cfRule type="containsBlanks" dxfId="1158" priority="859">
      <formula>LEN(TRIM(AN664))=0</formula>
    </cfRule>
  </conditionalFormatting>
  <conditionalFormatting sqref="BC665">
    <cfRule type="containsBlanks" dxfId="1157" priority="858">
      <formula>LEN(TRIM(BC665))=0</formula>
    </cfRule>
  </conditionalFormatting>
  <conditionalFormatting sqref="BA665">
    <cfRule type="containsBlanks" dxfId="1156" priority="857">
      <formula>LEN(TRIM(BA665))=0</formula>
    </cfRule>
  </conditionalFormatting>
  <conditionalFormatting sqref="C665">
    <cfRule type="containsBlanks" dxfId="1155" priority="856">
      <formula>LEN(TRIM(C665))=0</formula>
    </cfRule>
  </conditionalFormatting>
  <conditionalFormatting sqref="A665">
    <cfRule type="containsBlanks" dxfId="1154" priority="855">
      <formula>LEN(TRIM(A665))=0</formula>
    </cfRule>
  </conditionalFormatting>
  <conditionalFormatting sqref="BB665 E665 AE665:AK665 Y665:AC665 H665:V665">
    <cfRule type="containsBlanks" dxfId="1153" priority="854">
      <formula>LEN(TRIM(E665))=0</formula>
    </cfRule>
  </conditionalFormatting>
  <conditionalFormatting sqref="AD665">
    <cfRule type="containsBlanks" dxfId="1152" priority="853">
      <formula>LEN(TRIM(AD665))=0</formula>
    </cfRule>
  </conditionalFormatting>
  <conditionalFormatting sqref="AW665">
    <cfRule type="containsBlanks" dxfId="1151" priority="852">
      <formula>LEN(TRIM(AW665))=0</formula>
    </cfRule>
  </conditionalFormatting>
  <conditionalFormatting sqref="AX665:AZ665">
    <cfRule type="containsBlanks" dxfId="1150" priority="851">
      <formula>LEN(TRIM(AX665))=0</formula>
    </cfRule>
  </conditionalFormatting>
  <conditionalFormatting sqref="AT665:AV665">
    <cfRule type="containsBlanks" dxfId="1149" priority="850">
      <formula>LEN(TRIM(AT665))=0</formula>
    </cfRule>
  </conditionalFormatting>
  <conditionalFormatting sqref="D665">
    <cfRule type="containsBlanks" dxfId="1148" priority="849">
      <formula>LEN(TRIM(D665))=0</formula>
    </cfRule>
  </conditionalFormatting>
  <conditionalFormatting sqref="B665">
    <cfRule type="containsBlanks" dxfId="1147" priority="848">
      <formula>LEN(TRIM(B665))=0</formula>
    </cfRule>
  </conditionalFormatting>
  <conditionalFormatting sqref="AN665:AS665">
    <cfRule type="containsBlanks" dxfId="1146" priority="841">
      <formula>LEN(TRIM(AN665))=0</formula>
    </cfRule>
  </conditionalFormatting>
  <conditionalFormatting sqref="F665">
    <cfRule type="containsBlanks" dxfId="1145" priority="840">
      <formula>LEN(TRIM(F665))=0</formula>
    </cfRule>
  </conditionalFormatting>
  <conditionalFormatting sqref="G665">
    <cfRule type="containsBlanks" dxfId="1144" priority="839">
      <formula>LEN(TRIM(G665))=0</formula>
    </cfRule>
  </conditionalFormatting>
  <conditionalFormatting sqref="W665">
    <cfRule type="containsBlanks" dxfId="1143" priority="838">
      <formula>LEN(TRIM(W665))=0</formula>
    </cfRule>
  </conditionalFormatting>
  <conditionalFormatting sqref="X665">
    <cfRule type="containsBlanks" dxfId="1142" priority="837">
      <formula>LEN(TRIM(X665))=0</formula>
    </cfRule>
  </conditionalFormatting>
  <conditionalFormatting sqref="AL665">
    <cfRule type="containsBlanks" dxfId="1141" priority="836">
      <formula>LEN(TRIM(AL665))=0</formula>
    </cfRule>
  </conditionalFormatting>
  <conditionalFormatting sqref="AM665">
    <cfRule type="containsBlanks" dxfId="1140" priority="835">
      <formula>LEN(TRIM(AM665))=0</formula>
    </cfRule>
  </conditionalFormatting>
  <conditionalFormatting sqref="BC666">
    <cfRule type="containsBlanks" dxfId="1139" priority="834">
      <formula>LEN(TRIM(BC666))=0</formula>
    </cfRule>
  </conditionalFormatting>
  <conditionalFormatting sqref="BA666">
    <cfRule type="containsBlanks" dxfId="1138" priority="833">
      <formula>LEN(TRIM(BA666))=0</formula>
    </cfRule>
  </conditionalFormatting>
  <conditionalFormatting sqref="C666">
    <cfRule type="containsBlanks" dxfId="1137" priority="832">
      <formula>LEN(TRIM(C666))=0</formula>
    </cfRule>
  </conditionalFormatting>
  <conditionalFormatting sqref="A666">
    <cfRule type="containsBlanks" dxfId="1136" priority="831">
      <formula>LEN(TRIM(A666))=0</formula>
    </cfRule>
  </conditionalFormatting>
  <conditionalFormatting sqref="BB666 E666 AE666:AK666 Y666:AC666 H666:V666">
    <cfRule type="containsBlanks" dxfId="1135" priority="830">
      <formula>LEN(TRIM(E666))=0</formula>
    </cfRule>
  </conditionalFormatting>
  <conditionalFormatting sqref="AD666">
    <cfRule type="containsBlanks" dxfId="1134" priority="829">
      <formula>LEN(TRIM(AD666))=0</formula>
    </cfRule>
  </conditionalFormatting>
  <conditionalFormatting sqref="AW666">
    <cfRule type="containsBlanks" dxfId="1133" priority="828">
      <formula>LEN(TRIM(AW666))=0</formula>
    </cfRule>
  </conditionalFormatting>
  <conditionalFormatting sqref="AX666:AZ666">
    <cfRule type="containsBlanks" dxfId="1132" priority="827">
      <formula>LEN(TRIM(AX666))=0</formula>
    </cfRule>
  </conditionalFormatting>
  <conditionalFormatting sqref="AT666:AV666">
    <cfRule type="containsBlanks" dxfId="1131" priority="826">
      <formula>LEN(TRIM(AT666))=0</formula>
    </cfRule>
  </conditionalFormatting>
  <conditionalFormatting sqref="D666">
    <cfRule type="containsBlanks" dxfId="1130" priority="825">
      <formula>LEN(TRIM(D666))=0</formula>
    </cfRule>
  </conditionalFormatting>
  <conditionalFormatting sqref="B666">
    <cfRule type="containsBlanks" dxfId="1129" priority="824">
      <formula>LEN(TRIM(B666))=0</formula>
    </cfRule>
  </conditionalFormatting>
  <conditionalFormatting sqref="AN666:AS666">
    <cfRule type="containsBlanks" dxfId="1128" priority="823">
      <formula>LEN(TRIM(AN666))=0</formula>
    </cfRule>
  </conditionalFormatting>
  <conditionalFormatting sqref="F666">
    <cfRule type="containsBlanks" dxfId="1127" priority="822">
      <formula>LEN(TRIM(F666))=0</formula>
    </cfRule>
  </conditionalFormatting>
  <conditionalFormatting sqref="G666">
    <cfRule type="containsBlanks" dxfId="1126" priority="821">
      <formula>LEN(TRIM(G666))=0</formula>
    </cfRule>
  </conditionalFormatting>
  <conditionalFormatting sqref="W666:X666">
    <cfRule type="containsBlanks" dxfId="1125" priority="820">
      <formula>LEN(TRIM(W666))=0</formula>
    </cfRule>
  </conditionalFormatting>
  <conditionalFormatting sqref="AL666">
    <cfRule type="containsBlanks" dxfId="1124" priority="818">
      <formula>LEN(TRIM(AL666))=0</formula>
    </cfRule>
  </conditionalFormatting>
  <conditionalFormatting sqref="AM666">
    <cfRule type="containsBlanks" dxfId="1123" priority="817">
      <formula>LEN(TRIM(AM666))=0</formula>
    </cfRule>
  </conditionalFormatting>
  <conditionalFormatting sqref="A667">
    <cfRule type="containsBlanks" dxfId="1122" priority="815">
      <formula>LEN(TRIM(A667))=0</formula>
    </cfRule>
  </conditionalFormatting>
  <conditionalFormatting sqref="B667:AZ667 BB667:BC667">
    <cfRule type="containsBlanks" dxfId="1121" priority="816">
      <formula>LEN(TRIM(B667))=0</formula>
    </cfRule>
  </conditionalFormatting>
  <conditionalFormatting sqref="C668:AZ668 BB668:BC668">
    <cfRule type="containsBlanks" dxfId="1120" priority="814">
      <formula>LEN(TRIM(C668))=0</formula>
    </cfRule>
  </conditionalFormatting>
  <conditionalFormatting sqref="C669:AZ669 BB669:BC669">
    <cfRule type="containsBlanks" dxfId="1119" priority="810">
      <formula>LEN(TRIM(C669))=0</formula>
    </cfRule>
  </conditionalFormatting>
  <conditionalFormatting sqref="B671">
    <cfRule type="containsBlanks" dxfId="1118" priority="809">
      <formula>LEN(TRIM(B671))=0</formula>
    </cfRule>
  </conditionalFormatting>
  <conditionalFormatting sqref="A671">
    <cfRule type="containsBlanks" dxfId="1117" priority="808">
      <formula>LEN(TRIM(A671))=0</formula>
    </cfRule>
  </conditionalFormatting>
  <conditionalFormatting sqref="C671:AZ671 BB671:BC671">
    <cfRule type="containsBlanks" dxfId="1116" priority="807">
      <formula>LEN(TRIM(C671))=0</formula>
    </cfRule>
  </conditionalFormatting>
  <conditionalFormatting sqref="C672 E672:AZ672 BB672:BC672">
    <cfRule type="containsBlanks" dxfId="1115" priority="801">
      <formula>LEN(TRIM(C672))=0</formula>
    </cfRule>
  </conditionalFormatting>
  <conditionalFormatting sqref="C673:AZ673 BB673:BC673">
    <cfRule type="containsBlanks" dxfId="1114" priority="798">
      <formula>LEN(TRIM(C673))=0</formula>
    </cfRule>
  </conditionalFormatting>
  <conditionalFormatting sqref="D672">
    <cfRule type="containsBlanks" dxfId="1113" priority="797">
      <formula>LEN(TRIM(D672))=0</formula>
    </cfRule>
  </conditionalFormatting>
  <conditionalFormatting sqref="B672">
    <cfRule type="containsBlanks" dxfId="1112" priority="796">
      <formula>LEN(TRIM(B672))=0</formula>
    </cfRule>
  </conditionalFormatting>
  <conditionalFormatting sqref="A674">
    <cfRule type="containsBlanks" dxfId="1111" priority="792">
      <formula>LEN(TRIM(A674))=0</formula>
    </cfRule>
  </conditionalFormatting>
  <conditionalFormatting sqref="C674:AZ674 BB674:BC674">
    <cfRule type="containsBlanks" dxfId="1110" priority="791">
      <formula>LEN(TRIM(C674))=0</formula>
    </cfRule>
  </conditionalFormatting>
  <conditionalFormatting sqref="B674">
    <cfRule type="containsBlanks" dxfId="1109" priority="790">
      <formula>LEN(TRIM(B674))=0</formula>
    </cfRule>
  </conditionalFormatting>
  <conditionalFormatting sqref="A675">
    <cfRule type="containsBlanks" dxfId="1108" priority="789">
      <formula>LEN(TRIM(A675))=0</formula>
    </cfRule>
  </conditionalFormatting>
  <conditionalFormatting sqref="C675:AZ675 BB675:BC675">
    <cfRule type="containsBlanks" dxfId="1107" priority="788">
      <formula>LEN(TRIM(C675))=0</formula>
    </cfRule>
  </conditionalFormatting>
  <conditionalFormatting sqref="B675">
    <cfRule type="containsBlanks" dxfId="1106" priority="787">
      <formula>LEN(TRIM(B675))=0</formula>
    </cfRule>
  </conditionalFormatting>
  <conditionalFormatting sqref="A676">
    <cfRule type="containsBlanks" dxfId="1105" priority="786">
      <formula>LEN(TRIM(A676))=0</formula>
    </cfRule>
  </conditionalFormatting>
  <conditionalFormatting sqref="C676:AZ676 BB676:BC676">
    <cfRule type="containsBlanks" dxfId="1104" priority="785">
      <formula>LEN(TRIM(C676))=0</formula>
    </cfRule>
  </conditionalFormatting>
  <conditionalFormatting sqref="B676">
    <cfRule type="containsBlanks" dxfId="1103" priority="784">
      <formula>LEN(TRIM(B676))=0</formula>
    </cfRule>
  </conditionalFormatting>
  <conditionalFormatting sqref="A677">
    <cfRule type="containsBlanks" dxfId="1102" priority="783">
      <formula>LEN(TRIM(A677))=0</formula>
    </cfRule>
  </conditionalFormatting>
  <conditionalFormatting sqref="C677:E677 H677:V677 Y677:AK677 AN677:AZ677 BB677:BC677">
    <cfRule type="containsBlanks" dxfId="1101" priority="782">
      <formula>LEN(TRIM(C677))=0</formula>
    </cfRule>
  </conditionalFormatting>
  <conditionalFormatting sqref="B677">
    <cfRule type="containsBlanks" dxfId="1100" priority="781">
      <formula>LEN(TRIM(B677))=0</formula>
    </cfRule>
  </conditionalFormatting>
  <conditionalFormatting sqref="A678">
    <cfRule type="containsBlanks" dxfId="1099" priority="780">
      <formula>LEN(TRIM(A678))=0</formula>
    </cfRule>
  </conditionalFormatting>
  <conditionalFormatting sqref="C678 E678 H678:V678 Y678:AK678 AN678:AZ678 BB678:BC678">
    <cfRule type="containsBlanks" dxfId="1098" priority="779">
      <formula>LEN(TRIM(C678))=0</formula>
    </cfRule>
  </conditionalFormatting>
  <conditionalFormatting sqref="B678">
    <cfRule type="containsBlanks" dxfId="1097" priority="778">
      <formula>LEN(TRIM(B678))=0</formula>
    </cfRule>
  </conditionalFormatting>
  <conditionalFormatting sqref="D678">
    <cfRule type="containsBlanks" dxfId="1096" priority="777">
      <formula>LEN(TRIM(D678))=0</formula>
    </cfRule>
  </conditionalFormatting>
  <conditionalFormatting sqref="F677">
    <cfRule type="containsBlanks" dxfId="1095" priority="776">
      <formula>LEN(TRIM(F677))=0</formula>
    </cfRule>
  </conditionalFormatting>
  <conditionalFormatting sqref="F678">
    <cfRule type="containsBlanks" dxfId="1094" priority="775">
      <formula>LEN(TRIM(F678))=0</formula>
    </cfRule>
  </conditionalFormatting>
  <conditionalFormatting sqref="G677">
    <cfRule type="containsBlanks" dxfId="1093" priority="774">
      <formula>LEN(TRIM(G677))=0</formula>
    </cfRule>
  </conditionalFormatting>
  <conditionalFormatting sqref="G678">
    <cfRule type="containsBlanks" dxfId="1092" priority="773">
      <formula>LEN(TRIM(G678))=0</formula>
    </cfRule>
  </conditionalFormatting>
  <conditionalFormatting sqref="W677">
    <cfRule type="containsBlanks" dxfId="1091" priority="772">
      <formula>LEN(TRIM(W677))=0</formula>
    </cfRule>
  </conditionalFormatting>
  <conditionalFormatting sqref="W678">
    <cfRule type="containsBlanks" dxfId="1090" priority="771">
      <formula>LEN(TRIM(W678))=0</formula>
    </cfRule>
  </conditionalFormatting>
  <conditionalFormatting sqref="X677">
    <cfRule type="containsBlanks" dxfId="1089" priority="770">
      <formula>LEN(TRIM(X677))=0</formula>
    </cfRule>
  </conditionalFormatting>
  <conditionalFormatting sqref="X678">
    <cfRule type="containsBlanks" dxfId="1088" priority="769">
      <formula>LEN(TRIM(X678))=0</formula>
    </cfRule>
  </conditionalFormatting>
  <conditionalFormatting sqref="AL677">
    <cfRule type="containsBlanks" dxfId="1087" priority="768">
      <formula>LEN(TRIM(AL677))=0</formula>
    </cfRule>
  </conditionalFormatting>
  <conditionalFormatting sqref="AL678">
    <cfRule type="containsBlanks" dxfId="1086" priority="767">
      <formula>LEN(TRIM(AL678))=0</formula>
    </cfRule>
  </conditionalFormatting>
  <conditionalFormatting sqref="AM677">
    <cfRule type="containsBlanks" dxfId="1085" priority="766">
      <formula>LEN(TRIM(AM677))=0</formula>
    </cfRule>
  </conditionalFormatting>
  <conditionalFormatting sqref="AM678">
    <cfRule type="containsBlanks" dxfId="1084" priority="765">
      <formula>LEN(TRIM(AM678))=0</formula>
    </cfRule>
  </conditionalFormatting>
  <conditionalFormatting sqref="A679">
    <cfRule type="containsBlanks" dxfId="1083" priority="764">
      <formula>LEN(TRIM(A679))=0</formula>
    </cfRule>
  </conditionalFormatting>
  <conditionalFormatting sqref="C679 E679 H679:V679 Y679:AK679 AN679:AZ679 BB679:BC679">
    <cfRule type="containsBlanks" dxfId="1082" priority="763">
      <formula>LEN(TRIM(C679))=0</formula>
    </cfRule>
  </conditionalFormatting>
  <conditionalFormatting sqref="B679">
    <cfRule type="containsBlanks" dxfId="1081" priority="762">
      <formula>LEN(TRIM(B679))=0</formula>
    </cfRule>
  </conditionalFormatting>
  <conditionalFormatting sqref="D679">
    <cfRule type="containsBlanks" dxfId="1080" priority="761">
      <formula>LEN(TRIM(D679))=0</formula>
    </cfRule>
  </conditionalFormatting>
  <conditionalFormatting sqref="F679">
    <cfRule type="containsBlanks" dxfId="1079" priority="753">
      <formula>LEN(TRIM(F679))=0</formula>
    </cfRule>
  </conditionalFormatting>
  <conditionalFormatting sqref="G679">
    <cfRule type="containsBlanks" dxfId="1078" priority="752">
      <formula>LEN(TRIM(G679))=0</formula>
    </cfRule>
  </conditionalFormatting>
  <conditionalFormatting sqref="W679">
    <cfRule type="containsBlanks" dxfId="1077" priority="751">
      <formula>LEN(TRIM(W679))=0</formula>
    </cfRule>
  </conditionalFormatting>
  <conditionalFormatting sqref="X679">
    <cfRule type="containsBlanks" dxfId="1076" priority="750">
      <formula>LEN(TRIM(X679))=0</formula>
    </cfRule>
  </conditionalFormatting>
  <conditionalFormatting sqref="AL679">
    <cfRule type="containsBlanks" dxfId="1075" priority="749">
      <formula>LEN(TRIM(AL679))=0</formula>
    </cfRule>
  </conditionalFormatting>
  <conditionalFormatting sqref="AM679">
    <cfRule type="containsBlanks" dxfId="1074" priority="748">
      <formula>LEN(TRIM(AM679))=0</formula>
    </cfRule>
  </conditionalFormatting>
  <conditionalFormatting sqref="A680">
    <cfRule type="containsBlanks" dxfId="1073" priority="747">
      <formula>LEN(TRIM(A680))=0</formula>
    </cfRule>
  </conditionalFormatting>
  <conditionalFormatting sqref="C680 E680 H680:V680 Y680:AK680 AN680:AZ680 BB680:BC680">
    <cfRule type="containsBlanks" dxfId="1072" priority="746">
      <formula>LEN(TRIM(C680))=0</formula>
    </cfRule>
  </conditionalFormatting>
  <conditionalFormatting sqref="B680">
    <cfRule type="containsBlanks" dxfId="1071" priority="745">
      <formula>LEN(TRIM(B680))=0</formula>
    </cfRule>
  </conditionalFormatting>
  <conditionalFormatting sqref="D680">
    <cfRule type="containsBlanks" dxfId="1070" priority="744">
      <formula>LEN(TRIM(D680))=0</formula>
    </cfRule>
  </conditionalFormatting>
  <conditionalFormatting sqref="F680">
    <cfRule type="containsBlanks" dxfId="1069" priority="743">
      <formula>LEN(TRIM(F680))=0</formula>
    </cfRule>
  </conditionalFormatting>
  <conditionalFormatting sqref="G680">
    <cfRule type="containsBlanks" dxfId="1068" priority="742">
      <formula>LEN(TRIM(G680))=0</formula>
    </cfRule>
  </conditionalFormatting>
  <conditionalFormatting sqref="W680">
    <cfRule type="containsBlanks" dxfId="1067" priority="741">
      <formula>LEN(TRIM(W680))=0</formula>
    </cfRule>
  </conditionalFormatting>
  <conditionalFormatting sqref="X680">
    <cfRule type="containsBlanks" dxfId="1066" priority="740">
      <formula>LEN(TRIM(X680))=0</formula>
    </cfRule>
  </conditionalFormatting>
  <conditionalFormatting sqref="AL680">
    <cfRule type="containsBlanks" dxfId="1065" priority="739">
      <formula>LEN(TRIM(AL680))=0</formula>
    </cfRule>
  </conditionalFormatting>
  <conditionalFormatting sqref="AM680">
    <cfRule type="containsBlanks" dxfId="1064" priority="738">
      <formula>LEN(TRIM(AM680))=0</formula>
    </cfRule>
  </conditionalFormatting>
  <conditionalFormatting sqref="A681">
    <cfRule type="containsBlanks" dxfId="1063" priority="737">
      <formula>LEN(TRIM(A681))=0</formula>
    </cfRule>
  </conditionalFormatting>
  <conditionalFormatting sqref="C681 E681 H681:V681 Y681:AK681 AN681:AZ681 BB681:BC681">
    <cfRule type="containsBlanks" dxfId="1062" priority="736">
      <formula>LEN(TRIM(C681))=0</formula>
    </cfRule>
  </conditionalFormatting>
  <conditionalFormatting sqref="B681">
    <cfRule type="containsBlanks" dxfId="1061" priority="735">
      <formula>LEN(TRIM(B681))=0</formula>
    </cfRule>
  </conditionalFormatting>
  <conditionalFormatting sqref="D681">
    <cfRule type="containsBlanks" dxfId="1060" priority="734">
      <formula>LEN(TRIM(D681))=0</formula>
    </cfRule>
  </conditionalFormatting>
  <conditionalFormatting sqref="F681">
    <cfRule type="containsBlanks" dxfId="1059" priority="727">
      <formula>LEN(TRIM(F681))=0</formula>
    </cfRule>
  </conditionalFormatting>
  <conditionalFormatting sqref="G681">
    <cfRule type="containsBlanks" dxfId="1058" priority="726">
      <formula>LEN(TRIM(G681))=0</formula>
    </cfRule>
  </conditionalFormatting>
  <conditionalFormatting sqref="W681">
    <cfRule type="containsBlanks" dxfId="1057" priority="725">
      <formula>LEN(TRIM(W681))=0</formula>
    </cfRule>
  </conditionalFormatting>
  <conditionalFormatting sqref="X681">
    <cfRule type="containsBlanks" dxfId="1056" priority="724">
      <formula>LEN(TRIM(X681))=0</formula>
    </cfRule>
  </conditionalFormatting>
  <conditionalFormatting sqref="AL681">
    <cfRule type="containsBlanks" dxfId="1055" priority="723">
      <formula>LEN(TRIM(AL681))=0</formula>
    </cfRule>
  </conditionalFormatting>
  <conditionalFormatting sqref="AM681">
    <cfRule type="containsBlanks" dxfId="1054" priority="722">
      <formula>LEN(TRIM(AM681))=0</formula>
    </cfRule>
  </conditionalFormatting>
  <conditionalFormatting sqref="A683">
    <cfRule type="containsBlanks" dxfId="1053" priority="721">
      <formula>LEN(TRIM(A683))=0</formula>
    </cfRule>
  </conditionalFormatting>
  <conditionalFormatting sqref="C683 E683 H683:V683 Y683:AK683 AN683:AZ683 BB683:BC683">
    <cfRule type="containsBlanks" dxfId="1052" priority="720">
      <formula>LEN(TRIM(C683))=0</formula>
    </cfRule>
  </conditionalFormatting>
  <conditionalFormatting sqref="B683">
    <cfRule type="containsBlanks" dxfId="1051" priority="719">
      <formula>LEN(TRIM(B683))=0</formula>
    </cfRule>
  </conditionalFormatting>
  <conditionalFormatting sqref="D683">
    <cfRule type="containsBlanks" dxfId="1050" priority="718">
      <formula>LEN(TRIM(D683))=0</formula>
    </cfRule>
  </conditionalFormatting>
  <conditionalFormatting sqref="F683">
    <cfRule type="containsBlanks" dxfId="1049" priority="717">
      <formula>LEN(TRIM(F683))=0</formula>
    </cfRule>
  </conditionalFormatting>
  <conditionalFormatting sqref="G683">
    <cfRule type="containsBlanks" dxfId="1048" priority="716">
      <formula>LEN(TRIM(G683))=0</formula>
    </cfRule>
  </conditionalFormatting>
  <conditionalFormatting sqref="W683">
    <cfRule type="containsBlanks" dxfId="1047" priority="715">
      <formula>LEN(TRIM(W683))=0</formula>
    </cfRule>
  </conditionalFormatting>
  <conditionalFormatting sqref="X683">
    <cfRule type="containsBlanks" dxfId="1046" priority="714">
      <formula>LEN(TRIM(X683))=0</formula>
    </cfRule>
  </conditionalFormatting>
  <conditionalFormatting sqref="AL683">
    <cfRule type="containsBlanks" dxfId="1045" priority="713">
      <formula>LEN(TRIM(AL683))=0</formula>
    </cfRule>
  </conditionalFormatting>
  <conditionalFormatting sqref="AM683">
    <cfRule type="containsBlanks" dxfId="1044" priority="712">
      <formula>LEN(TRIM(AM683))=0</formula>
    </cfRule>
  </conditionalFormatting>
  <conditionalFormatting sqref="B596 B601 B605 B617 B624 B630 B638 B642">
    <cfRule type="containsBlanks" dxfId="1043" priority="711">
      <formula>LEN(TRIM(B596))=0</formula>
    </cfRule>
  </conditionalFormatting>
  <conditionalFormatting sqref="A673">
    <cfRule type="containsBlanks" dxfId="1042" priority="710">
      <formula>LEN(TRIM(A673))=0</formula>
    </cfRule>
  </conditionalFormatting>
  <conditionalFormatting sqref="A684">
    <cfRule type="containsBlanks" dxfId="1041" priority="708">
      <formula>LEN(TRIM(A684))=0</formula>
    </cfRule>
  </conditionalFormatting>
  <conditionalFormatting sqref="C684 E684 H684:V684 Y684:AK684 AN684:AZ684 BB684:BC684">
    <cfRule type="containsBlanks" dxfId="1040" priority="707">
      <formula>LEN(TRIM(C684))=0</formula>
    </cfRule>
  </conditionalFormatting>
  <conditionalFormatting sqref="B684">
    <cfRule type="containsBlanks" dxfId="1039" priority="706">
      <formula>LEN(TRIM(B684))=0</formula>
    </cfRule>
  </conditionalFormatting>
  <conditionalFormatting sqref="D684">
    <cfRule type="containsBlanks" dxfId="1038" priority="705">
      <formula>LEN(TRIM(D684))=0</formula>
    </cfRule>
  </conditionalFormatting>
  <conditionalFormatting sqref="F684">
    <cfRule type="containsBlanks" dxfId="1037" priority="698">
      <formula>LEN(TRIM(F684))=0</formula>
    </cfRule>
  </conditionalFormatting>
  <conditionalFormatting sqref="G684">
    <cfRule type="containsBlanks" dxfId="1036" priority="697">
      <formula>LEN(TRIM(G684))=0</formula>
    </cfRule>
  </conditionalFormatting>
  <conditionalFormatting sqref="W684">
    <cfRule type="containsBlanks" dxfId="1035" priority="696">
      <formula>LEN(TRIM(W684))=0</formula>
    </cfRule>
  </conditionalFormatting>
  <conditionalFormatting sqref="X684">
    <cfRule type="containsBlanks" dxfId="1034" priority="695">
      <formula>LEN(TRIM(X684))=0</formula>
    </cfRule>
  </conditionalFormatting>
  <conditionalFormatting sqref="AL684">
    <cfRule type="containsBlanks" dxfId="1033" priority="694">
      <formula>LEN(TRIM(AL684))=0</formula>
    </cfRule>
  </conditionalFormatting>
  <conditionalFormatting sqref="AM684">
    <cfRule type="containsBlanks" dxfId="1032" priority="693">
      <formula>LEN(TRIM(AM684))=0</formula>
    </cfRule>
  </conditionalFormatting>
  <conditionalFormatting sqref="A682">
    <cfRule type="containsBlanks" dxfId="1031" priority="692">
      <formula>LEN(TRIM(A682))=0</formula>
    </cfRule>
  </conditionalFormatting>
  <conditionalFormatting sqref="C682 E682 H682:V682 Y682:AK682 AN682:AZ682 BB682:BC682">
    <cfRule type="containsBlanks" dxfId="1030" priority="691">
      <formula>LEN(TRIM(C682))=0</formula>
    </cfRule>
  </conditionalFormatting>
  <conditionalFormatting sqref="B682">
    <cfRule type="containsBlanks" dxfId="1029" priority="690">
      <formula>LEN(TRIM(B682))=0</formula>
    </cfRule>
  </conditionalFormatting>
  <conditionalFormatting sqref="D682">
    <cfRule type="containsBlanks" dxfId="1028" priority="689">
      <formula>LEN(TRIM(D682))=0</formula>
    </cfRule>
  </conditionalFormatting>
  <conditionalFormatting sqref="F682">
    <cfRule type="containsBlanks" dxfId="1027" priority="682">
      <formula>LEN(TRIM(F682))=0</formula>
    </cfRule>
  </conditionalFormatting>
  <conditionalFormatting sqref="G682">
    <cfRule type="containsBlanks" dxfId="1026" priority="681">
      <formula>LEN(TRIM(G682))=0</formula>
    </cfRule>
  </conditionalFormatting>
  <conditionalFormatting sqref="W682">
    <cfRule type="containsBlanks" dxfId="1025" priority="680">
      <formula>LEN(TRIM(W682))=0</formula>
    </cfRule>
  </conditionalFormatting>
  <conditionalFormatting sqref="X682">
    <cfRule type="containsBlanks" dxfId="1024" priority="679">
      <formula>LEN(TRIM(X682))=0</formula>
    </cfRule>
  </conditionalFormatting>
  <conditionalFormatting sqref="AL682">
    <cfRule type="containsBlanks" dxfId="1023" priority="678">
      <formula>LEN(TRIM(AL682))=0</formula>
    </cfRule>
  </conditionalFormatting>
  <conditionalFormatting sqref="AM682">
    <cfRule type="containsBlanks" dxfId="1022" priority="677">
      <formula>LEN(TRIM(AM682))=0</formula>
    </cfRule>
  </conditionalFormatting>
  <conditionalFormatting sqref="A685">
    <cfRule type="containsBlanks" dxfId="1021" priority="676">
      <formula>LEN(TRIM(A685))=0</formula>
    </cfRule>
  </conditionalFormatting>
  <conditionalFormatting sqref="C685 E685 H685:V685 Y685:AK685 AN685:AZ685 BB685:BC685">
    <cfRule type="containsBlanks" dxfId="1020" priority="675">
      <formula>LEN(TRIM(C685))=0</formula>
    </cfRule>
  </conditionalFormatting>
  <conditionalFormatting sqref="B685">
    <cfRule type="containsBlanks" dxfId="1019" priority="674">
      <formula>LEN(TRIM(B685))=0</formula>
    </cfRule>
  </conditionalFormatting>
  <conditionalFormatting sqref="D685">
    <cfRule type="containsBlanks" dxfId="1018" priority="673">
      <formula>LEN(TRIM(D685))=0</formula>
    </cfRule>
  </conditionalFormatting>
  <conditionalFormatting sqref="A686">
    <cfRule type="containsBlanks" dxfId="1017" priority="666">
      <formula>LEN(TRIM(A686))=0</formula>
    </cfRule>
  </conditionalFormatting>
  <conditionalFormatting sqref="C686 H686:V686 Y686:AK686 AN686:AZ686 BB686:BC686">
    <cfRule type="containsBlanks" dxfId="1016" priority="665">
      <formula>LEN(TRIM(C686))=0</formula>
    </cfRule>
  </conditionalFormatting>
  <conditionalFormatting sqref="B686">
    <cfRule type="containsBlanks" dxfId="1015" priority="664">
      <formula>LEN(TRIM(B686))=0</formula>
    </cfRule>
  </conditionalFormatting>
  <conditionalFormatting sqref="D686">
    <cfRule type="containsBlanks" dxfId="1014" priority="663">
      <formula>LEN(TRIM(D686))=0</formula>
    </cfRule>
  </conditionalFormatting>
  <conditionalFormatting sqref="F686">
    <cfRule type="containsBlanks" dxfId="1013" priority="656">
      <formula>LEN(TRIM(F686))=0</formula>
    </cfRule>
  </conditionalFormatting>
  <conditionalFormatting sqref="G686">
    <cfRule type="containsBlanks" dxfId="1012" priority="655">
      <formula>LEN(TRIM(G686))=0</formula>
    </cfRule>
  </conditionalFormatting>
  <conditionalFormatting sqref="W686">
    <cfRule type="containsBlanks" dxfId="1011" priority="654">
      <formula>LEN(TRIM(W686))=0</formula>
    </cfRule>
  </conditionalFormatting>
  <conditionalFormatting sqref="X686">
    <cfRule type="containsBlanks" dxfId="1010" priority="653">
      <formula>LEN(TRIM(X686))=0</formula>
    </cfRule>
  </conditionalFormatting>
  <conditionalFormatting sqref="AL686">
    <cfRule type="containsBlanks" dxfId="1009" priority="652">
      <formula>LEN(TRIM(AL686))=0</formula>
    </cfRule>
  </conditionalFormatting>
  <conditionalFormatting sqref="AM686">
    <cfRule type="containsBlanks" dxfId="1008" priority="651">
      <formula>LEN(TRIM(AM686))=0</formula>
    </cfRule>
  </conditionalFormatting>
  <conditionalFormatting sqref="A687">
    <cfRule type="containsBlanks" dxfId="1007" priority="650">
      <formula>LEN(TRIM(A687))=0</formula>
    </cfRule>
  </conditionalFormatting>
  <conditionalFormatting sqref="C687 H687:V687 Y687:AK687 AN687:AZ687 BB687:BC687">
    <cfRule type="containsBlanks" dxfId="1006" priority="649">
      <formula>LEN(TRIM(C687))=0</formula>
    </cfRule>
  </conditionalFormatting>
  <conditionalFormatting sqref="B687">
    <cfRule type="containsBlanks" dxfId="1005" priority="648">
      <formula>LEN(TRIM(B687))=0</formula>
    </cfRule>
  </conditionalFormatting>
  <conditionalFormatting sqref="D687">
    <cfRule type="containsBlanks" dxfId="1004" priority="647">
      <formula>LEN(TRIM(D687))=0</formula>
    </cfRule>
  </conditionalFormatting>
  <conditionalFormatting sqref="F687">
    <cfRule type="containsBlanks" dxfId="1003" priority="646">
      <formula>LEN(TRIM(F687))=0</formula>
    </cfRule>
  </conditionalFormatting>
  <conditionalFormatting sqref="G687">
    <cfRule type="containsBlanks" dxfId="1002" priority="645">
      <formula>LEN(TRIM(G687))=0</formula>
    </cfRule>
  </conditionalFormatting>
  <conditionalFormatting sqref="W687">
    <cfRule type="containsBlanks" dxfId="1001" priority="644">
      <formula>LEN(TRIM(W687))=0</formula>
    </cfRule>
  </conditionalFormatting>
  <conditionalFormatting sqref="X687">
    <cfRule type="containsBlanks" dxfId="1000" priority="643">
      <formula>LEN(TRIM(X687))=0</formula>
    </cfRule>
  </conditionalFormatting>
  <conditionalFormatting sqref="AL687">
    <cfRule type="containsBlanks" dxfId="999" priority="642">
      <formula>LEN(TRIM(AL687))=0</formula>
    </cfRule>
  </conditionalFormatting>
  <conditionalFormatting sqref="AM687">
    <cfRule type="containsBlanks" dxfId="998" priority="641">
      <formula>LEN(TRIM(AM687))=0</formula>
    </cfRule>
  </conditionalFormatting>
  <conditionalFormatting sqref="E687">
    <cfRule type="containsBlanks" dxfId="997" priority="640">
      <formula>LEN(TRIM(E687))=0</formula>
    </cfRule>
  </conditionalFormatting>
  <conditionalFormatting sqref="C688 E688 H688:V688 Y688:AK688 AN688:AZ688 BB688:BC688">
    <cfRule type="containsBlanks" dxfId="996" priority="638">
      <formula>LEN(TRIM(C688))=0</formula>
    </cfRule>
  </conditionalFormatting>
  <conditionalFormatting sqref="B688">
    <cfRule type="containsBlanks" dxfId="995" priority="637">
      <formula>LEN(TRIM(B688))=0</formula>
    </cfRule>
  </conditionalFormatting>
  <conditionalFormatting sqref="D688">
    <cfRule type="containsBlanks" dxfId="994" priority="636">
      <formula>LEN(TRIM(D688))=0</formula>
    </cfRule>
  </conditionalFormatting>
  <conditionalFormatting sqref="F688">
    <cfRule type="containsBlanks" dxfId="993" priority="629">
      <formula>LEN(TRIM(F688))=0</formula>
    </cfRule>
  </conditionalFormatting>
  <conditionalFormatting sqref="G688">
    <cfRule type="containsBlanks" dxfId="992" priority="628">
      <formula>LEN(TRIM(G688))=0</formula>
    </cfRule>
  </conditionalFormatting>
  <conditionalFormatting sqref="W688">
    <cfRule type="containsBlanks" dxfId="991" priority="627">
      <formula>LEN(TRIM(W688))=0</formula>
    </cfRule>
  </conditionalFormatting>
  <conditionalFormatting sqref="X688">
    <cfRule type="containsBlanks" dxfId="990" priority="626">
      <formula>LEN(TRIM(X688))=0</formula>
    </cfRule>
  </conditionalFormatting>
  <conditionalFormatting sqref="AL688">
    <cfRule type="containsBlanks" dxfId="989" priority="625">
      <formula>LEN(TRIM(AL688))=0</formula>
    </cfRule>
  </conditionalFormatting>
  <conditionalFormatting sqref="AM688">
    <cfRule type="containsBlanks" dxfId="988" priority="624">
      <formula>LEN(TRIM(AM688))=0</formula>
    </cfRule>
  </conditionalFormatting>
  <conditionalFormatting sqref="F685">
    <cfRule type="containsBlanks" dxfId="987" priority="623">
      <formula>LEN(TRIM(F685))=0</formula>
    </cfRule>
  </conditionalFormatting>
  <conditionalFormatting sqref="G685">
    <cfRule type="containsBlanks" dxfId="986" priority="622">
      <formula>LEN(TRIM(G685))=0</formula>
    </cfRule>
  </conditionalFormatting>
  <conditionalFormatting sqref="W685">
    <cfRule type="containsBlanks" dxfId="985" priority="621">
      <formula>LEN(TRIM(W685))=0</formula>
    </cfRule>
  </conditionalFormatting>
  <conditionalFormatting sqref="X685">
    <cfRule type="containsBlanks" dxfId="984" priority="620">
      <formula>LEN(TRIM(X685))=0</formula>
    </cfRule>
  </conditionalFormatting>
  <conditionalFormatting sqref="AM685">
    <cfRule type="containsBlanks" dxfId="983" priority="619">
      <formula>LEN(TRIM(AM685))=0</formula>
    </cfRule>
  </conditionalFormatting>
  <conditionalFormatting sqref="AL685">
    <cfRule type="containsBlanks" dxfId="982" priority="618">
      <formula>LEN(TRIM(AL685))=0</formula>
    </cfRule>
  </conditionalFormatting>
  <conditionalFormatting sqref="B536:BC536">
    <cfRule type="containsBlanks" dxfId="981" priority="617">
      <formula>LEN(TRIM(B536))=0</formula>
    </cfRule>
  </conditionalFormatting>
  <conditionalFormatting sqref="A536">
    <cfRule type="containsBlanks" dxfId="980" priority="616">
      <formula>LEN(TRIM(A536))=0</formula>
    </cfRule>
  </conditionalFormatting>
  <conditionalFormatting sqref="B689:AM689 AT689:AZ689">
    <cfRule type="containsBlanks" dxfId="979" priority="615">
      <formula>LEN(TRIM(B689))=0</formula>
    </cfRule>
  </conditionalFormatting>
  <conditionalFormatting sqref="A689">
    <cfRule type="containsBlanks" dxfId="978" priority="614">
      <formula>LEN(TRIM(A689))=0</formula>
    </cfRule>
  </conditionalFormatting>
  <conditionalFormatting sqref="BA689">
    <cfRule type="containsBlanks" dxfId="977" priority="613">
      <formula>LEN(TRIM(BA689))=0</formula>
    </cfRule>
  </conditionalFormatting>
  <conditionalFormatting sqref="BB689">
    <cfRule type="containsBlanks" dxfId="976" priority="612">
      <formula>LEN(TRIM(BB689))=0</formula>
    </cfRule>
  </conditionalFormatting>
  <conditionalFormatting sqref="BC689">
    <cfRule type="containsBlanks" dxfId="975" priority="611">
      <formula>LEN(TRIM(BC689))=0</formula>
    </cfRule>
  </conditionalFormatting>
  <conditionalFormatting sqref="AN689">
    <cfRule type="containsBlanks" dxfId="974" priority="610">
      <formula>LEN(TRIM(AN689))=0</formula>
    </cfRule>
  </conditionalFormatting>
  <conditionalFormatting sqref="AO689">
    <cfRule type="containsBlanks" dxfId="973" priority="609">
      <formula>LEN(TRIM(AO689))=0</formula>
    </cfRule>
  </conditionalFormatting>
  <conditionalFormatting sqref="AP689">
    <cfRule type="containsBlanks" dxfId="972" priority="608">
      <formula>LEN(TRIM(AP689))=0</formula>
    </cfRule>
  </conditionalFormatting>
  <conditionalFormatting sqref="AQ689">
    <cfRule type="containsBlanks" dxfId="971" priority="607">
      <formula>LEN(TRIM(AQ689))=0</formula>
    </cfRule>
  </conditionalFormatting>
  <conditionalFormatting sqref="AR689">
    <cfRule type="containsBlanks" dxfId="970" priority="606">
      <formula>LEN(TRIM(AR689))=0</formula>
    </cfRule>
  </conditionalFormatting>
  <conditionalFormatting sqref="AS689">
    <cfRule type="containsBlanks" dxfId="969" priority="605">
      <formula>LEN(TRIM(AS689))=0</formula>
    </cfRule>
  </conditionalFormatting>
  <conditionalFormatting sqref="BC537">
    <cfRule type="containsBlanks" dxfId="968" priority="604">
      <formula>LEN(TRIM(BC537))=0</formula>
    </cfRule>
  </conditionalFormatting>
  <conditionalFormatting sqref="BB537">
    <cfRule type="containsBlanks" dxfId="967" priority="603">
      <formula>LEN(TRIM(BB537))=0</formula>
    </cfRule>
  </conditionalFormatting>
  <conditionalFormatting sqref="BA537">
    <cfRule type="containsBlanks" dxfId="966" priority="602">
      <formula>LEN(TRIM(BA537))=0</formula>
    </cfRule>
  </conditionalFormatting>
  <conditionalFormatting sqref="AO537">
    <cfRule type="containsBlanks" dxfId="965" priority="601">
      <formula>LEN(TRIM(AO537))=0</formula>
    </cfRule>
  </conditionalFormatting>
  <conditionalFormatting sqref="AN537">
    <cfRule type="containsBlanks" dxfId="964" priority="600">
      <formula>LEN(TRIM(AN537))=0</formula>
    </cfRule>
  </conditionalFormatting>
  <conditionalFormatting sqref="AQ537">
    <cfRule type="containsBlanks" dxfId="963" priority="599">
      <formula>LEN(TRIM(AQ537))=0</formula>
    </cfRule>
  </conditionalFormatting>
  <conditionalFormatting sqref="AR537">
    <cfRule type="containsBlanks" dxfId="962" priority="598">
      <formula>LEN(TRIM(AR537))=0</formula>
    </cfRule>
  </conditionalFormatting>
  <conditionalFormatting sqref="AP537">
    <cfRule type="containsBlanks" dxfId="961" priority="597">
      <formula>LEN(TRIM(AP537))=0</formula>
    </cfRule>
  </conditionalFormatting>
  <conditionalFormatting sqref="AS537">
    <cfRule type="containsBlanks" dxfId="960" priority="596">
      <formula>LEN(TRIM(AS537))=0</formula>
    </cfRule>
  </conditionalFormatting>
  <conditionalFormatting sqref="Y690:AK690 H690:V690 AN690:AW690">
    <cfRule type="containsBlanks" dxfId="959" priority="595">
      <formula>LEN(TRIM(H690))=0</formula>
    </cfRule>
  </conditionalFormatting>
  <conditionalFormatting sqref="AM690">
    <cfRule type="containsBlanks" dxfId="958" priority="588">
      <formula>LEN(TRIM(AM690))=0</formula>
    </cfRule>
  </conditionalFormatting>
  <conditionalFormatting sqref="C690:E690 AX690:AZ690 BB690:BC690">
    <cfRule type="containsBlanks" dxfId="957" priority="594">
      <formula>LEN(TRIM(C690))=0</formula>
    </cfRule>
  </conditionalFormatting>
  <conditionalFormatting sqref="B690">
    <cfRule type="containsBlanks" dxfId="956" priority="593">
      <formula>LEN(TRIM(B690))=0</formula>
    </cfRule>
  </conditionalFormatting>
  <conditionalFormatting sqref="F690:G690">
    <cfRule type="containsBlanks" dxfId="955" priority="592">
      <formula>LEN(TRIM(F690))=0</formula>
    </cfRule>
  </conditionalFormatting>
  <conditionalFormatting sqref="W690">
    <cfRule type="containsBlanks" dxfId="954" priority="591">
      <formula>LEN(TRIM(W690))=0</formula>
    </cfRule>
  </conditionalFormatting>
  <conditionalFormatting sqref="X690">
    <cfRule type="containsBlanks" dxfId="953" priority="590">
      <formula>LEN(TRIM(X690))=0</formula>
    </cfRule>
  </conditionalFormatting>
  <conditionalFormatting sqref="AL690">
    <cfRule type="containsBlanks" dxfId="952" priority="589">
      <formula>LEN(TRIM(AL690))=0</formula>
    </cfRule>
  </conditionalFormatting>
  <conditionalFormatting sqref="A690">
    <cfRule type="containsBlanks" dxfId="951" priority="587">
      <formula>LEN(TRIM(A690))=0</formula>
    </cfRule>
  </conditionalFormatting>
  <conditionalFormatting sqref="BA690">
    <cfRule type="containsBlanks" dxfId="950" priority="586">
      <formula>LEN(TRIM(BA690))=0</formula>
    </cfRule>
  </conditionalFormatting>
  <conditionalFormatting sqref="Y691:AK691 H691:V691 AN691:AW691 Y693:AK693 AN693:AZ693">
    <cfRule type="containsBlanks" dxfId="949" priority="585">
      <formula>LEN(TRIM(H691))=0</formula>
    </cfRule>
  </conditionalFormatting>
  <conditionalFormatting sqref="AM691">
    <cfRule type="containsBlanks" dxfId="948" priority="578">
      <formula>LEN(TRIM(AM691))=0</formula>
    </cfRule>
  </conditionalFormatting>
  <conditionalFormatting sqref="C691:E691 AX691:AZ691 BB691:BC691">
    <cfRule type="containsBlanks" dxfId="947" priority="584">
      <formula>LEN(TRIM(C691))=0</formula>
    </cfRule>
  </conditionalFormatting>
  <conditionalFormatting sqref="B691">
    <cfRule type="containsBlanks" dxfId="946" priority="583">
      <formula>LEN(TRIM(B691))=0</formula>
    </cfRule>
  </conditionalFormatting>
  <conditionalFormatting sqref="F691:G691">
    <cfRule type="containsBlanks" dxfId="945" priority="582">
      <formula>LEN(TRIM(F691))=0</formula>
    </cfRule>
  </conditionalFormatting>
  <conditionalFormatting sqref="W691">
    <cfRule type="containsBlanks" dxfId="944" priority="581">
      <formula>LEN(TRIM(W691))=0</formula>
    </cfRule>
  </conditionalFormatting>
  <conditionalFormatting sqref="X691">
    <cfRule type="containsBlanks" dxfId="943" priority="580">
      <formula>LEN(TRIM(X691))=0</formula>
    </cfRule>
  </conditionalFormatting>
  <conditionalFormatting sqref="AL691">
    <cfRule type="containsBlanks" dxfId="942" priority="579">
      <formula>LEN(TRIM(AL691))=0</formula>
    </cfRule>
  </conditionalFormatting>
  <conditionalFormatting sqref="A691">
    <cfRule type="containsBlanks" dxfId="941" priority="577">
      <formula>LEN(TRIM(A691))=0</formula>
    </cfRule>
  </conditionalFormatting>
  <conditionalFormatting sqref="BA691">
    <cfRule type="containsBlanks" dxfId="940" priority="576">
      <formula>LEN(TRIM(BA691))=0</formula>
    </cfRule>
  </conditionalFormatting>
  <conditionalFormatting sqref="B692:AC692 AE692:AW692">
    <cfRule type="containsBlanks" dxfId="939" priority="575">
      <formula>LEN(TRIM(B692))=0</formula>
    </cfRule>
  </conditionalFormatting>
  <conditionalFormatting sqref="AX692:BB692">
    <cfRule type="containsBlanks" dxfId="938" priority="574">
      <formula>LEN(TRIM(AX692))=0</formula>
    </cfRule>
  </conditionalFormatting>
  <conditionalFormatting sqref="A692">
    <cfRule type="containsBlanks" dxfId="937" priority="573">
      <formula>LEN(TRIM(A692))=0</formula>
    </cfRule>
  </conditionalFormatting>
  <conditionalFormatting sqref="AD692">
    <cfRule type="containsBlanks" dxfId="936" priority="572">
      <formula>LEN(TRIM(AD692))=0</formula>
    </cfRule>
  </conditionalFormatting>
  <conditionalFormatting sqref="BC692">
    <cfRule type="containsBlanks" dxfId="935" priority="571">
      <formula>LEN(TRIM(BC692))=0</formula>
    </cfRule>
  </conditionalFormatting>
  <conditionalFormatting sqref="BA670">
    <cfRule type="containsBlanks" dxfId="934" priority="552">
      <formula>LEN(TRIM(BA670))=0</formula>
    </cfRule>
  </conditionalFormatting>
  <conditionalFormatting sqref="B670">
    <cfRule type="containsBlanks" dxfId="933" priority="551">
      <formula>LEN(TRIM(B670))=0</formula>
    </cfRule>
  </conditionalFormatting>
  <conditionalFormatting sqref="A670">
    <cfRule type="containsBlanks" dxfId="932" priority="550">
      <formula>LEN(TRIM(A670))=0</formula>
    </cfRule>
  </conditionalFormatting>
  <conditionalFormatting sqref="BB670:BC670 C670:AZ670">
    <cfRule type="containsBlanks" dxfId="931" priority="549">
      <formula>LEN(TRIM(C670))=0</formula>
    </cfRule>
  </conditionalFormatting>
  <conditionalFormatting sqref="E693">
    <cfRule type="containsBlanks" dxfId="930" priority="524">
      <formula>LEN(TRIM(E693))=0</formula>
    </cfRule>
  </conditionalFormatting>
  <conditionalFormatting sqref="B694:D694 BC694 F694:X694 AL694:AM694">
    <cfRule type="containsBlanks" dxfId="929" priority="523">
      <formula>LEN(TRIM(B694))=0</formula>
    </cfRule>
  </conditionalFormatting>
  <conditionalFormatting sqref="BB694">
    <cfRule type="containsBlanks" dxfId="928" priority="521">
      <formula>LEN(TRIM(BB694))=0</formula>
    </cfRule>
  </conditionalFormatting>
  <conditionalFormatting sqref="Y694:AK694 AT694:AZ694">
    <cfRule type="containsBlanks" dxfId="927" priority="520">
      <formula>LEN(TRIM(Y694))=0</formula>
    </cfRule>
  </conditionalFormatting>
  <conditionalFormatting sqref="E694">
    <cfRule type="containsBlanks" dxfId="926" priority="519">
      <formula>LEN(TRIM(E694))=0</formula>
    </cfRule>
  </conditionalFormatting>
  <conditionalFormatting sqref="B695:D695 BC695 F695:X695 AL695:AM695">
    <cfRule type="containsBlanks" dxfId="925" priority="518">
      <formula>LEN(TRIM(B695))=0</formula>
    </cfRule>
  </conditionalFormatting>
  <conditionalFormatting sqref="BB695">
    <cfRule type="containsBlanks" dxfId="924" priority="516">
      <formula>LEN(TRIM(BB695))=0</formula>
    </cfRule>
  </conditionalFormatting>
  <conditionalFormatting sqref="Y695:AK695 AT695:AZ695">
    <cfRule type="containsBlanks" dxfId="923" priority="515">
      <formula>LEN(TRIM(Y695))=0</formula>
    </cfRule>
  </conditionalFormatting>
  <conditionalFormatting sqref="E695">
    <cfRule type="containsBlanks" dxfId="922" priority="514">
      <formula>LEN(TRIM(E695))=0</formula>
    </cfRule>
  </conditionalFormatting>
  <conditionalFormatting sqref="B696:D696 BC696 F696:X696 AL696:AM696">
    <cfRule type="containsBlanks" dxfId="921" priority="513">
      <formula>LEN(TRIM(B696))=0</formula>
    </cfRule>
  </conditionalFormatting>
  <conditionalFormatting sqref="BB696">
    <cfRule type="containsBlanks" dxfId="920" priority="511">
      <formula>LEN(TRIM(BB696))=0</formula>
    </cfRule>
  </conditionalFormatting>
  <conditionalFormatting sqref="Y696:AK696 AT696:AZ696">
    <cfRule type="containsBlanks" dxfId="919" priority="510">
      <formula>LEN(TRIM(Y696))=0</formula>
    </cfRule>
  </conditionalFormatting>
  <conditionalFormatting sqref="E696">
    <cfRule type="containsBlanks" dxfId="918" priority="509">
      <formula>LEN(TRIM(E696))=0</formula>
    </cfRule>
  </conditionalFormatting>
  <conditionalFormatting sqref="AN696:AS696">
    <cfRule type="containsBlanks" dxfId="917" priority="508">
      <formula>LEN(TRIM(AN696))=0</formula>
    </cfRule>
  </conditionalFormatting>
  <conditionalFormatting sqref="AN695:AS695">
    <cfRule type="containsBlanks" dxfId="916" priority="507">
      <formula>LEN(TRIM(AN695))=0</formula>
    </cfRule>
  </conditionalFormatting>
  <conditionalFormatting sqref="AN694:AS694">
    <cfRule type="containsBlanks" dxfId="915" priority="506">
      <formula>LEN(TRIM(AN694))=0</formula>
    </cfRule>
  </conditionalFormatting>
  <conditionalFormatting sqref="BA694">
    <cfRule type="containsBlanks" dxfId="914" priority="505">
      <formula>LEN(TRIM(BA694))=0</formula>
    </cfRule>
  </conditionalFormatting>
  <conditionalFormatting sqref="BA695">
    <cfRule type="containsBlanks" dxfId="913" priority="504">
      <formula>LEN(TRIM(BA695))=0</formula>
    </cfRule>
  </conditionalFormatting>
  <conditionalFormatting sqref="BA696">
    <cfRule type="containsBlanks" dxfId="912" priority="503">
      <formula>LEN(TRIM(BA696))=0</formula>
    </cfRule>
  </conditionalFormatting>
  <conditionalFormatting sqref="BC280:BC283">
    <cfRule type="containsBlanks" dxfId="911" priority="502">
      <formula>LEN(TRIM(BC280))=0</formula>
    </cfRule>
  </conditionalFormatting>
  <conditionalFormatting sqref="BA280">
    <cfRule type="containsBlanks" dxfId="910" priority="501">
      <formula>LEN(TRIM(BA280))=0</formula>
    </cfRule>
  </conditionalFormatting>
  <conditionalFormatting sqref="B697:H697 J697:BA697 BC697">
    <cfRule type="containsBlanks" dxfId="909" priority="494">
      <formula>LEN(TRIM(B697))=0</formula>
    </cfRule>
  </conditionalFormatting>
  <conditionalFormatting sqref="I697">
    <cfRule type="containsBlanks" dxfId="908" priority="493">
      <formula>LEN(TRIM(I697))=0</formula>
    </cfRule>
  </conditionalFormatting>
  <conditionalFormatting sqref="A697">
    <cfRule type="containsBlanks" dxfId="907" priority="492">
      <formula>LEN(TRIM(A697))=0</formula>
    </cfRule>
  </conditionalFormatting>
  <conditionalFormatting sqref="C698:BC698">
    <cfRule type="containsBlanks" dxfId="906" priority="474">
      <formula>LEN(TRIM(C698))=0</formula>
    </cfRule>
  </conditionalFormatting>
  <conditionalFormatting sqref="B699:BC699">
    <cfRule type="containsBlanks" dxfId="905" priority="472">
      <formula>LEN(TRIM(B699))=0</formula>
    </cfRule>
  </conditionalFormatting>
  <conditionalFormatting sqref="B700:BC700">
    <cfRule type="containsBlanks" dxfId="904" priority="471">
      <formula>LEN(TRIM(B700))=0</formula>
    </cfRule>
  </conditionalFormatting>
  <conditionalFormatting sqref="B701:BC701">
    <cfRule type="containsBlanks" dxfId="903" priority="470">
      <formula>LEN(TRIM(B701))=0</formula>
    </cfRule>
  </conditionalFormatting>
  <conditionalFormatting sqref="B702:BC702">
    <cfRule type="containsBlanks" dxfId="902" priority="469">
      <formula>LEN(TRIM(B702))=0</formula>
    </cfRule>
  </conditionalFormatting>
  <conditionalFormatting sqref="B703:BC703">
    <cfRule type="containsBlanks" dxfId="901" priority="467">
      <formula>LEN(TRIM(B703))=0</formula>
    </cfRule>
  </conditionalFormatting>
  <conditionalFormatting sqref="B704:BC704">
    <cfRule type="containsBlanks" dxfId="900" priority="466">
      <formula>LEN(TRIM(B704))=0</formula>
    </cfRule>
  </conditionalFormatting>
  <conditionalFormatting sqref="B705:BC705">
    <cfRule type="containsBlanks" dxfId="899" priority="453">
      <formula>LEN(TRIM(B705))=0</formula>
    </cfRule>
  </conditionalFormatting>
  <conditionalFormatting sqref="B706:BC706 AN707:BA707">
    <cfRule type="containsBlanks" dxfId="898" priority="452">
      <formula>LEN(TRIM(B706))=0</formula>
    </cfRule>
  </conditionalFormatting>
  <conditionalFormatting sqref="B610">
    <cfRule type="containsBlanks" dxfId="897" priority="450">
      <formula>LEN(TRIM(B610))=0</formula>
    </cfRule>
  </conditionalFormatting>
  <conditionalFormatting sqref="B611">
    <cfRule type="containsBlanks" dxfId="896" priority="449">
      <formula>LEN(TRIM(B611))=0</formula>
    </cfRule>
  </conditionalFormatting>
  <conditionalFormatting sqref="BB697">
    <cfRule type="containsBlanks" dxfId="895" priority="448">
      <formula>LEN(TRIM(BB697))=0</formula>
    </cfRule>
  </conditionalFormatting>
  <conditionalFormatting sqref="B46:AM46 AP46:AQ46 AT46:BC46">
    <cfRule type="containsBlanks" dxfId="894" priority="447">
      <formula>LEN(TRIM(B46))=0</formula>
    </cfRule>
  </conditionalFormatting>
  <conditionalFormatting sqref="A46">
    <cfRule type="containsBlanks" dxfId="893" priority="446">
      <formula>LEN(TRIM(A46))=0</formula>
    </cfRule>
  </conditionalFormatting>
  <conditionalFormatting sqref="AH46">
    <cfRule type="containsBlanks" dxfId="892" priority="445">
      <formula>LEN(TRIM(AH46))=0</formula>
    </cfRule>
  </conditionalFormatting>
  <conditionalFormatting sqref="AR46:AS46">
    <cfRule type="containsBlanks" dxfId="891" priority="444">
      <formula>LEN(TRIM(AR46))=0</formula>
    </cfRule>
  </conditionalFormatting>
  <conditionalFormatting sqref="B229:AK229 AO229:AQ229 AT229:AW229">
    <cfRule type="containsBlanks" dxfId="890" priority="441">
      <formula>LEN(TRIM(B229))=0</formula>
    </cfRule>
  </conditionalFormatting>
  <conditionalFormatting sqref="AX229:BC229">
    <cfRule type="containsBlanks" dxfId="889" priority="440">
      <formula>LEN(TRIM(AX229))=0</formula>
    </cfRule>
  </conditionalFormatting>
  <conditionalFormatting sqref="A229">
    <cfRule type="containsBlanks" dxfId="888" priority="439">
      <formula>LEN(TRIM(A229))=0</formula>
    </cfRule>
  </conditionalFormatting>
  <conditionalFormatting sqref="AL229:AN229">
    <cfRule type="containsBlanks" dxfId="887" priority="438">
      <formula>LEN(TRIM(AL229))=0</formula>
    </cfRule>
  </conditionalFormatting>
  <conditionalFormatting sqref="J234:AK234 AP234:AQ234 AT234:AW234">
    <cfRule type="containsBlanks" dxfId="886" priority="437">
      <formula>LEN(TRIM(J234))=0</formula>
    </cfRule>
  </conditionalFormatting>
  <conditionalFormatting sqref="B234:H234 AX234:BC234">
    <cfRule type="containsBlanks" dxfId="885" priority="436">
      <formula>LEN(TRIM(B234))=0</formula>
    </cfRule>
  </conditionalFormatting>
  <conditionalFormatting sqref="I234">
    <cfRule type="containsBlanks" dxfId="884" priority="435">
      <formula>LEN(TRIM(I234))=0</formula>
    </cfRule>
  </conditionalFormatting>
  <conditionalFormatting sqref="A234">
    <cfRule type="containsBlanks" dxfId="883" priority="434">
      <formula>LEN(TRIM(A234))=0</formula>
    </cfRule>
  </conditionalFormatting>
  <conditionalFormatting sqref="AM234">
    <cfRule type="containsBlanks" dxfId="882" priority="433">
      <formula>LEN(TRIM(AM234))=0</formula>
    </cfRule>
  </conditionalFormatting>
  <conditionalFormatting sqref="AL234">
    <cfRule type="containsBlanks" dxfId="881" priority="432">
      <formula>LEN(TRIM(AL234))=0</formula>
    </cfRule>
  </conditionalFormatting>
  <conditionalFormatting sqref="AN236">
    <cfRule type="containsBlanks" dxfId="880" priority="431">
      <formula>LEN(TRIM(AN236))=0</formula>
    </cfRule>
  </conditionalFormatting>
  <conditionalFormatting sqref="AM236">
    <cfRule type="containsBlanks" dxfId="879" priority="430">
      <formula>LEN(TRIM(AM236))=0</formula>
    </cfRule>
  </conditionalFormatting>
  <conditionalFormatting sqref="AL236">
    <cfRule type="containsBlanks" dxfId="878" priority="429">
      <formula>LEN(TRIM(AL236))=0</formula>
    </cfRule>
  </conditionalFormatting>
  <conditionalFormatting sqref="AN237">
    <cfRule type="containsBlanks" dxfId="877" priority="428">
      <formula>LEN(TRIM(AN237))=0</formula>
    </cfRule>
  </conditionalFormatting>
  <conditionalFormatting sqref="AM237">
    <cfRule type="containsBlanks" dxfId="876" priority="427">
      <formula>LEN(TRIM(AM237))=0</formula>
    </cfRule>
  </conditionalFormatting>
  <conditionalFormatting sqref="AL237">
    <cfRule type="containsBlanks" dxfId="875" priority="426">
      <formula>LEN(TRIM(AL237))=0</formula>
    </cfRule>
  </conditionalFormatting>
  <conditionalFormatting sqref="AO238:AO239">
    <cfRule type="containsBlanks" dxfId="874" priority="425">
      <formula>LEN(TRIM(AO238))=0</formula>
    </cfRule>
  </conditionalFormatting>
  <conditionalFormatting sqref="AN238">
    <cfRule type="containsBlanks" dxfId="873" priority="424">
      <formula>LEN(TRIM(AN238))=0</formula>
    </cfRule>
  </conditionalFormatting>
  <conditionalFormatting sqref="AM238">
    <cfRule type="containsBlanks" dxfId="872" priority="423">
      <formula>LEN(TRIM(AM238))=0</formula>
    </cfRule>
  </conditionalFormatting>
  <conditionalFormatting sqref="AL238">
    <cfRule type="containsBlanks" dxfId="871" priority="422">
      <formula>LEN(TRIM(AL238))=0</formula>
    </cfRule>
  </conditionalFormatting>
  <conditionalFormatting sqref="B239:H239 J239:AK239 AP239:AQ239 AT239:BC239">
    <cfRule type="containsBlanks" dxfId="870" priority="421">
      <formula>LEN(TRIM(B239))=0</formula>
    </cfRule>
  </conditionalFormatting>
  <conditionalFormatting sqref="I239">
    <cfRule type="containsBlanks" dxfId="869" priority="420">
      <formula>LEN(TRIM(I239))=0</formula>
    </cfRule>
  </conditionalFormatting>
  <conditionalFormatting sqref="A239">
    <cfRule type="containsBlanks" dxfId="868" priority="419">
      <formula>LEN(TRIM(A239))=0</formula>
    </cfRule>
  </conditionalFormatting>
  <conditionalFormatting sqref="AN239">
    <cfRule type="containsBlanks" dxfId="867" priority="418">
      <formula>LEN(TRIM(AN239))=0</formula>
    </cfRule>
  </conditionalFormatting>
  <conditionalFormatting sqref="AM239">
    <cfRule type="containsBlanks" dxfId="866" priority="417">
      <formula>LEN(TRIM(AM239))=0</formula>
    </cfRule>
  </conditionalFormatting>
  <conditionalFormatting sqref="AL239">
    <cfRule type="containsBlanks" dxfId="865" priority="416">
      <formula>LEN(TRIM(AL239))=0</formula>
    </cfRule>
  </conditionalFormatting>
  <conditionalFormatting sqref="AN241">
    <cfRule type="containsBlanks" dxfId="864" priority="415">
      <formula>LEN(TRIM(AN241))=0</formula>
    </cfRule>
  </conditionalFormatting>
  <conditionalFormatting sqref="AM241">
    <cfRule type="containsBlanks" dxfId="863" priority="414">
      <formula>LEN(TRIM(AM241))=0</formula>
    </cfRule>
  </conditionalFormatting>
  <conditionalFormatting sqref="AL241">
    <cfRule type="containsBlanks" dxfId="862" priority="413">
      <formula>LEN(TRIM(AL241))=0</formula>
    </cfRule>
  </conditionalFormatting>
  <conditionalFormatting sqref="AN242">
    <cfRule type="containsBlanks" dxfId="861" priority="412">
      <formula>LEN(TRIM(AN242))=0</formula>
    </cfRule>
  </conditionalFormatting>
  <conditionalFormatting sqref="AM242">
    <cfRule type="containsBlanks" dxfId="860" priority="411">
      <formula>LEN(TRIM(AM242))=0</formula>
    </cfRule>
  </conditionalFormatting>
  <conditionalFormatting sqref="AL242">
    <cfRule type="containsBlanks" dxfId="859" priority="410">
      <formula>LEN(TRIM(AL242))=0</formula>
    </cfRule>
  </conditionalFormatting>
  <conditionalFormatting sqref="AN243:AN244">
    <cfRule type="containsBlanks" dxfId="858" priority="409">
      <formula>LEN(TRIM(AN243))=0</formula>
    </cfRule>
  </conditionalFormatting>
  <conditionalFormatting sqref="AM243:AM244">
    <cfRule type="containsBlanks" dxfId="857" priority="408">
      <formula>LEN(TRIM(AM243))=0</formula>
    </cfRule>
  </conditionalFormatting>
  <conditionalFormatting sqref="AL243:AL244">
    <cfRule type="containsBlanks" dxfId="856" priority="407">
      <formula>LEN(TRIM(AL243))=0</formula>
    </cfRule>
  </conditionalFormatting>
  <conditionalFormatting sqref="B244:AK244 AP244:AQ244 AT244:AW244">
    <cfRule type="containsBlanks" dxfId="855" priority="406">
      <formula>LEN(TRIM(B244))=0</formula>
    </cfRule>
  </conditionalFormatting>
  <conditionalFormatting sqref="AX244:BC244">
    <cfRule type="containsBlanks" dxfId="854" priority="405">
      <formula>LEN(TRIM(AX244))=0</formula>
    </cfRule>
  </conditionalFormatting>
  <conditionalFormatting sqref="A244">
    <cfRule type="containsBlanks" dxfId="853" priority="404">
      <formula>LEN(TRIM(A244))=0</formula>
    </cfRule>
  </conditionalFormatting>
  <conditionalFormatting sqref="AO273">
    <cfRule type="containsBlanks" dxfId="852" priority="403">
      <formula>LEN(TRIM(AO273))=0</formula>
    </cfRule>
  </conditionalFormatting>
  <conditionalFormatting sqref="AN273">
    <cfRule type="containsBlanks" dxfId="851" priority="402">
      <formula>LEN(TRIM(AN273))=0</formula>
    </cfRule>
  </conditionalFormatting>
  <conditionalFormatting sqref="AM273">
    <cfRule type="containsBlanks" dxfId="850" priority="401">
      <formula>LEN(TRIM(AM273))=0</formula>
    </cfRule>
  </conditionalFormatting>
  <conditionalFormatting sqref="AO274">
    <cfRule type="containsBlanks" dxfId="849" priority="400">
      <formula>LEN(TRIM(AO274))=0</formula>
    </cfRule>
  </conditionalFormatting>
  <conditionalFormatting sqref="AN274">
    <cfRule type="containsBlanks" dxfId="848" priority="399">
      <formula>LEN(TRIM(AN274))=0</formula>
    </cfRule>
  </conditionalFormatting>
  <conditionalFormatting sqref="AM274">
    <cfRule type="containsBlanks" dxfId="847" priority="398">
      <formula>LEN(TRIM(AM274))=0</formula>
    </cfRule>
  </conditionalFormatting>
  <conditionalFormatting sqref="AO275">
    <cfRule type="containsBlanks" dxfId="846" priority="397">
      <formula>LEN(TRIM(AO275))=0</formula>
    </cfRule>
  </conditionalFormatting>
  <conditionalFormatting sqref="AN275">
    <cfRule type="containsBlanks" dxfId="845" priority="396">
      <formula>LEN(TRIM(AN275))=0</formula>
    </cfRule>
  </conditionalFormatting>
  <conditionalFormatting sqref="AM275">
    <cfRule type="containsBlanks" dxfId="844" priority="395">
      <formula>LEN(TRIM(AM275))=0</formula>
    </cfRule>
  </conditionalFormatting>
  <conditionalFormatting sqref="AL273">
    <cfRule type="containsBlanks" dxfId="843" priority="394">
      <formula>LEN(TRIM(AL273))=0</formula>
    </cfRule>
  </conditionalFormatting>
  <conditionalFormatting sqref="AL274">
    <cfRule type="containsBlanks" dxfId="842" priority="393">
      <formula>LEN(TRIM(AL274))=0</formula>
    </cfRule>
  </conditionalFormatting>
  <conditionalFormatting sqref="AL275">
    <cfRule type="containsBlanks" dxfId="841" priority="392">
      <formula>LEN(TRIM(AL275))=0</formula>
    </cfRule>
  </conditionalFormatting>
  <conditionalFormatting sqref="AL276">
    <cfRule type="containsBlanks" dxfId="840" priority="391">
      <formula>LEN(TRIM(AL276))=0</formula>
    </cfRule>
  </conditionalFormatting>
  <conditionalFormatting sqref="AM276">
    <cfRule type="containsBlanks" dxfId="839" priority="390">
      <formula>LEN(TRIM(AM276))=0</formula>
    </cfRule>
  </conditionalFormatting>
  <conditionalFormatting sqref="AN276:AN278">
    <cfRule type="containsBlanks" dxfId="838" priority="389">
      <formula>LEN(TRIM(AN276))=0</formula>
    </cfRule>
  </conditionalFormatting>
  <conditionalFormatting sqref="AO276">
    <cfRule type="containsBlanks" dxfId="837" priority="388">
      <formula>LEN(TRIM(AO276))=0</formula>
    </cfRule>
  </conditionalFormatting>
  <conditionalFormatting sqref="AT277:BC277 B277:AM277">
    <cfRule type="containsBlanks" dxfId="836" priority="387">
      <formula>LEN(TRIM(B277))=0</formula>
    </cfRule>
  </conditionalFormatting>
  <conditionalFormatting sqref="A277">
    <cfRule type="containsBlanks" dxfId="835" priority="386">
      <formula>LEN(TRIM(A277))=0</formula>
    </cfRule>
  </conditionalFormatting>
  <conditionalFormatting sqref="AH277">
    <cfRule type="containsBlanks" dxfId="834" priority="385">
      <formula>LEN(TRIM(AH277))=0</formula>
    </cfRule>
  </conditionalFormatting>
  <conditionalFormatting sqref="AR244:AS244">
    <cfRule type="containsBlanks" dxfId="833" priority="384">
      <formula>LEN(TRIM(AR244))=0</formula>
    </cfRule>
  </conditionalFormatting>
  <conditionalFormatting sqref="AR239:AS239">
    <cfRule type="containsBlanks" dxfId="832" priority="383">
      <formula>LEN(TRIM(AR239))=0</formula>
    </cfRule>
  </conditionalFormatting>
  <conditionalFormatting sqref="AR234:AS234">
    <cfRule type="containsBlanks" dxfId="831" priority="382">
      <formula>LEN(TRIM(AR234))=0</formula>
    </cfRule>
  </conditionalFormatting>
  <conditionalFormatting sqref="AR229:AS229">
    <cfRule type="containsBlanks" dxfId="830" priority="381">
      <formula>LEN(TRIM(AR229))=0</formula>
    </cfRule>
  </conditionalFormatting>
  <conditionalFormatting sqref="AS277">
    <cfRule type="containsBlanks" dxfId="829" priority="380">
      <formula>LEN(TRIM(AS277))=0</formula>
    </cfRule>
  </conditionalFormatting>
  <conditionalFormatting sqref="H707 Y707:AK707 J707:V707">
    <cfRule type="containsBlanks" dxfId="828" priority="379">
      <formula>LEN(TRIM(H707))=0</formula>
    </cfRule>
  </conditionalFormatting>
  <conditionalFormatting sqref="W707">
    <cfRule type="containsBlanks" dxfId="827" priority="378">
      <formula>LEN(TRIM(W707))=0</formula>
    </cfRule>
  </conditionalFormatting>
  <conditionalFormatting sqref="X707">
    <cfRule type="containsBlanks" dxfId="826" priority="377">
      <formula>LEN(TRIM(X707))=0</formula>
    </cfRule>
  </conditionalFormatting>
  <conditionalFormatting sqref="BB710:BC710 P709:R709 S708:V709 B708:E710 AN708:AR709 H708:L708 I709:I710 N708:R708 AT708:BC709 AB708:AC708 AE708:AK709 AB709 AC709:AC710 Z708:Z710">
    <cfRule type="containsBlanks" dxfId="825" priority="376">
      <formula>LEN(TRIM(B708))=0</formula>
    </cfRule>
  </conditionalFormatting>
  <conditionalFormatting sqref="A708:A709">
    <cfRule type="containsBlanks" dxfId="824" priority="375">
      <formula>LEN(TRIM(A708))=0</formula>
    </cfRule>
  </conditionalFormatting>
  <conditionalFormatting sqref="H709 J709:L709 N709:O709">
    <cfRule type="containsBlanks" dxfId="823" priority="374">
      <formula>LEN(TRIM(H709))=0</formula>
    </cfRule>
  </conditionalFormatting>
  <conditionalFormatting sqref="AN710:AR710 AT710:BA710 AS708:AS710 AS749:AS750">
    <cfRule type="containsBlanks" dxfId="822" priority="373">
      <formula>LEN(TRIM(AN708))=0</formula>
    </cfRule>
  </conditionalFormatting>
  <conditionalFormatting sqref="H710 J710:V710 M749 M708:M709 V749:V750 AB710 AD749:AD750 AE710:AK710 AD708:AD710">
    <cfRule type="containsBlanks" dxfId="821" priority="372">
      <formula>LEN(TRIM(H708))=0</formula>
    </cfRule>
  </conditionalFormatting>
  <conditionalFormatting sqref="C717 E717 Y717:AK717 H717:V717 AN716:BC717 B716:AC716 AE716:AL716 C715:BC715 J714:AK714 AU714:AW714 B711:BC713 AS718">
    <cfRule type="containsBlanks" dxfId="820" priority="365">
      <formula>LEN(TRIM(B711))=0</formula>
    </cfRule>
  </conditionalFormatting>
  <conditionalFormatting sqref="A711:A716">
    <cfRule type="containsBlanks" dxfId="819" priority="364">
      <formula>LEN(TRIM(A711))=0</formula>
    </cfRule>
  </conditionalFormatting>
  <conditionalFormatting sqref="B714:H714 AX714:BC714">
    <cfRule type="containsBlanks" dxfId="818" priority="363">
      <formula>LEN(TRIM(B714))=0</formula>
    </cfRule>
  </conditionalFormatting>
  <conditionalFormatting sqref="I714">
    <cfRule type="containsBlanks" dxfId="817" priority="362">
      <formula>LEN(TRIM(I714))=0</formula>
    </cfRule>
  </conditionalFormatting>
  <conditionalFormatting sqref="AT714">
    <cfRule type="containsBlanks" dxfId="816" priority="361">
      <formula>LEN(TRIM(AT714))=0</formula>
    </cfRule>
  </conditionalFormatting>
  <conditionalFormatting sqref="AN714:AS714">
    <cfRule type="containsBlanks" dxfId="815" priority="360">
      <formula>LEN(TRIM(AN714))=0</formula>
    </cfRule>
  </conditionalFormatting>
  <conditionalFormatting sqref="AL714:AM714">
    <cfRule type="containsBlanks" dxfId="814" priority="359">
      <formula>LEN(TRIM(AL714))=0</formula>
    </cfRule>
  </conditionalFormatting>
  <conditionalFormatting sqref="B715">
    <cfRule type="containsBlanks" dxfId="813" priority="358">
      <formula>LEN(TRIM(B715))=0</formula>
    </cfRule>
  </conditionalFormatting>
  <conditionalFormatting sqref="AD716">
    <cfRule type="containsBlanks" dxfId="812" priority="357">
      <formula>LEN(TRIM(AD716))=0</formula>
    </cfRule>
  </conditionalFormatting>
  <conditionalFormatting sqref="AM716">
    <cfRule type="containsBlanks" dxfId="811" priority="356">
      <formula>LEN(TRIM(AM716))=0</formula>
    </cfRule>
  </conditionalFormatting>
  <conditionalFormatting sqref="AM717">
    <cfRule type="containsBlanks" dxfId="810" priority="342">
      <formula>LEN(TRIM(AM717))=0</formula>
    </cfRule>
  </conditionalFormatting>
  <conditionalFormatting sqref="AM717">
    <cfRule type="containsBlanks" dxfId="809" priority="343">
      <formula>LEN(TRIM(AM717))=0</formula>
    </cfRule>
  </conditionalFormatting>
  <conditionalFormatting sqref="D717">
    <cfRule type="containsBlanks" dxfId="808" priority="355">
      <formula>LEN(TRIM(D717))=0</formula>
    </cfRule>
  </conditionalFormatting>
  <conditionalFormatting sqref="D717">
    <cfRule type="containsBlanks" dxfId="807" priority="354">
      <formula>LEN(TRIM(D717))=0</formula>
    </cfRule>
  </conditionalFormatting>
  <conditionalFormatting sqref="F717">
    <cfRule type="containsBlanks" dxfId="806" priority="353">
      <formula>LEN(TRIM(F717))=0</formula>
    </cfRule>
  </conditionalFormatting>
  <conditionalFormatting sqref="F717">
    <cfRule type="containsBlanks" dxfId="805" priority="352">
      <formula>LEN(TRIM(F717))=0</formula>
    </cfRule>
  </conditionalFormatting>
  <conditionalFormatting sqref="G717">
    <cfRule type="containsBlanks" dxfId="804" priority="351">
      <formula>LEN(TRIM(G717))=0</formula>
    </cfRule>
  </conditionalFormatting>
  <conditionalFormatting sqref="G717">
    <cfRule type="containsBlanks" dxfId="803" priority="350">
      <formula>LEN(TRIM(G717))=0</formula>
    </cfRule>
  </conditionalFormatting>
  <conditionalFormatting sqref="W717">
    <cfRule type="containsBlanks" dxfId="802" priority="349">
      <formula>LEN(TRIM(W717))=0</formula>
    </cfRule>
  </conditionalFormatting>
  <conditionalFormatting sqref="W717">
    <cfRule type="containsBlanks" dxfId="801" priority="348">
      <formula>LEN(TRIM(W717))=0</formula>
    </cfRule>
  </conditionalFormatting>
  <conditionalFormatting sqref="X717">
    <cfRule type="containsBlanks" dxfId="800" priority="347">
      <formula>LEN(TRIM(X717))=0</formula>
    </cfRule>
  </conditionalFormatting>
  <conditionalFormatting sqref="X717">
    <cfRule type="containsBlanks" dxfId="799" priority="346">
      <formula>LEN(TRIM(X717))=0</formula>
    </cfRule>
  </conditionalFormatting>
  <conditionalFormatting sqref="AL717">
    <cfRule type="containsBlanks" dxfId="798" priority="345">
      <formula>LEN(TRIM(AL717))=0</formula>
    </cfRule>
  </conditionalFormatting>
  <conditionalFormatting sqref="AL717">
    <cfRule type="containsBlanks" dxfId="797" priority="344">
      <formula>LEN(TRIM(AL717))=0</formula>
    </cfRule>
  </conditionalFormatting>
  <conditionalFormatting sqref="A717">
    <cfRule type="containsBlanks" dxfId="796" priority="341">
      <formula>LEN(TRIM(A717))=0</formula>
    </cfRule>
  </conditionalFormatting>
  <conditionalFormatting sqref="B717">
    <cfRule type="containsBlanks" dxfId="795" priority="340">
      <formula>LEN(TRIM(B717))=0</formula>
    </cfRule>
  </conditionalFormatting>
  <conditionalFormatting sqref="B724:BC724 C722 E722 H722:V722 Y722:AK722 BA722:BC722 AN722:AY722 B719:BC721 B718:AR718 AT718:BC718">
    <cfRule type="containsBlanks" dxfId="794" priority="339">
      <formula>LEN(TRIM(B718))=0</formula>
    </cfRule>
  </conditionalFormatting>
  <conditionalFormatting sqref="A720:A722 A718">
    <cfRule type="containsBlanks" dxfId="793" priority="338">
      <formula>LEN(TRIM(A718))=0</formula>
    </cfRule>
  </conditionalFormatting>
  <conditionalFormatting sqref="A719">
    <cfRule type="containsBlanks" dxfId="792" priority="337">
      <formula>LEN(TRIM(A719))=0</formula>
    </cfRule>
  </conditionalFormatting>
  <conditionalFormatting sqref="B722">
    <cfRule type="containsBlanks" dxfId="791" priority="336">
      <formula>LEN(TRIM(B722))=0</formula>
    </cfRule>
  </conditionalFormatting>
  <conditionalFormatting sqref="AM722">
    <cfRule type="containsBlanks" dxfId="790" priority="330">
      <formula>LEN(TRIM(AM722))=0</formula>
    </cfRule>
  </conditionalFormatting>
  <conditionalFormatting sqref="D722">
    <cfRule type="containsBlanks" dxfId="789" priority="335">
      <formula>LEN(TRIM(D722))=0</formula>
    </cfRule>
  </conditionalFormatting>
  <conditionalFormatting sqref="F722:G722">
    <cfRule type="containsBlanks" dxfId="788" priority="334">
      <formula>LEN(TRIM(F722))=0</formula>
    </cfRule>
  </conditionalFormatting>
  <conditionalFormatting sqref="W722">
    <cfRule type="containsBlanks" dxfId="787" priority="333">
      <formula>LEN(TRIM(W722))=0</formula>
    </cfRule>
  </conditionalFormatting>
  <conditionalFormatting sqref="X722">
    <cfRule type="containsBlanks" dxfId="786" priority="332">
      <formula>LEN(TRIM(X722))=0</formula>
    </cfRule>
  </conditionalFormatting>
  <conditionalFormatting sqref="AL722">
    <cfRule type="containsBlanks" dxfId="785" priority="331">
      <formula>LEN(TRIM(AL722))=0</formula>
    </cfRule>
  </conditionalFormatting>
  <conditionalFormatting sqref="AZ722">
    <cfRule type="containsBlanks" dxfId="784" priority="329">
      <formula>LEN(TRIM(AZ722))=0</formula>
    </cfRule>
  </conditionalFormatting>
  <conditionalFormatting sqref="A723">
    <cfRule type="containsBlanks" dxfId="783" priority="327">
      <formula>LEN(TRIM(A723))=0</formula>
    </cfRule>
  </conditionalFormatting>
  <conditionalFormatting sqref="B723:AC723 AE723:BC723">
    <cfRule type="containsBlanks" dxfId="782" priority="328">
      <formula>LEN(TRIM(B723))=0</formula>
    </cfRule>
  </conditionalFormatting>
  <conditionalFormatting sqref="AD723">
    <cfRule type="containsBlanks" dxfId="781" priority="326">
      <formula>LEN(TRIM(AD723))=0</formula>
    </cfRule>
  </conditionalFormatting>
  <conditionalFormatting sqref="A724">
    <cfRule type="containsBlanks" dxfId="780" priority="325">
      <formula>LEN(TRIM(A724))=0</formula>
    </cfRule>
  </conditionalFormatting>
  <conditionalFormatting sqref="B729:G729 P729:BC729 B726:BC728 M725:Y725 AE725:AW725 B730:BC730">
    <cfRule type="containsBlanks" dxfId="779" priority="324">
      <formula>LEN(TRIM(B725))=0</formula>
    </cfRule>
  </conditionalFormatting>
  <conditionalFormatting sqref="B725:G725 AB725 AX725:BC725">
    <cfRule type="containsBlanks" dxfId="778" priority="323">
      <formula>LEN(TRIM(B725))=0</formula>
    </cfRule>
  </conditionalFormatting>
  <conditionalFormatting sqref="AD725:AK725">
    <cfRule type="containsBlanks" dxfId="777" priority="320">
      <formula>LEN(TRIM(AD725))=0</formula>
    </cfRule>
  </conditionalFormatting>
  <conditionalFormatting sqref="AA725">
    <cfRule type="containsBlanks" dxfId="776" priority="319">
      <formula>LEN(TRIM(AA725))=0</formula>
    </cfRule>
  </conditionalFormatting>
  <conditionalFormatting sqref="AC725">
    <cfRule type="containsBlanks" dxfId="775" priority="322">
      <formula>LEN(TRIM(AC725))=0</formula>
    </cfRule>
  </conditionalFormatting>
  <conditionalFormatting sqref="Z725">
    <cfRule type="containsBlanks" dxfId="774" priority="321">
      <formula>LEN(TRIM(Z725))=0</formula>
    </cfRule>
  </conditionalFormatting>
  <conditionalFormatting sqref="H725:L725">
    <cfRule type="containsBlanks" dxfId="773" priority="318">
      <formula>LEN(TRIM(H725))=0</formula>
    </cfRule>
  </conditionalFormatting>
  <conditionalFormatting sqref="A725:A727">
    <cfRule type="containsBlanks" dxfId="772" priority="317">
      <formula>LEN(TRIM(A725))=0</formula>
    </cfRule>
  </conditionalFormatting>
  <conditionalFormatting sqref="AH727">
    <cfRule type="containsBlanks" dxfId="771" priority="316">
      <formula>LEN(TRIM(AH727))=0</formula>
    </cfRule>
  </conditionalFormatting>
  <conditionalFormatting sqref="A728">
    <cfRule type="containsBlanks" dxfId="770" priority="315">
      <formula>LEN(TRIM(A728))=0</formula>
    </cfRule>
  </conditionalFormatting>
  <conditionalFormatting sqref="H729 J729:O729">
    <cfRule type="containsBlanks" dxfId="769" priority="314">
      <formula>LEN(TRIM(H729))=0</formula>
    </cfRule>
  </conditionalFormatting>
  <conditionalFormatting sqref="I729">
    <cfRule type="containsBlanks" dxfId="768" priority="313">
      <formula>LEN(TRIM(I729))=0</formula>
    </cfRule>
  </conditionalFormatting>
  <conditionalFormatting sqref="A729:A730">
    <cfRule type="containsBlanks" dxfId="767" priority="312">
      <formula>LEN(TRIM(A729))=0</formula>
    </cfRule>
  </conditionalFormatting>
  <conditionalFormatting sqref="AH729">
    <cfRule type="containsBlanks" dxfId="766" priority="311">
      <formula>LEN(TRIM(AH729))=0</formula>
    </cfRule>
  </conditionalFormatting>
  <conditionalFormatting sqref="B735:G735 P735:BC735 B732:BC734 M731:Y731 AE731:AW731 B736:BC736">
    <cfRule type="containsBlanks" dxfId="765" priority="310">
      <formula>LEN(TRIM(B731))=0</formula>
    </cfRule>
  </conditionalFormatting>
  <conditionalFormatting sqref="B731:G731 AB731 AX731:BC731">
    <cfRule type="containsBlanks" dxfId="764" priority="309">
      <formula>LEN(TRIM(B731))=0</formula>
    </cfRule>
  </conditionalFormatting>
  <conditionalFormatting sqref="AD731:AK731">
    <cfRule type="containsBlanks" dxfId="763" priority="306">
      <formula>LEN(TRIM(AD731))=0</formula>
    </cfRule>
  </conditionalFormatting>
  <conditionalFormatting sqref="AA731">
    <cfRule type="containsBlanks" dxfId="762" priority="305">
      <formula>LEN(TRIM(AA731))=0</formula>
    </cfRule>
  </conditionalFormatting>
  <conditionalFormatting sqref="AC731">
    <cfRule type="containsBlanks" dxfId="761" priority="308">
      <formula>LEN(TRIM(AC731))=0</formula>
    </cfRule>
  </conditionalFormatting>
  <conditionalFormatting sqref="Z731">
    <cfRule type="containsBlanks" dxfId="760" priority="307">
      <formula>LEN(TRIM(Z731))=0</formula>
    </cfRule>
  </conditionalFormatting>
  <conditionalFormatting sqref="H731:L731">
    <cfRule type="containsBlanks" dxfId="759" priority="304">
      <formula>LEN(TRIM(H731))=0</formula>
    </cfRule>
  </conditionalFormatting>
  <conditionalFormatting sqref="A731:A733">
    <cfRule type="containsBlanks" dxfId="758" priority="303">
      <formula>LEN(TRIM(A731))=0</formula>
    </cfRule>
  </conditionalFormatting>
  <conditionalFormatting sqref="AH733">
    <cfRule type="containsBlanks" dxfId="757" priority="302">
      <formula>LEN(TRIM(AH733))=0</formula>
    </cfRule>
  </conditionalFormatting>
  <conditionalFormatting sqref="A734">
    <cfRule type="containsBlanks" dxfId="756" priority="301">
      <formula>LEN(TRIM(A734))=0</formula>
    </cfRule>
  </conditionalFormatting>
  <conditionalFormatting sqref="H735 J735:O735">
    <cfRule type="containsBlanks" dxfId="755" priority="300">
      <formula>LEN(TRIM(H735))=0</formula>
    </cfRule>
  </conditionalFormatting>
  <conditionalFormatting sqref="I735">
    <cfRule type="containsBlanks" dxfId="754" priority="299">
      <formula>LEN(TRIM(I735))=0</formula>
    </cfRule>
  </conditionalFormatting>
  <conditionalFormatting sqref="A735:A736">
    <cfRule type="containsBlanks" dxfId="753" priority="298">
      <formula>LEN(TRIM(A735))=0</formula>
    </cfRule>
  </conditionalFormatting>
  <conditionalFormatting sqref="AH735">
    <cfRule type="containsBlanks" dxfId="752" priority="297">
      <formula>LEN(TRIM(AH735))=0</formula>
    </cfRule>
  </conditionalFormatting>
  <conditionalFormatting sqref="B742:AR742 B741:G741 P741:BC741 B738:BC740 M737:Y737 AE737:AW737 AT742:BC742">
    <cfRule type="containsBlanks" dxfId="751" priority="296">
      <formula>LEN(TRIM(B737))=0</formula>
    </cfRule>
  </conditionalFormatting>
  <conditionalFormatting sqref="B737:G737 AB737 AX737:BC737">
    <cfRule type="containsBlanks" dxfId="750" priority="295">
      <formula>LEN(TRIM(B737))=0</formula>
    </cfRule>
  </conditionalFormatting>
  <conditionalFormatting sqref="AD737:AK737">
    <cfRule type="containsBlanks" dxfId="749" priority="292">
      <formula>LEN(TRIM(AD737))=0</formula>
    </cfRule>
  </conditionalFormatting>
  <conditionalFormatting sqref="AA737">
    <cfRule type="containsBlanks" dxfId="748" priority="291">
      <formula>LEN(TRIM(AA737))=0</formula>
    </cfRule>
  </conditionalFormatting>
  <conditionalFormatting sqref="AC737">
    <cfRule type="containsBlanks" dxfId="747" priority="294">
      <formula>LEN(TRIM(AC737))=0</formula>
    </cfRule>
  </conditionalFormatting>
  <conditionalFormatting sqref="Z737">
    <cfRule type="containsBlanks" dxfId="746" priority="293">
      <formula>LEN(TRIM(Z737))=0</formula>
    </cfRule>
  </conditionalFormatting>
  <conditionalFormatting sqref="H737:L737">
    <cfRule type="containsBlanks" dxfId="745" priority="290">
      <formula>LEN(TRIM(H737))=0</formula>
    </cfRule>
  </conditionalFormatting>
  <conditionalFormatting sqref="A737:A739">
    <cfRule type="containsBlanks" dxfId="744" priority="289">
      <formula>LEN(TRIM(A737))=0</formula>
    </cfRule>
  </conditionalFormatting>
  <conditionalFormatting sqref="AH739">
    <cfRule type="containsBlanks" dxfId="743" priority="288">
      <formula>LEN(TRIM(AH739))=0</formula>
    </cfRule>
  </conditionalFormatting>
  <conditionalFormatting sqref="A740">
    <cfRule type="containsBlanks" dxfId="742" priority="287">
      <formula>LEN(TRIM(A740))=0</formula>
    </cfRule>
  </conditionalFormatting>
  <conditionalFormatting sqref="H741 J741:O741">
    <cfRule type="containsBlanks" dxfId="741" priority="286">
      <formula>LEN(TRIM(H741))=0</formula>
    </cfRule>
  </conditionalFormatting>
  <conditionalFormatting sqref="I741">
    <cfRule type="containsBlanks" dxfId="740" priority="285">
      <formula>LEN(TRIM(I741))=0</formula>
    </cfRule>
  </conditionalFormatting>
  <conditionalFormatting sqref="A741:A742">
    <cfRule type="containsBlanks" dxfId="739" priority="284">
      <formula>LEN(TRIM(A741))=0</formula>
    </cfRule>
  </conditionalFormatting>
  <conditionalFormatting sqref="AH741">
    <cfRule type="containsBlanks" dxfId="738" priority="283">
      <formula>LEN(TRIM(AH741))=0</formula>
    </cfRule>
  </conditionalFormatting>
  <conditionalFormatting sqref="B747:G747 P747:BC747 B744:BC746 M743:Y743 AE743:AW743 B748:AR748 AT748:BC748 AS742">
    <cfRule type="containsBlanks" dxfId="737" priority="282">
      <formula>LEN(TRIM(B742))=0</formula>
    </cfRule>
  </conditionalFormatting>
  <conditionalFormatting sqref="B743:G743 AB743 AX743:BC743">
    <cfRule type="containsBlanks" dxfId="736" priority="281">
      <formula>LEN(TRIM(B743))=0</formula>
    </cfRule>
  </conditionalFormatting>
  <conditionalFormatting sqref="AD743:AK743">
    <cfRule type="containsBlanks" dxfId="735" priority="278">
      <formula>LEN(TRIM(AD743))=0</formula>
    </cfRule>
  </conditionalFormatting>
  <conditionalFormatting sqref="AA743">
    <cfRule type="containsBlanks" dxfId="734" priority="277">
      <formula>LEN(TRIM(AA743))=0</formula>
    </cfRule>
  </conditionalFormatting>
  <conditionalFormatting sqref="AC743">
    <cfRule type="containsBlanks" dxfId="733" priority="280">
      <formula>LEN(TRIM(AC743))=0</formula>
    </cfRule>
  </conditionalFormatting>
  <conditionalFormatting sqref="Z743">
    <cfRule type="containsBlanks" dxfId="732" priority="279">
      <formula>LEN(TRIM(Z743))=0</formula>
    </cfRule>
  </conditionalFormatting>
  <conditionalFormatting sqref="H743:L743">
    <cfRule type="containsBlanks" dxfId="731" priority="276">
      <formula>LEN(TRIM(H743))=0</formula>
    </cfRule>
  </conditionalFormatting>
  <conditionalFormatting sqref="A743:A745">
    <cfRule type="containsBlanks" dxfId="730" priority="275">
      <formula>LEN(TRIM(A743))=0</formula>
    </cfRule>
  </conditionalFormatting>
  <conditionalFormatting sqref="AH745">
    <cfRule type="containsBlanks" dxfId="729" priority="274">
      <formula>LEN(TRIM(AH745))=0</formula>
    </cfRule>
  </conditionalFormatting>
  <conditionalFormatting sqref="A746">
    <cfRule type="containsBlanks" dxfId="728" priority="273">
      <formula>LEN(TRIM(A746))=0</formula>
    </cfRule>
  </conditionalFormatting>
  <conditionalFormatting sqref="H747 J747:O747">
    <cfRule type="containsBlanks" dxfId="727" priority="272">
      <formula>LEN(TRIM(H747))=0</formula>
    </cfRule>
  </conditionalFormatting>
  <conditionalFormatting sqref="I747">
    <cfRule type="containsBlanks" dxfId="726" priority="271">
      <formula>LEN(TRIM(I747))=0</formula>
    </cfRule>
  </conditionalFormatting>
  <conditionalFormatting sqref="A747:A748">
    <cfRule type="containsBlanks" dxfId="725" priority="270">
      <formula>LEN(TRIM(A747))=0</formula>
    </cfRule>
  </conditionalFormatting>
  <conditionalFormatting sqref="AH747">
    <cfRule type="containsBlanks" dxfId="724" priority="269">
      <formula>LEN(TRIM(AH747))=0</formula>
    </cfRule>
  </conditionalFormatting>
  <conditionalFormatting sqref="F708 F710">
    <cfRule type="containsBlanks" dxfId="723" priority="268">
      <formula>LEN(TRIM(F708))=0</formula>
    </cfRule>
  </conditionalFormatting>
  <conditionalFormatting sqref="G708 G710">
    <cfRule type="containsBlanks" dxfId="722" priority="267">
      <formula>LEN(TRIM(G708))=0</formula>
    </cfRule>
  </conditionalFormatting>
  <conditionalFormatting sqref="W708 W710">
    <cfRule type="containsBlanks" dxfId="721" priority="266">
      <formula>LEN(TRIM(W708))=0</formula>
    </cfRule>
  </conditionalFormatting>
  <conditionalFormatting sqref="X708 X710">
    <cfRule type="containsBlanks" dxfId="720" priority="265">
      <formula>LEN(TRIM(X708))=0</formula>
    </cfRule>
  </conditionalFormatting>
  <conditionalFormatting sqref="AL708 AL710">
    <cfRule type="containsBlanks" dxfId="719" priority="264">
      <formula>LEN(TRIM(AL708))=0</formula>
    </cfRule>
  </conditionalFormatting>
  <conditionalFormatting sqref="AM708 AM710">
    <cfRule type="containsBlanks" dxfId="718" priority="263">
      <formula>LEN(TRIM(AM708))=0</formula>
    </cfRule>
  </conditionalFormatting>
  <conditionalFormatting sqref="B749:L749 AS748 BB749:BC749 N749:U749 W749:X749 AT749:AY749 AE749:AR749 AX750 AB749:AC749 Z749">
    <cfRule type="containsBlanks" dxfId="717" priority="261">
      <formula>LEN(TRIM(B748))=0</formula>
    </cfRule>
  </conditionalFormatting>
  <conditionalFormatting sqref="A749">
    <cfRule type="containsBlanks" dxfId="716" priority="260">
      <formula>LEN(TRIM(A749))=0</formula>
    </cfRule>
  </conditionalFormatting>
  <conditionalFormatting sqref="BB750:BC750 B750:U750 I763:I764 W750:Z750 AT750:AW750 AE750:AR750 AY750 AB750:AC750 Y749 Y708:Y710 Y751:Z751">
    <cfRule type="containsBlanks" dxfId="715" priority="258">
      <formula>LEN(TRIM(B708))=0</formula>
    </cfRule>
  </conditionalFormatting>
  <conditionalFormatting sqref="A750">
    <cfRule type="containsBlanks" dxfId="714" priority="257">
      <formula>LEN(TRIM(A750))=0</formula>
    </cfRule>
  </conditionalFormatting>
  <conditionalFormatting sqref="BB751:BC751 B751:H751 B752:C756 J751:X751 BB763:BC764 B763:H764 J763:AS764 AB751:AS751 AD821 AD824">
    <cfRule type="containsBlanks" dxfId="713" priority="255">
      <formula>LEN(TRIM(B751))=0</formula>
    </cfRule>
  </conditionalFormatting>
  <conditionalFormatting sqref="BA763:BA764 BA749:BA751">
    <cfRule type="containsBlanks" dxfId="712" priority="253">
      <formula>LEN(TRIM(BA749))=0</formula>
    </cfRule>
  </conditionalFormatting>
  <conditionalFormatting sqref="M168:V168 Y168:AW168">
    <cfRule type="containsBlanks" dxfId="711" priority="241">
      <formula>LEN(TRIM(M168))=0</formula>
    </cfRule>
  </conditionalFormatting>
  <conditionalFormatting sqref="H168 J168:L168">
    <cfRule type="containsBlanks" dxfId="710" priority="237">
      <formula>LEN(TRIM(H168))=0</formula>
    </cfRule>
  </conditionalFormatting>
  <conditionalFormatting sqref="C168 AX168:BC168 E168">
    <cfRule type="containsBlanks" dxfId="709" priority="238">
      <formula>LEN(TRIM(C168))=0</formula>
    </cfRule>
  </conditionalFormatting>
  <conditionalFormatting sqref="I168">
    <cfRule type="containsBlanks" dxfId="708" priority="235">
      <formula>LEN(TRIM(I168))=0</formula>
    </cfRule>
  </conditionalFormatting>
  <conditionalFormatting sqref="D168">
    <cfRule type="containsBlanks" dxfId="707" priority="233">
      <formula>LEN(TRIM(D168))=0</formula>
    </cfRule>
  </conditionalFormatting>
  <conditionalFormatting sqref="F168:G168">
    <cfRule type="containsBlanks" dxfId="706" priority="232">
      <formula>LEN(TRIM(F168))=0</formula>
    </cfRule>
  </conditionalFormatting>
  <conditionalFormatting sqref="B168">
    <cfRule type="containsBlanks" dxfId="705" priority="230">
      <formula>LEN(TRIM(B168))=0</formula>
    </cfRule>
  </conditionalFormatting>
  <conditionalFormatting sqref="A168">
    <cfRule type="containsBlanks" dxfId="704" priority="229">
      <formula>LEN(TRIM(A168))=0</formula>
    </cfRule>
  </conditionalFormatting>
  <conditionalFormatting sqref="F169:G169">
    <cfRule type="containsBlanks" dxfId="703" priority="227">
      <formula>LEN(TRIM(F169))=0</formula>
    </cfRule>
  </conditionalFormatting>
  <conditionalFormatting sqref="AL169">
    <cfRule type="containsBlanks" dxfId="702" priority="221">
      <formula>LEN(TRIM(AL169))=0</formula>
    </cfRule>
  </conditionalFormatting>
  <conditionalFormatting sqref="AM169">
    <cfRule type="containsBlanks" dxfId="701" priority="219">
      <formula>LEN(TRIM(AM169))=0</formula>
    </cfRule>
  </conditionalFormatting>
  <conditionalFormatting sqref="W169:X169">
    <cfRule type="containsBlanks" dxfId="700" priority="215">
      <formula>LEN(TRIM(W169))=0</formula>
    </cfRule>
  </conditionalFormatting>
  <conditionalFormatting sqref="J161:L161 M160:V161 Y160:AW161">
    <cfRule type="containsBlanks" dxfId="699" priority="214">
      <formula>LEN(TRIM(J160))=0</formula>
    </cfRule>
  </conditionalFormatting>
  <conditionalFormatting sqref="H160 J160:L160">
    <cfRule type="containsBlanks" dxfId="698" priority="211">
      <formula>LEN(TRIM(H160))=0</formula>
    </cfRule>
  </conditionalFormatting>
  <conditionalFormatting sqref="C161:E161 AX161:BC161 H161">
    <cfRule type="containsBlanks" dxfId="697" priority="213">
      <formula>LEN(TRIM(C161))=0</formula>
    </cfRule>
  </conditionalFormatting>
  <conditionalFormatting sqref="C160 AX160:BC160 E160">
    <cfRule type="containsBlanks" dxfId="696" priority="212">
      <formula>LEN(TRIM(C160))=0</formula>
    </cfRule>
  </conditionalFormatting>
  <conditionalFormatting sqref="I161">
    <cfRule type="containsBlanks" dxfId="695" priority="210">
      <formula>LEN(TRIM(I161))=0</formula>
    </cfRule>
  </conditionalFormatting>
  <conditionalFormatting sqref="I160">
    <cfRule type="containsBlanks" dxfId="694" priority="209">
      <formula>LEN(TRIM(I160))=0</formula>
    </cfRule>
  </conditionalFormatting>
  <conditionalFormatting sqref="F160">
    <cfRule type="containsBlanks" dxfId="693" priority="208">
      <formula>LEN(TRIM(F160))=0</formula>
    </cfRule>
  </conditionalFormatting>
  <conditionalFormatting sqref="D160">
    <cfRule type="containsBlanks" dxfId="692" priority="207">
      <formula>LEN(TRIM(D160))=0</formula>
    </cfRule>
  </conditionalFormatting>
  <conditionalFormatting sqref="F161:G161">
    <cfRule type="containsBlanks" dxfId="691" priority="206">
      <formula>LEN(TRIM(F161))=0</formula>
    </cfRule>
  </conditionalFormatting>
  <conditionalFormatting sqref="B160">
    <cfRule type="containsBlanks" dxfId="690" priority="205">
      <formula>LEN(TRIM(B160))=0</formula>
    </cfRule>
  </conditionalFormatting>
  <conditionalFormatting sqref="B161">
    <cfRule type="containsBlanks" dxfId="689" priority="204">
      <formula>LEN(TRIM(B161))=0</formula>
    </cfRule>
  </conditionalFormatting>
  <conditionalFormatting sqref="A160:A161">
    <cfRule type="containsBlanks" dxfId="688" priority="203">
      <formula>LEN(TRIM(A160))=0</formula>
    </cfRule>
  </conditionalFormatting>
  <conditionalFormatting sqref="G160">
    <cfRule type="containsBlanks" dxfId="687" priority="202">
      <formula>LEN(TRIM(G160))=0</formula>
    </cfRule>
  </conditionalFormatting>
  <conditionalFormatting sqref="F165">
    <cfRule type="containsBlanks" dxfId="686" priority="201">
      <formula>LEN(TRIM(F165))=0</formula>
    </cfRule>
  </conditionalFormatting>
  <conditionalFormatting sqref="F164">
    <cfRule type="containsBlanks" dxfId="685" priority="200">
      <formula>LEN(TRIM(F164))=0</formula>
    </cfRule>
  </conditionalFormatting>
  <conditionalFormatting sqref="G165">
    <cfRule type="containsBlanks" dxfId="684" priority="199">
      <formula>LEN(TRIM(G165))=0</formula>
    </cfRule>
  </conditionalFormatting>
  <conditionalFormatting sqref="G164">
    <cfRule type="containsBlanks" dxfId="683" priority="198">
      <formula>LEN(TRIM(G164))=0</formula>
    </cfRule>
  </conditionalFormatting>
  <conditionalFormatting sqref="P162:V163 Y162:AW163">
    <cfRule type="containsBlanks" dxfId="682" priority="197">
      <formula>LEN(TRIM(P162))=0</formula>
    </cfRule>
  </conditionalFormatting>
  <conditionalFormatting sqref="H162:O163">
    <cfRule type="containsBlanks" dxfId="681" priority="194">
      <formula>LEN(TRIM(H162))=0</formula>
    </cfRule>
  </conditionalFormatting>
  <conditionalFormatting sqref="C163:E163 AX163:BC163">
    <cfRule type="containsBlanks" dxfId="680" priority="196">
      <formula>LEN(TRIM(C163))=0</formula>
    </cfRule>
  </conditionalFormatting>
  <conditionalFormatting sqref="C162 AX162:BC162 E162">
    <cfRule type="containsBlanks" dxfId="679" priority="195">
      <formula>LEN(TRIM(C162))=0</formula>
    </cfRule>
  </conditionalFormatting>
  <conditionalFormatting sqref="D162">
    <cfRule type="containsBlanks" dxfId="678" priority="193">
      <formula>LEN(TRIM(D162))=0</formula>
    </cfRule>
  </conditionalFormatting>
  <conditionalFormatting sqref="B162">
    <cfRule type="containsBlanks" dxfId="677" priority="192">
      <formula>LEN(TRIM(B162))=0</formula>
    </cfRule>
  </conditionalFormatting>
  <conditionalFormatting sqref="B163">
    <cfRule type="containsBlanks" dxfId="676" priority="191">
      <formula>LEN(TRIM(B163))=0</formula>
    </cfRule>
  </conditionalFormatting>
  <conditionalFormatting sqref="A162:A163">
    <cfRule type="containsBlanks" dxfId="675" priority="190">
      <formula>LEN(TRIM(A162))=0</formula>
    </cfRule>
  </conditionalFormatting>
  <conditionalFormatting sqref="F163">
    <cfRule type="containsBlanks" dxfId="674" priority="189">
      <formula>LEN(TRIM(F163))=0</formula>
    </cfRule>
  </conditionalFormatting>
  <conditionalFormatting sqref="F162">
    <cfRule type="containsBlanks" dxfId="673" priority="188">
      <formula>LEN(TRIM(F162))=0</formula>
    </cfRule>
  </conditionalFormatting>
  <conditionalFormatting sqref="G163">
    <cfRule type="containsBlanks" dxfId="672" priority="187">
      <formula>LEN(TRIM(G163))=0</formula>
    </cfRule>
  </conditionalFormatting>
  <conditionalFormatting sqref="G162">
    <cfRule type="containsBlanks" dxfId="671" priority="186">
      <formula>LEN(TRIM(G162))=0</formula>
    </cfRule>
  </conditionalFormatting>
  <conditionalFormatting sqref="B631:V631 AE631:BC631 Y631:AC631 Y632:Z632 AC632">
    <cfRule type="containsBlanks" dxfId="670" priority="185">
      <formula>LEN(TRIM(B631))=0</formula>
    </cfRule>
  </conditionalFormatting>
  <conditionalFormatting sqref="B632:V632 AE632:BC632 AA632:AB632">
    <cfRule type="containsBlanks" dxfId="669" priority="184">
      <formula>LEN(TRIM(B632))=0</formula>
    </cfRule>
  </conditionalFormatting>
  <conditionalFormatting sqref="A632">
    <cfRule type="containsBlanks" dxfId="668" priority="183">
      <formula>LEN(TRIM(A632))=0</formula>
    </cfRule>
  </conditionalFormatting>
  <conditionalFormatting sqref="A631">
    <cfRule type="containsBlanks" dxfId="667" priority="182">
      <formula>LEN(TRIM(A631))=0</formula>
    </cfRule>
  </conditionalFormatting>
  <conditionalFormatting sqref="AD631:AD632">
    <cfRule type="containsBlanks" dxfId="666" priority="181">
      <formula>LEN(TRIM(AD631))=0</formula>
    </cfRule>
  </conditionalFormatting>
  <conditionalFormatting sqref="AL633">
    <cfRule type="containsBlanks" dxfId="665" priority="180">
      <formula>LEN(TRIM(AL633))=0</formula>
    </cfRule>
  </conditionalFormatting>
  <conditionalFormatting sqref="AM633">
    <cfRule type="containsBlanks" dxfId="664" priority="179">
      <formula>LEN(TRIM(AM633))=0</formula>
    </cfRule>
  </conditionalFormatting>
  <conditionalFormatting sqref="C618:R618 B619:R619 S618:V619 A618:A619 Y618:BC619">
    <cfRule type="containsBlanks" dxfId="663" priority="178">
      <formula>LEN(TRIM(A618))=0</formula>
    </cfRule>
  </conditionalFormatting>
  <conditionalFormatting sqref="B618">
    <cfRule type="containsBlanks" dxfId="662" priority="177">
      <formula>LEN(TRIM(B618))=0</formula>
    </cfRule>
  </conditionalFormatting>
  <conditionalFormatting sqref="B627:E627 AE627:AK627 P627:V627 AN627:AW627">
    <cfRule type="containsBlanks" dxfId="661" priority="171">
      <formula>LEN(TRIM(B627))=0</formula>
    </cfRule>
  </conditionalFormatting>
  <conditionalFormatting sqref="AX627:BC627">
    <cfRule type="containsBlanks" dxfId="660" priority="170">
      <formula>LEN(TRIM(AX627))=0</formula>
    </cfRule>
  </conditionalFormatting>
  <conditionalFormatting sqref="A627">
    <cfRule type="containsBlanks" dxfId="659" priority="169">
      <formula>LEN(TRIM(A627))=0</formula>
    </cfRule>
  </conditionalFormatting>
  <conditionalFormatting sqref="C615:V615 A615 Y615:AW615">
    <cfRule type="containsBlanks" dxfId="658" priority="163">
      <formula>LEN(TRIM(A615))=0</formula>
    </cfRule>
  </conditionalFormatting>
  <conditionalFormatting sqref="AX615:BC615">
    <cfRule type="containsBlanks" dxfId="657" priority="162">
      <formula>LEN(TRIM(AX615))=0</formula>
    </cfRule>
  </conditionalFormatting>
  <conditionalFormatting sqref="B615">
    <cfRule type="containsBlanks" dxfId="656" priority="161">
      <formula>LEN(TRIM(B615))=0</formula>
    </cfRule>
  </conditionalFormatting>
  <conditionalFormatting sqref="A616 C616:V616 Y616:AW616">
    <cfRule type="containsBlanks" dxfId="655" priority="160">
      <formula>LEN(TRIM(A616))=0</formula>
    </cfRule>
  </conditionalFormatting>
  <conditionalFormatting sqref="AX616:BC616">
    <cfRule type="containsBlanks" dxfId="654" priority="159">
      <formula>LEN(TRIM(AX616))=0</formula>
    </cfRule>
  </conditionalFormatting>
  <conditionalFormatting sqref="B616">
    <cfRule type="containsBlanks" dxfId="653" priority="158">
      <formula>LEN(TRIM(B616))=0</formula>
    </cfRule>
  </conditionalFormatting>
  <conditionalFormatting sqref="B625:V625 Y625:AC625 AE625:AW625">
    <cfRule type="containsBlanks" dxfId="652" priority="157">
      <formula>LEN(TRIM(B625))=0</formula>
    </cfRule>
  </conditionalFormatting>
  <conditionalFormatting sqref="AX625:BC625">
    <cfRule type="containsBlanks" dxfId="651" priority="156">
      <formula>LEN(TRIM(AX625))=0</formula>
    </cfRule>
  </conditionalFormatting>
  <conditionalFormatting sqref="A625">
    <cfRule type="containsBlanks" dxfId="650" priority="155">
      <formula>LEN(TRIM(A625))=0</formula>
    </cfRule>
  </conditionalFormatting>
  <conditionalFormatting sqref="AD625">
    <cfRule type="containsBlanks" dxfId="649" priority="154">
      <formula>LEN(TRIM(AD625))=0</formula>
    </cfRule>
  </conditionalFormatting>
  <conditionalFormatting sqref="AE626:AK626 B626:V626 H627:O627 Y626:AD627 AN626:AW626">
    <cfRule type="containsBlanks" dxfId="648" priority="153">
      <formula>LEN(TRIM(B626))=0</formula>
    </cfRule>
  </conditionalFormatting>
  <conditionalFormatting sqref="AX626:BC626">
    <cfRule type="containsBlanks" dxfId="647" priority="152">
      <formula>LEN(TRIM(AX626))=0</formula>
    </cfRule>
  </conditionalFormatting>
  <conditionalFormatting sqref="A626">
    <cfRule type="containsBlanks" dxfId="646" priority="151">
      <formula>LEN(TRIM(A626))=0</formula>
    </cfRule>
  </conditionalFormatting>
  <conditionalFormatting sqref="F627">
    <cfRule type="containsBlanks" dxfId="645" priority="149">
      <formula>LEN(TRIM(F627))=0</formula>
    </cfRule>
  </conditionalFormatting>
  <conditionalFormatting sqref="G627">
    <cfRule type="containsBlanks" dxfId="644" priority="147">
      <formula>LEN(TRIM(G627))=0</formula>
    </cfRule>
  </conditionalFormatting>
  <conditionalFormatting sqref="W626">
    <cfRule type="containsBlanks" dxfId="643" priority="146">
      <formula>LEN(TRIM(W626))=0</formula>
    </cfRule>
  </conditionalFormatting>
  <conditionalFormatting sqref="W627">
    <cfRule type="containsBlanks" dxfId="642" priority="145">
      <formula>LEN(TRIM(W627))=0</formula>
    </cfRule>
  </conditionalFormatting>
  <conditionalFormatting sqref="X626">
    <cfRule type="containsBlanks" dxfId="641" priority="144">
      <formula>LEN(TRIM(X626))=0</formula>
    </cfRule>
  </conditionalFormatting>
  <conditionalFormatting sqref="X627">
    <cfRule type="containsBlanks" dxfId="640" priority="143">
      <formula>LEN(TRIM(X627))=0</formula>
    </cfRule>
  </conditionalFormatting>
  <conditionalFormatting sqref="AL627">
    <cfRule type="containsBlanks" dxfId="639" priority="142">
      <formula>LEN(TRIM(AL627))=0</formula>
    </cfRule>
  </conditionalFormatting>
  <conditionalFormatting sqref="AL626">
    <cfRule type="containsBlanks" dxfId="638" priority="141">
      <formula>LEN(TRIM(AL626))=0</formula>
    </cfRule>
  </conditionalFormatting>
  <conditionalFormatting sqref="AM627">
    <cfRule type="containsBlanks" dxfId="637" priority="140">
      <formula>LEN(TRIM(AM627))=0</formula>
    </cfRule>
  </conditionalFormatting>
  <conditionalFormatting sqref="AM626">
    <cfRule type="containsBlanks" dxfId="636" priority="139">
      <formula>LEN(TRIM(AM626))=0</formula>
    </cfRule>
  </conditionalFormatting>
  <conditionalFormatting sqref="F709">
    <cfRule type="containsBlanks" dxfId="635" priority="138">
      <formula>LEN(TRIM(F709))=0</formula>
    </cfRule>
  </conditionalFormatting>
  <conditionalFormatting sqref="G709">
    <cfRule type="containsBlanks" dxfId="634" priority="137">
      <formula>LEN(TRIM(G709))=0</formula>
    </cfRule>
  </conditionalFormatting>
  <conditionalFormatting sqref="W709">
    <cfRule type="containsBlanks" dxfId="633" priority="136">
      <formula>LEN(TRIM(W709))=0</formula>
    </cfRule>
  </conditionalFormatting>
  <conditionalFormatting sqref="X709">
    <cfRule type="containsBlanks" dxfId="632" priority="135">
      <formula>LEN(TRIM(X709))=0</formula>
    </cfRule>
  </conditionalFormatting>
  <conditionalFormatting sqref="AL709">
    <cfRule type="containsBlanks" dxfId="631" priority="134">
      <formula>LEN(TRIM(AL709))=0</formula>
    </cfRule>
  </conditionalFormatting>
  <conditionalFormatting sqref="AM709">
    <cfRule type="containsBlanks" dxfId="630" priority="133">
      <formula>LEN(TRIM(AM709))=0</formula>
    </cfRule>
  </conditionalFormatting>
  <conditionalFormatting sqref="B323">
    <cfRule type="containsBlanks" dxfId="629" priority="132">
      <formula>LEN(TRIM(B323))=0</formula>
    </cfRule>
  </conditionalFormatting>
  <conditionalFormatting sqref="B330">
    <cfRule type="containsBlanks" dxfId="628" priority="131">
      <formula>LEN(TRIM(B330))=0</formula>
    </cfRule>
  </conditionalFormatting>
  <conditionalFormatting sqref="B343">
    <cfRule type="containsBlanks" dxfId="627" priority="130">
      <formula>LEN(TRIM(B343))=0</formula>
    </cfRule>
  </conditionalFormatting>
  <conditionalFormatting sqref="B355">
    <cfRule type="containsBlanks" dxfId="626" priority="129">
      <formula>LEN(TRIM(B355))=0</formula>
    </cfRule>
  </conditionalFormatting>
  <conditionalFormatting sqref="B366">
    <cfRule type="containsBlanks" dxfId="625" priority="128">
      <formula>LEN(TRIM(B366))=0</formula>
    </cfRule>
  </conditionalFormatting>
  <conditionalFormatting sqref="B379">
    <cfRule type="containsBlanks" dxfId="624" priority="127">
      <formula>LEN(TRIM(B379))=0</formula>
    </cfRule>
  </conditionalFormatting>
  <conditionalFormatting sqref="B414">
    <cfRule type="containsBlanks" dxfId="623" priority="126">
      <formula>LEN(TRIM(B414))=0</formula>
    </cfRule>
  </conditionalFormatting>
  <conditionalFormatting sqref="B421">
    <cfRule type="containsBlanks" dxfId="622" priority="125">
      <formula>LEN(TRIM(B421))=0</formula>
    </cfRule>
  </conditionalFormatting>
  <conditionalFormatting sqref="B425">
    <cfRule type="containsBlanks" dxfId="621" priority="124">
      <formula>LEN(TRIM(B425))=0</formula>
    </cfRule>
  </conditionalFormatting>
  <conditionalFormatting sqref="B814:H814 AX814:BC814">
    <cfRule type="containsBlanks" dxfId="620" priority="110">
      <formula>LEN(TRIM(B814))=0</formula>
    </cfRule>
  </conditionalFormatting>
  <conditionalFormatting sqref="I814">
    <cfRule type="containsBlanks" dxfId="619" priority="109">
      <formula>LEN(TRIM(I814))=0</formula>
    </cfRule>
  </conditionalFormatting>
  <conditionalFormatting sqref="A814">
    <cfRule type="containsBlanks" dxfId="618" priority="108">
      <formula>LEN(TRIM(A814))=0</formula>
    </cfRule>
  </conditionalFormatting>
  <conditionalFormatting sqref="J813:AK813 AP813:AQ813 AT813:AW813">
    <cfRule type="containsBlanks" dxfId="617" priority="107">
      <formula>LEN(TRIM(J813))=0</formula>
    </cfRule>
  </conditionalFormatting>
  <conditionalFormatting sqref="B813:H813 AX813:BC813">
    <cfRule type="containsBlanks" dxfId="616" priority="106">
      <formula>LEN(TRIM(B813))=0</formula>
    </cfRule>
  </conditionalFormatting>
  <conditionalFormatting sqref="I813">
    <cfRule type="containsBlanks" dxfId="615" priority="105">
      <formula>LEN(TRIM(I813))=0</formula>
    </cfRule>
  </conditionalFormatting>
  <conditionalFormatting sqref="A813">
    <cfRule type="containsBlanks" dxfId="614" priority="104">
      <formula>LEN(TRIM(A813))=0</formula>
    </cfRule>
  </conditionalFormatting>
  <conditionalFormatting sqref="AM813">
    <cfRule type="containsBlanks" dxfId="613" priority="103">
      <formula>LEN(TRIM(AM813))=0</formula>
    </cfRule>
  </conditionalFormatting>
  <conditionalFormatting sqref="AL813">
    <cfRule type="containsBlanks" dxfId="612" priority="102">
      <formula>LEN(TRIM(AL813))=0</formula>
    </cfRule>
  </conditionalFormatting>
  <conditionalFormatting sqref="AR813:AS813">
    <cfRule type="containsBlanks" dxfId="611" priority="101">
      <formula>LEN(TRIM(AR813))=0</formula>
    </cfRule>
  </conditionalFormatting>
  <conditionalFormatting sqref="I816">
    <cfRule type="containsBlanks" dxfId="610" priority="100">
      <formula>LEN(TRIM(I816))=0</formula>
    </cfRule>
  </conditionalFormatting>
  <conditionalFormatting sqref="A816">
    <cfRule type="containsBlanks" dxfId="609" priority="99">
      <formula>LEN(TRIM(A816))=0</formula>
    </cfRule>
  </conditionalFormatting>
  <conditionalFormatting sqref="AO815">
    <cfRule type="containsBlanks" dxfId="608" priority="98">
      <formula>LEN(TRIM(AO815))=0</formula>
    </cfRule>
  </conditionalFormatting>
  <conditionalFormatting sqref="B815:H815 J815:AK815 AP815:AQ815 AT815:BC815">
    <cfRule type="containsBlanks" dxfId="607" priority="97">
      <formula>LEN(TRIM(B815))=0</formula>
    </cfRule>
  </conditionalFormatting>
  <conditionalFormatting sqref="I815">
    <cfRule type="containsBlanks" dxfId="606" priority="96">
      <formula>LEN(TRIM(I815))=0</formula>
    </cfRule>
  </conditionalFormatting>
  <conditionalFormatting sqref="A815">
    <cfRule type="containsBlanks" dxfId="605" priority="95">
      <formula>LEN(TRIM(A815))=0</formula>
    </cfRule>
  </conditionalFormatting>
  <conditionalFormatting sqref="AN815">
    <cfRule type="containsBlanks" dxfId="604" priority="94">
      <formula>LEN(TRIM(AN815))=0</formula>
    </cfRule>
  </conditionalFormatting>
  <conditionalFormatting sqref="AM815">
    <cfRule type="containsBlanks" dxfId="603" priority="93">
      <formula>LEN(TRIM(AM815))=0</formula>
    </cfRule>
  </conditionalFormatting>
  <conditionalFormatting sqref="AL815">
    <cfRule type="containsBlanks" dxfId="602" priority="92">
      <formula>LEN(TRIM(AL815))=0</formula>
    </cfRule>
  </conditionalFormatting>
  <conditionalFormatting sqref="AR815:AS815">
    <cfRule type="containsBlanks" dxfId="601" priority="91">
      <formula>LEN(TRIM(AR815))=0</formula>
    </cfRule>
  </conditionalFormatting>
  <conditionalFormatting sqref="AX818:BC818">
    <cfRule type="containsBlanks" dxfId="600" priority="90">
      <formula>LEN(TRIM(AX818))=0</formula>
    </cfRule>
  </conditionalFormatting>
  <conditionalFormatting sqref="A818">
    <cfRule type="containsBlanks" dxfId="599" priority="89">
      <formula>LEN(TRIM(A818))=0</formula>
    </cfRule>
  </conditionalFormatting>
  <conditionalFormatting sqref="AN817">
    <cfRule type="containsBlanks" dxfId="598" priority="88">
      <formula>LEN(TRIM(AN817))=0</formula>
    </cfRule>
  </conditionalFormatting>
  <conditionalFormatting sqref="AM817">
    <cfRule type="containsBlanks" dxfId="597" priority="87">
      <formula>LEN(TRIM(AM817))=0</formula>
    </cfRule>
  </conditionalFormatting>
  <conditionalFormatting sqref="AL817">
    <cfRule type="containsBlanks" dxfId="596" priority="86">
      <formula>LEN(TRIM(AL817))=0</formula>
    </cfRule>
  </conditionalFormatting>
  <conditionalFormatting sqref="B817:AK817 AP817:AQ817 AT817:AW817">
    <cfRule type="containsBlanks" dxfId="595" priority="85">
      <formula>LEN(TRIM(B817))=0</formula>
    </cfRule>
  </conditionalFormatting>
  <conditionalFormatting sqref="AX817:BC817">
    <cfRule type="containsBlanks" dxfId="594" priority="84">
      <formula>LEN(TRIM(AX817))=0</formula>
    </cfRule>
  </conditionalFormatting>
  <conditionalFormatting sqref="A817">
    <cfRule type="containsBlanks" dxfId="593" priority="83">
      <formula>LEN(TRIM(A817))=0</formula>
    </cfRule>
  </conditionalFormatting>
  <conditionalFormatting sqref="AR817:AS817">
    <cfRule type="containsBlanks" dxfId="592" priority="82">
      <formula>LEN(TRIM(AR817))=0</formula>
    </cfRule>
  </conditionalFormatting>
  <conditionalFormatting sqref="AL278">
    <cfRule type="containsBlanks" dxfId="591" priority="81">
      <formula>LEN(TRIM(AL278))=0</formula>
    </cfRule>
  </conditionalFormatting>
  <conditionalFormatting sqref="AM278">
    <cfRule type="containsBlanks" dxfId="590" priority="80">
      <formula>LEN(TRIM(AM278))=0</formula>
    </cfRule>
  </conditionalFormatting>
  <conditionalFormatting sqref="AO277">
    <cfRule type="containsBlanks" dxfId="589" priority="79">
      <formula>LEN(TRIM(AO277))=0</formula>
    </cfRule>
  </conditionalFormatting>
  <conditionalFormatting sqref="AO278">
    <cfRule type="containsBlanks" dxfId="588" priority="78">
      <formula>LEN(TRIM(AO278))=0</formula>
    </cfRule>
  </conditionalFormatting>
  <conditionalFormatting sqref="AP277">
    <cfRule type="containsBlanks" dxfId="587" priority="77">
      <formula>LEN(TRIM(AP277))=0</formula>
    </cfRule>
  </conditionalFormatting>
  <conditionalFormatting sqref="AP278">
    <cfRule type="containsBlanks" dxfId="586" priority="76">
      <formula>LEN(TRIM(AP278))=0</formula>
    </cfRule>
  </conditionalFormatting>
  <conditionalFormatting sqref="AQ277:AR277">
    <cfRule type="containsBlanks" dxfId="585" priority="75">
      <formula>LEN(TRIM(AQ277))=0</formula>
    </cfRule>
  </conditionalFormatting>
  <conditionalFormatting sqref="AQ278">
    <cfRule type="containsBlanks" dxfId="584" priority="74">
      <formula>LEN(TRIM(AQ278))=0</formula>
    </cfRule>
  </conditionalFormatting>
  <conditionalFormatting sqref="AR278">
    <cfRule type="containsBlanks" dxfId="583" priority="73">
      <formula>LEN(TRIM(AR278))=0</formula>
    </cfRule>
  </conditionalFormatting>
  <conditionalFormatting sqref="A820">
    <cfRule type="containsBlanks" dxfId="582" priority="72">
      <formula>LEN(TRIM(A820))=0</formula>
    </cfRule>
  </conditionalFormatting>
  <conditionalFormatting sqref="AH820">
    <cfRule type="containsBlanks" dxfId="581" priority="71">
      <formula>LEN(TRIM(AH820))=0</formula>
    </cfRule>
  </conditionalFormatting>
  <conditionalFormatting sqref="AN819:AN820">
    <cfRule type="containsBlanks" dxfId="580" priority="70">
      <formula>LEN(TRIM(AN819))=0</formula>
    </cfRule>
  </conditionalFormatting>
  <conditionalFormatting sqref="AT819:BC819">
    <cfRule type="containsBlanks" dxfId="579" priority="69">
      <formula>LEN(TRIM(AT819))=0</formula>
    </cfRule>
  </conditionalFormatting>
  <conditionalFormatting sqref="A819">
    <cfRule type="containsBlanks" dxfId="578" priority="68">
      <formula>LEN(TRIM(A819))=0</formula>
    </cfRule>
  </conditionalFormatting>
  <conditionalFormatting sqref="AH819">
    <cfRule type="containsBlanks" dxfId="577" priority="67">
      <formula>LEN(TRIM(AH819))=0</formula>
    </cfRule>
  </conditionalFormatting>
  <conditionalFormatting sqref="AS819">
    <cfRule type="containsBlanks" dxfId="576" priority="66">
      <formula>LEN(TRIM(AS819))=0</formula>
    </cfRule>
  </conditionalFormatting>
  <conditionalFormatting sqref="AL820">
    <cfRule type="containsBlanks" dxfId="575" priority="65">
      <formula>LEN(TRIM(AL820))=0</formula>
    </cfRule>
  </conditionalFormatting>
  <conditionalFormatting sqref="AO819">
    <cfRule type="containsBlanks" dxfId="574" priority="63">
      <formula>LEN(TRIM(AO819))=0</formula>
    </cfRule>
  </conditionalFormatting>
  <conditionalFormatting sqref="AO820">
    <cfRule type="containsBlanks" dxfId="573" priority="62">
      <formula>LEN(TRIM(AO820))=0</formula>
    </cfRule>
  </conditionalFormatting>
  <conditionalFormatting sqref="AP819">
    <cfRule type="containsBlanks" dxfId="572" priority="61">
      <formula>LEN(TRIM(AP819))=0</formula>
    </cfRule>
  </conditionalFormatting>
  <conditionalFormatting sqref="AP820">
    <cfRule type="containsBlanks" dxfId="571" priority="60">
      <formula>LEN(TRIM(AP820))=0</formula>
    </cfRule>
  </conditionalFormatting>
  <conditionalFormatting sqref="AQ819:AR819">
    <cfRule type="containsBlanks" dxfId="570" priority="59">
      <formula>LEN(TRIM(AQ819))=0</formula>
    </cfRule>
  </conditionalFormatting>
  <conditionalFormatting sqref="AQ820">
    <cfRule type="containsBlanks" dxfId="569" priority="58">
      <formula>LEN(TRIM(AQ820))=0</formula>
    </cfRule>
  </conditionalFormatting>
  <conditionalFormatting sqref="AR820">
    <cfRule type="containsBlanks" dxfId="568" priority="57">
      <formula>LEN(TRIM(AR820))=0</formula>
    </cfRule>
  </conditionalFormatting>
  <conditionalFormatting sqref="F820">
    <cfRule type="containsBlanks" dxfId="567" priority="56">
      <formula>LEN(TRIM(F820))=0</formula>
    </cfRule>
  </conditionalFormatting>
  <conditionalFormatting sqref="O440:O464">
    <cfRule type="containsBlanks" dxfId="566" priority="55">
      <formula>LEN(TRIM(O440))=0</formula>
    </cfRule>
  </conditionalFormatting>
  <conditionalFormatting sqref="Q428:S428 U428:V428">
    <cfRule type="containsBlanks" dxfId="565" priority="54">
      <formula>LEN(TRIM(Q428))=0</formula>
    </cfRule>
  </conditionalFormatting>
  <conditionalFormatting sqref="T428:T439">
    <cfRule type="containsBlanks" dxfId="564" priority="53">
      <formula>LEN(TRIM(T428))=0</formula>
    </cfRule>
  </conditionalFormatting>
  <conditionalFormatting sqref="N428:N439">
    <cfRule type="containsBlanks" dxfId="563" priority="52">
      <formula>LEN(TRIM(N428))=0</formula>
    </cfRule>
  </conditionalFormatting>
  <conditionalFormatting sqref="O428:O439">
    <cfRule type="containsBlanks" dxfId="562" priority="51">
      <formula>LEN(TRIM(O428))=0</formula>
    </cfRule>
  </conditionalFormatting>
  <conditionalFormatting sqref="P428:P439">
    <cfRule type="containsBlanks" dxfId="561" priority="50">
      <formula>LEN(TRIM(P428))=0</formula>
    </cfRule>
  </conditionalFormatting>
  <conditionalFormatting sqref="Q429:S439 U429:V439">
    <cfRule type="containsBlanks" dxfId="560" priority="49">
      <formula>LEN(TRIM(Q429))=0</formula>
    </cfRule>
  </conditionalFormatting>
  <conditionalFormatting sqref="T465:V466">
    <cfRule type="containsBlanks" dxfId="559" priority="48">
      <formula>LEN(TRIM(T465))=0</formula>
    </cfRule>
  </conditionalFormatting>
  <conditionalFormatting sqref="N465:P465">
    <cfRule type="containsBlanks" dxfId="558" priority="47">
      <formula>LEN(TRIM(N465))=0</formula>
    </cfRule>
  </conditionalFormatting>
  <conditionalFormatting sqref="N466:P466">
    <cfRule type="containsBlanks" dxfId="557" priority="46">
      <formula>LEN(TRIM(N466))=0</formula>
    </cfRule>
  </conditionalFormatting>
  <conditionalFormatting sqref="R465:R466">
    <cfRule type="containsBlanks" dxfId="556" priority="45">
      <formula>LEN(TRIM(R465))=0</formula>
    </cfRule>
  </conditionalFormatting>
  <conditionalFormatting sqref="Q465:Q466">
    <cfRule type="containsBlanks" dxfId="555" priority="44">
      <formula>LEN(TRIM(Q465))=0</formula>
    </cfRule>
  </conditionalFormatting>
  <conditionalFormatting sqref="S465:S466">
    <cfRule type="containsBlanks" dxfId="554" priority="43">
      <formula>LEN(TRIM(S465))=0</formula>
    </cfRule>
  </conditionalFormatting>
  <conditionalFormatting sqref="C793:AZ793 BB793">
    <cfRule type="containsBlanks" dxfId="553" priority="42">
      <formula>LEN(TRIM(C793))=0</formula>
    </cfRule>
  </conditionalFormatting>
  <conditionalFormatting sqref="BB821:BC821 B821:H821 Z822:Z826 J821:AC821 M822:M826 V822:V824 AD822:AD823 AS822:AS824 AZ822:AZ824 AA749:AA751 AA708:AA710 AE821:AZ821 AA822:AA824 Y822:Y824">
    <cfRule type="containsBlanks" dxfId="552" priority="32">
      <formula>LEN(TRIM(B708))=0</formula>
    </cfRule>
  </conditionalFormatting>
  <conditionalFormatting sqref="A821">
    <cfRule type="containsBlanks" dxfId="551" priority="31">
      <formula>LEN(TRIM(A821))=0</formula>
    </cfRule>
  </conditionalFormatting>
  <conditionalFormatting sqref="BA821:BA824">
    <cfRule type="containsBlanks" dxfId="550" priority="30">
      <formula>LEN(TRIM(BA821))=0</formula>
    </cfRule>
  </conditionalFormatting>
  <conditionalFormatting sqref="A822:A824">
    <cfRule type="containsBlanks" dxfId="549" priority="29">
      <formula>LEN(TRIM(A822))=0</formula>
    </cfRule>
  </conditionalFormatting>
  <conditionalFormatting sqref="BB822:BC824 J822:L824 N822:U824 W822:X824 AE822:AR824 AT822:AY824 B822:H824 AB822:AC824">
    <cfRule type="containsBlanks" dxfId="548" priority="27">
      <formula>LEN(TRIM(B822))=0</formula>
    </cfRule>
  </conditionalFormatting>
  <conditionalFormatting sqref="AT825:BB825 BA826:BA832">
    <cfRule type="containsBlanks" dxfId="547" priority="24">
      <formula>LEN(TRIM(AT825))=0</formula>
    </cfRule>
  </conditionalFormatting>
  <conditionalFormatting sqref="A825">
    <cfRule type="containsBlanks" dxfId="546" priority="23">
      <formula>LEN(TRIM(A825))=0</formula>
    </cfRule>
  </conditionalFormatting>
  <conditionalFormatting sqref="AH825">
    <cfRule type="containsBlanks" dxfId="545" priority="22">
      <formula>LEN(TRIM(AH825))=0</formula>
    </cfRule>
  </conditionalFormatting>
  <conditionalFormatting sqref="AS825:AS826">
    <cfRule type="containsBlanks" dxfId="544" priority="21">
      <formula>LEN(TRIM(AS825))=0</formula>
    </cfRule>
  </conditionalFormatting>
  <conditionalFormatting sqref="AO825:AO828">
    <cfRule type="containsBlanks" dxfId="543" priority="20">
      <formula>LEN(TRIM(AO825))=0</formula>
    </cfRule>
  </conditionalFormatting>
  <conditionalFormatting sqref="AP825:AP832">
    <cfRule type="containsBlanks" dxfId="542" priority="19">
      <formula>LEN(TRIM(AP825))=0</formula>
    </cfRule>
  </conditionalFormatting>
  <conditionalFormatting sqref="AQ825:AR825 AR826">
    <cfRule type="containsBlanks" dxfId="541" priority="18">
      <formula>LEN(TRIM(AQ825))=0</formula>
    </cfRule>
  </conditionalFormatting>
  <conditionalFormatting sqref="A826">
    <cfRule type="containsBlanks" dxfId="540" priority="17">
      <formula>LEN(TRIM(A826))=0</formula>
    </cfRule>
  </conditionalFormatting>
  <conditionalFormatting sqref="AH826">
    <cfRule type="containsBlanks" dxfId="539" priority="16">
      <formula>LEN(TRIM(AH826))=0</formula>
    </cfRule>
  </conditionalFormatting>
  <conditionalFormatting sqref="AL826">
    <cfRule type="containsBlanks" dxfId="538" priority="14">
      <formula>LEN(TRIM(AL826))=0</formula>
    </cfRule>
  </conditionalFormatting>
  <conditionalFormatting sqref="AQ826">
    <cfRule type="containsBlanks" dxfId="537" priority="11">
      <formula>LEN(TRIM(AQ826))=0</formula>
    </cfRule>
  </conditionalFormatting>
  <conditionalFormatting sqref="F826">
    <cfRule type="containsBlanks" dxfId="536" priority="9">
      <formula>LEN(TRIM(F826))=0</formula>
    </cfRule>
  </conditionalFormatting>
  <conditionalFormatting sqref="C799:AZ799 BB799">
    <cfRule type="containsBlanks" dxfId="535" priority="8">
      <formula>LEN(TRIM(C799))=0</formula>
    </cfRule>
  </conditionalFormatting>
  <conditionalFormatting sqref="BA550">
    <cfRule type="containsBlanks" dxfId="534" priority="7">
      <formula>LEN(TRIM(BA550))=0</formula>
    </cfRule>
  </conditionalFormatting>
  <conditionalFormatting sqref="AX751">
    <cfRule type="containsBlanks" dxfId="533" priority="2">
      <formula>LEN(TRIM(AX751))=0</formula>
    </cfRule>
  </conditionalFormatting>
  <conditionalFormatting sqref="AU751:AW751 AY751">
    <cfRule type="containsBlanks" dxfId="532" priority="1">
      <formula>LEN(TRIM(AU751))=0</formula>
    </cfRule>
  </conditionalFormatting>
  <dataValidations count="19">
    <dataValidation type="list" allowBlank="1" showInputMessage="1" showErrorMessage="1" sqref="D549 F568:G568 F509:G509 F315:G315 F304:G304 F573:G573 D618 D629 F549:G549 D620 D573 D568 D191 D509 D315 D304 D194 F191:G191 F194:G194 F629:G629 F715:G715 D715 F618:G618 F620:G621 AL620:AM621" xr:uid="{C8D2939A-3D48-436A-9B4B-E1845D79FFCB}">
      <formula1>INDIRECT(SUBSTITUTE($B191, " ", ""))</formula1>
    </dataValidation>
    <dataValidation type="list" allowBlank="1" showInputMessage="1" showErrorMessage="1" sqref="F138:G141 D188 F188:G188 D150:D153 F150:G153 D138:D141 F161:G161 D165:D169 AL169:AM169 F165:G169 D161 D163 F163:G163 F184:G185 D184:D185 F174:G176 D174:D176" xr:uid="{3154679E-B3C5-4FA4-810A-E54D4B29AA93}">
      <formula1>INDIRECT(SUBSTITUTE($B138," ", ""))</formula1>
    </dataValidation>
    <dataValidation type="list" allowBlank="1" showInputMessage="1" showErrorMessage="1" sqref="F130:G137 F571:G572 F566:G567 F162:G162 D571:D572 D566:D567 D547:D548 D507:D508 D313:D314 D177:D179 D164 D146:D149 D134:D137 F547:G548 F313:G314 F302:G303 F507:G508 F154:G160 D157:D160 F164:G164 D162 AL616:AM617 D625:D628 F625:G628 W626:X627 AL626:AM627 F195:G199 D195:D199 D192:D193 F192:G193 D190 F189:G190 D187 F186:G187 D183 F177:G183 D172:D173 F170:G173 F614:G617 D614:D617 F142:G149" xr:uid="{3FE9972D-DC46-4E31-BFD1-C679B760EFFC}">
      <formula1>INDIRECT(SUBSTITUTE($B130," ",""))</formula1>
    </dataValidation>
    <dataValidation type="list" allowBlank="1" showInputMessage="1" showErrorMessage="1" sqref="D362:D363 D15:D16 AL15:AM16 X15:X16 W362:X363 F362:G363 AM362:AM363 D725 AL725:AM725 X725 D731 AL731:AM731 X731 D737 AL737:AM737 X737 D743 AL743:AM743 X743" xr:uid="{4319A5B4-792E-448F-86CA-BDF9ACDA79A3}">
      <formula1>INDIRECT($B13)</formula1>
    </dataValidation>
    <dataValidation type="list" allowBlank="1" showInputMessage="1" showErrorMessage="1" sqref="AL76:AM76 D17 AL17:AM17 W17:X17 F76:G76 W285 AL363 AL361 AL359 F17:G18 W76:X76 AL365 AM820 AM826" xr:uid="{43E433A5-FCA1-4F7C-B7CD-239A589E592E}">
      <formula1>INDIRECT($B16)</formula1>
    </dataValidation>
    <dataValidation type="list" allowBlank="1" showInputMessage="1" showErrorMessage="1" sqref="W690:X692 D569:D570 D316:D361 D189 F569:G570 F316:G361 D186 D180:D182 W62:X75 AL77:AM93 W313:X361 D130:D133 F305:G312 W207:X216 AM272 W106:X117 AL106:AM117 F106:G117 AL360 D106:D117 X285 AL25:AM41 W15:W16 D18:D41 W25:X41 W18:X23 D305:D312 W77:X93 F207:G216 D207:D216 AL493:AM494 W364:X379 AL211:AM216 AL362 AL364 AL18:AM23 F62:G75 D62:D93 F19:G41 AL62:AM75 F77:G93 F510:G535 F483:G506 F550:G565 D550:D565 F619:G619 D510:D535 AL496:AM535 D539:D546 AL366:AL381 AL313:AM348 AL483:AL487 AL489:AL491 AM482:AM492 AM349:AM361 F539:G546 AL349:AL358 W440:W472 AM495 F649:G688 D440:D460 AL440:AL472 W483:X535 AL649:AM688 D649:D688 AL690:AM692 D690:D692 F690:G692 F440:F472 D462:D506 AL207:AM209 AL218:AM225 AL230:AM230 AL235:AM235 AL240:AM240 D218:D251 AL271:AL272 X711:X712 D711:D714 F713:G714 AL713:AM717 W713:X717 F716:G717 D716:D724 X718 W699:X706 AL719:AM724 W719:X724 W725 D726:D730 W726:X730 AL726:AM730 W731 D732:D736 W732:X736 AL732:AM736 W737 D738:D742 W738:X742 AL738:AM742 W629:X630 W637:X647 D574:D613 F574:G613 D697 F699:G706 AL699:AM706 F697:G697 W697:X697 AL697:AM697 W649:X688 W130:X142 D364:D437 X384:X481 W384:W437 AM364:AM472 AL384:AL437 G364:G472 F364:F437 W149:X154 AL628:AM647 F630:G647 D630:D647 D619 D621:D624 W539:X614 AL618:AM619 F622:G624 AL622:AM625 AL814:AM814 AL816:AM816 AL818:AM818 AL819:AL820 AM819 W286:X310 AL277:AM310 AL270:AM270 D256:D298 F218:G301 W218:X284 AM245:AM268 AL245:AL269 W171:X194 D170:D171 AL170:AM194 W4:X14 D154:D156 D4:D14 F4:G16 AL4:AM14 AL539:AM615 AL130:AM168 D142:D145 AL821:AM825 X754:X756 W794:W798 W827:W832 AL826 F813:G826 D813:D826 W813:X826 W800:W812 D763:D764 AL763:AM764 X763:X764 F763:G764 X744:X751 F719:G751 D744:D751 W743:W792 AL744:AM751" xr:uid="{A06EA8E3-B89E-459D-859A-0DFE50679BC0}">
      <formula1>INDIRECT($B4)</formula1>
    </dataValidation>
    <dataValidation type="list" allowBlank="1" showInputMessage="1" showErrorMessage="1" sqref="G50:G51" xr:uid="{AC844470-04EF-4F6C-B09F-3BCF5403F8E6}">
      <formula1>INDIRECT(SUBSTITUTE($B50, " ", "_"))</formula1>
    </dataValidation>
    <dataValidation type="list" allowBlank="1" showInputMessage="1" showErrorMessage="1" sqref="AL648:AM648 W648:X648 F648:G648 D648 W204:X205 D118:D129 W50:X51 AL118:AM122 D94:D105 AL311:AM312 D3 AM269 W118:X122 AL50:AM51 AL204:AM205 W311:X312 W24:X24 W693:X696 W124:X128 W43:X44 AM271 W380:X383 AL24:AM24 F50:F51 D217 AL124:AM128 D42:D61 AL693:AM696 F693:G696 D693:D696 AL707:AM710 F707:G710 D707:D710 W707:X710 D200:D206 W195:X198 AL195:AM198 W169:X169 X800:X812 AL800:AM812 F800:G812 D827:D937 X765:X792 D765:D792 X752:X753 F765:G792 F794:G798 X827:X832 W833:X937 F827:G937 AL827:AM937 AL794:AM798 X794:X798 D794:D798 D800:D812 F752:G762 D752:D762 X757:X762 AL752:AM762 AL765:AM792" xr:uid="{A5A211CF-17A8-47E0-97FB-922AC8628B71}">
      <formula1>INDIRECT(SUBSTITUTE($B3," ","_"))</formula1>
    </dataValidation>
    <dataValidation type="list" allowBlank="1" showInputMessage="1" showErrorMessage="1" sqref="A689:A692 A697 A708:A709 A166:A687 A3:A163 A711:A832" xr:uid="{E2A8991D-B492-4B2F-A2D9-9A2950D17785}">
      <formula1>Product_Name_on_AboutMR</formula1>
    </dataValidation>
    <dataValidation type="list" allowBlank="1" showInputMessage="1" showErrorMessage="1" sqref="D299" xr:uid="{6FC59A4F-EDD1-4050-942C-47E17D025EF1}">
      <formula1>INDIRECT(SUBSTITUTE($B299,"/","_"))</formula1>
    </dataValidation>
    <dataValidation type="list" allowBlank="1" showInputMessage="1" showErrorMessage="1" sqref="D300:D303" xr:uid="{8221308D-E490-4407-849B-A64B197B6CC1}">
      <formula1>INDIRECT(SUBSTITUTE(SUBSTITUTE($B300,"/","_")," ","_"))</formula1>
    </dataValidation>
    <dataValidation type="list" allowBlank="1" showInputMessage="1" showErrorMessage="1" sqref="D252" xr:uid="{E86D52AD-21CE-422F-BF70-C3C33A87E3BF}">
      <formula1>INDIRECT(SUBSTITUTE(SUBSTITUTE($B$252,"/","_")," ","_"))</formula1>
    </dataValidation>
    <dataValidation type="list" allowBlank="1" showInputMessage="1" showErrorMessage="1" sqref="D253" xr:uid="{1A795304-AB15-4323-B78C-80E547A81065}">
      <formula1>INDIRECT(SUBSTITUTE(SUBSTITUTE($B$253,"/","_")," ","_"))</formula1>
    </dataValidation>
    <dataValidation type="list" allowBlank="1" showInputMessage="1" showErrorMessage="1" sqref="D254" xr:uid="{5F2FE38B-2ED1-47D4-83F8-4C2AF5A3BCFE}">
      <formula1>INDIRECT(SUBSTITUTE(SUBSTITUTE($B$254,"/","_")," ","_"))</formula1>
    </dataValidation>
    <dataValidation type="list" allowBlank="1" showInputMessage="1" showErrorMessage="1" sqref="D255" xr:uid="{E07EF7B5-BC53-4A20-8CF0-915235D84552}">
      <formula1>INDIRECT(SUBSTITUTE(SUBSTITUTE($B$255,"/","_")," ","_"))</formula1>
    </dataValidation>
    <dataValidation type="list" allowBlank="1" showInputMessage="1" showErrorMessage="1" sqref="D461" xr:uid="{04712348-4A23-4BAE-B5E9-7652027B9715}">
      <formula1>INDIRECT(SUBSTITUTE(SUBSTITUTE($B$461,"/","_")," ","_"))</formula1>
    </dataValidation>
    <dataValidation type="list" allowBlank="1" showInputMessage="1" showErrorMessage="1" sqref="D698:D706 D793 W698:X698 F698:G698 AL698:AM698 F793:G793 W793:X793 AL793:AM793 D799 F799:G799 W799:X799 AL799:AM799" xr:uid="{1D0265B7-5286-4CCF-B7E7-B1B168DE31EC}">
      <formula1>INDIRECT(SUBSTITUTE(SUBSTITUTE($B$698,"/","_")," ","_"))</formula1>
    </dataValidation>
    <dataValidation type="list" allowBlank="1" showInputMessage="1" showErrorMessage="1" sqref="I3" xr:uid="{4F36EC16-DDB4-4B88-90FC-F2DF08C53B4B}">
      <formula1>Unique_Subregion</formula1>
    </dataValidation>
    <dataValidation type="list" allowBlank="1" showInputMessage="1" showErrorMessage="1" sqref="B3:B937" xr:uid="{A108061E-28B6-40F2-87EB-C203E9771311}">
      <formula1>Products</formula1>
    </dataValidation>
  </dataValidations>
  <pageMargins left="0.7" right="0.7" top="0.75" bottom="0.75"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95"/>
  <sheetViews>
    <sheetView zoomScaleNormal="100" workbookViewId="0">
      <pane ySplit="5" topLeftCell="A62" activePane="bottomLeft" state="frozen"/>
      <selection activeCell="A24" sqref="A24"/>
      <selection pane="bottomLeft" activeCell="A64" sqref="A64:XFD64"/>
    </sheetView>
  </sheetViews>
  <sheetFormatPr defaultRowHeight="14.4"/>
  <cols>
    <col min="1" max="1" width="7.7890625" style="104" bestFit="1" customWidth="1"/>
    <col min="2" max="2" width="69.62890625" style="104" customWidth="1"/>
    <col min="3" max="3" width="33.26171875" style="104" bestFit="1" customWidth="1"/>
    <col min="4" max="4" width="19" style="104" bestFit="1" customWidth="1"/>
  </cols>
  <sheetData>
    <row r="1" spans="1:4">
      <c r="A1" s="37"/>
      <c r="B1" s="37" t="s">
        <v>315</v>
      </c>
      <c r="C1" s="37"/>
      <c r="D1" s="37"/>
    </row>
    <row r="2" spans="1:4">
      <c r="A2" s="37"/>
      <c r="B2" s="37" t="s">
        <v>316</v>
      </c>
      <c r="C2" s="37"/>
      <c r="D2" s="37"/>
    </row>
    <row r="3" spans="1:4">
      <c r="A3" s="37"/>
      <c r="B3" s="37"/>
      <c r="C3" s="37"/>
      <c r="D3" s="37"/>
    </row>
    <row r="4" spans="1:4">
      <c r="A4" s="37"/>
      <c r="B4" s="37"/>
      <c r="C4" s="37"/>
      <c r="D4" s="37"/>
    </row>
    <row r="5" spans="1:4" ht="24.6">
      <c r="A5" s="38" t="s">
        <v>317</v>
      </c>
      <c r="B5" s="39" t="s">
        <v>318</v>
      </c>
      <c r="C5" s="38" t="s">
        <v>319</v>
      </c>
      <c r="D5" s="38" t="s">
        <v>320</v>
      </c>
    </row>
    <row r="6" spans="1:4">
      <c r="A6" s="40">
        <v>1</v>
      </c>
      <c r="B6" s="41" t="s">
        <v>321</v>
      </c>
      <c r="C6" s="41" t="s">
        <v>321</v>
      </c>
      <c r="D6" s="41" t="s">
        <v>322</v>
      </c>
    </row>
    <row r="7" spans="1:4">
      <c r="A7" s="40">
        <v>2</v>
      </c>
      <c r="B7" s="41" t="s">
        <v>323</v>
      </c>
      <c r="C7" s="41" t="s">
        <v>324</v>
      </c>
      <c r="D7" s="41" t="s">
        <v>322</v>
      </c>
    </row>
    <row r="8" spans="1:4" ht="24.6">
      <c r="A8" s="40">
        <v>3</v>
      </c>
      <c r="B8" s="41" t="s">
        <v>325</v>
      </c>
      <c r="C8" s="41" t="s">
        <v>325</v>
      </c>
      <c r="D8" s="41" t="s">
        <v>326</v>
      </c>
    </row>
    <row r="9" spans="1:4">
      <c r="A9" s="40">
        <v>4</v>
      </c>
      <c r="B9" s="41" t="s">
        <v>327</v>
      </c>
      <c r="C9" s="41" t="s">
        <v>328</v>
      </c>
      <c r="D9" s="41" t="s">
        <v>329</v>
      </c>
    </row>
    <row r="10" spans="1:4" ht="61.5">
      <c r="A10" s="40">
        <v>5</v>
      </c>
      <c r="B10" s="41" t="s">
        <v>330</v>
      </c>
      <c r="C10" s="41" t="s">
        <v>331</v>
      </c>
      <c r="D10" s="41" t="s">
        <v>326</v>
      </c>
    </row>
    <row r="11" spans="1:4">
      <c r="A11" s="40">
        <v>6</v>
      </c>
      <c r="B11" s="41" t="s">
        <v>332</v>
      </c>
      <c r="C11" s="41" t="s">
        <v>333</v>
      </c>
      <c r="D11" s="41" t="s">
        <v>334</v>
      </c>
    </row>
    <row r="12" spans="1:4" ht="36.9">
      <c r="A12" s="42">
        <v>7</v>
      </c>
      <c r="B12" s="43" t="s">
        <v>335</v>
      </c>
      <c r="C12" s="43" t="s">
        <v>1577</v>
      </c>
      <c r="D12" s="41" t="s">
        <v>334</v>
      </c>
    </row>
    <row r="13" spans="1:4" ht="24.6">
      <c r="A13" s="44">
        <v>8</v>
      </c>
      <c r="B13" s="43" t="s">
        <v>336</v>
      </c>
      <c r="C13" s="43" t="s">
        <v>337</v>
      </c>
      <c r="D13" s="45" t="s">
        <v>338</v>
      </c>
    </row>
    <row r="14" spans="1:4">
      <c r="A14" s="44">
        <v>9</v>
      </c>
      <c r="B14" s="43" t="s">
        <v>339</v>
      </c>
      <c r="C14" s="43" t="s">
        <v>340</v>
      </c>
      <c r="D14" s="46" t="s">
        <v>341</v>
      </c>
    </row>
    <row r="15" spans="1:4" ht="24.6">
      <c r="A15" s="44">
        <v>10</v>
      </c>
      <c r="B15" s="43" t="s">
        <v>342</v>
      </c>
      <c r="C15" s="47" t="s">
        <v>343</v>
      </c>
      <c r="D15" s="47" t="s">
        <v>344</v>
      </c>
    </row>
    <row r="16" spans="1:4" ht="24.6">
      <c r="A16" s="44">
        <v>11</v>
      </c>
      <c r="B16" s="43" t="s">
        <v>345</v>
      </c>
      <c r="C16" s="43" t="s">
        <v>345</v>
      </c>
      <c r="D16" s="48" t="s">
        <v>346</v>
      </c>
    </row>
    <row r="17" spans="1:4">
      <c r="A17" s="44">
        <v>12</v>
      </c>
      <c r="B17" s="43" t="s">
        <v>347</v>
      </c>
      <c r="C17" s="43" t="s">
        <v>348</v>
      </c>
      <c r="D17" s="48" t="s">
        <v>349</v>
      </c>
    </row>
    <row r="18" spans="1:4" ht="24.6">
      <c r="A18" s="49">
        <v>13</v>
      </c>
      <c r="B18" s="43" t="s">
        <v>350</v>
      </c>
      <c r="C18" s="43" t="s">
        <v>350</v>
      </c>
      <c r="D18" s="47" t="s">
        <v>351</v>
      </c>
    </row>
    <row r="19" spans="1:4">
      <c r="A19" s="49">
        <v>14</v>
      </c>
      <c r="B19" s="43" t="s">
        <v>352</v>
      </c>
      <c r="C19" s="43" t="s">
        <v>353</v>
      </c>
      <c r="D19" s="47" t="s">
        <v>354</v>
      </c>
    </row>
    <row r="20" spans="1:4">
      <c r="A20" s="50">
        <v>15</v>
      </c>
      <c r="B20" s="43" t="s">
        <v>355</v>
      </c>
      <c r="C20" s="43" t="s">
        <v>356</v>
      </c>
      <c r="D20" s="51" t="s">
        <v>341</v>
      </c>
    </row>
    <row r="21" spans="1:4" ht="25.5">
      <c r="A21" s="44">
        <v>16</v>
      </c>
      <c r="B21" s="52" t="s">
        <v>357</v>
      </c>
      <c r="C21" s="52" t="s">
        <v>358</v>
      </c>
      <c r="D21" s="47" t="s">
        <v>351</v>
      </c>
    </row>
    <row r="22" spans="1:4" ht="87">
      <c r="A22" s="44">
        <v>17</v>
      </c>
      <c r="B22" s="52" t="s">
        <v>359</v>
      </c>
      <c r="C22" s="52" t="s">
        <v>360</v>
      </c>
      <c r="D22" s="47" t="s">
        <v>361</v>
      </c>
    </row>
    <row r="23" spans="1:4">
      <c r="A23" s="44">
        <v>18</v>
      </c>
      <c r="B23" s="52" t="s">
        <v>362</v>
      </c>
      <c r="C23" s="52" t="s">
        <v>363</v>
      </c>
      <c r="D23" s="47" t="s">
        <v>341</v>
      </c>
    </row>
    <row r="24" spans="1:4" ht="74.7">
      <c r="A24" s="44">
        <v>19</v>
      </c>
      <c r="B24" s="52" t="s">
        <v>364</v>
      </c>
      <c r="C24" s="52" t="s">
        <v>365</v>
      </c>
      <c r="D24" s="53" t="s">
        <v>366</v>
      </c>
    </row>
    <row r="25" spans="1:4">
      <c r="A25" s="44">
        <v>20</v>
      </c>
      <c r="B25" s="54" t="s">
        <v>367</v>
      </c>
      <c r="C25" s="54" t="s">
        <v>368</v>
      </c>
      <c r="D25" s="55" t="s">
        <v>369</v>
      </c>
    </row>
    <row r="26" spans="1:4" ht="37.799999999999997">
      <c r="A26" s="44">
        <v>21</v>
      </c>
      <c r="B26" s="52" t="s">
        <v>362</v>
      </c>
      <c r="C26" s="52" t="s">
        <v>370</v>
      </c>
      <c r="D26" s="47" t="s">
        <v>341</v>
      </c>
    </row>
    <row r="27" spans="1:4">
      <c r="A27" s="44">
        <v>22</v>
      </c>
      <c r="B27" s="52" t="s">
        <v>371</v>
      </c>
      <c r="C27" s="52" t="s">
        <v>372</v>
      </c>
      <c r="D27" s="47" t="s">
        <v>349</v>
      </c>
    </row>
    <row r="28" spans="1:4" ht="87">
      <c r="A28" s="44">
        <v>23</v>
      </c>
      <c r="B28" s="52" t="s">
        <v>373</v>
      </c>
      <c r="C28" s="52" t="s">
        <v>374</v>
      </c>
      <c r="D28" s="53" t="s">
        <v>366</v>
      </c>
    </row>
    <row r="29" spans="1:4">
      <c r="A29" s="44">
        <v>25</v>
      </c>
      <c r="B29" s="52" t="s">
        <v>375</v>
      </c>
      <c r="C29" s="52" t="s">
        <v>376</v>
      </c>
      <c r="D29" s="53" t="s">
        <v>377</v>
      </c>
    </row>
    <row r="30" spans="1:4" ht="37.799999999999997">
      <c r="A30" s="44">
        <v>26</v>
      </c>
      <c r="B30" s="52" t="s">
        <v>378</v>
      </c>
      <c r="C30" s="52" t="s">
        <v>379</v>
      </c>
      <c r="D30" s="53" t="s">
        <v>380</v>
      </c>
    </row>
    <row r="31" spans="1:4">
      <c r="A31" s="44">
        <v>27</v>
      </c>
      <c r="B31" s="52" t="s">
        <v>381</v>
      </c>
      <c r="C31" s="52" t="s">
        <v>382</v>
      </c>
      <c r="D31" s="53" t="s">
        <v>383</v>
      </c>
    </row>
    <row r="32" spans="1:4" ht="24.6">
      <c r="A32" s="44">
        <v>28</v>
      </c>
      <c r="B32" s="56" t="s">
        <v>384</v>
      </c>
      <c r="C32" s="56" t="s">
        <v>385</v>
      </c>
      <c r="D32" s="57" t="s">
        <v>369</v>
      </c>
    </row>
    <row r="33" spans="1:4" ht="36.9">
      <c r="A33" s="44">
        <v>29</v>
      </c>
      <c r="B33" s="56" t="s">
        <v>386</v>
      </c>
      <c r="C33" s="56" t="s">
        <v>387</v>
      </c>
      <c r="D33" s="56" t="s">
        <v>388</v>
      </c>
    </row>
    <row r="34" spans="1:4" ht="24.6">
      <c r="A34" s="44">
        <v>30</v>
      </c>
      <c r="B34" s="56" t="s">
        <v>389</v>
      </c>
      <c r="C34" s="56" t="s">
        <v>390</v>
      </c>
      <c r="D34" s="56" t="s">
        <v>391</v>
      </c>
    </row>
    <row r="35" spans="1:4" ht="24.6">
      <c r="A35" s="44">
        <v>31</v>
      </c>
      <c r="B35" s="56" t="s">
        <v>392</v>
      </c>
      <c r="C35" s="56" t="s">
        <v>393</v>
      </c>
      <c r="D35" s="57" t="s">
        <v>394</v>
      </c>
    </row>
    <row r="36" spans="1:4" ht="61.5">
      <c r="A36" s="44">
        <v>32</v>
      </c>
      <c r="B36" s="56" t="s">
        <v>395</v>
      </c>
      <c r="C36" s="56" t="s">
        <v>396</v>
      </c>
      <c r="D36" s="57" t="s">
        <v>369</v>
      </c>
    </row>
    <row r="37" spans="1:4">
      <c r="A37" s="312">
        <v>33</v>
      </c>
      <c r="B37" s="52" t="s">
        <v>397</v>
      </c>
      <c r="C37" s="53" t="s">
        <v>403</v>
      </c>
      <c r="D37" s="53" t="s">
        <v>398</v>
      </c>
    </row>
    <row r="38" spans="1:4">
      <c r="A38" s="312"/>
      <c r="B38" s="53" t="s">
        <v>399</v>
      </c>
      <c r="C38" s="53" t="s">
        <v>400</v>
      </c>
      <c r="D38" s="53" t="s">
        <v>401</v>
      </c>
    </row>
    <row r="39" spans="1:4">
      <c r="A39" s="312"/>
      <c r="B39" s="45" t="s">
        <v>402</v>
      </c>
      <c r="C39" s="17"/>
      <c r="D39" s="17"/>
    </row>
    <row r="40" spans="1:4">
      <c r="A40" s="49">
        <v>34</v>
      </c>
      <c r="B40" s="45" t="s">
        <v>654</v>
      </c>
      <c r="C40" s="17" t="s">
        <v>655</v>
      </c>
      <c r="D40" s="17" t="s">
        <v>656</v>
      </c>
    </row>
    <row r="41" spans="1:4" ht="36.9">
      <c r="A41" s="81">
        <v>35</v>
      </c>
      <c r="B41" s="88" t="s">
        <v>713</v>
      </c>
      <c r="C41" s="87" t="s">
        <v>679</v>
      </c>
      <c r="D41" s="87" t="s">
        <v>658</v>
      </c>
    </row>
    <row r="42" spans="1:4" ht="61.5">
      <c r="A42" s="49">
        <v>36</v>
      </c>
      <c r="B42" s="45" t="s">
        <v>720</v>
      </c>
      <c r="C42" s="73" t="s">
        <v>721</v>
      </c>
      <c r="D42" s="74" t="s">
        <v>656</v>
      </c>
    </row>
    <row r="43" spans="1:4" ht="157.5">
      <c r="A43" s="49">
        <v>37</v>
      </c>
      <c r="B43" s="89" t="s">
        <v>733</v>
      </c>
      <c r="C43" s="90" t="s">
        <v>731</v>
      </c>
      <c r="D43" s="91" t="s">
        <v>732</v>
      </c>
    </row>
    <row r="44" spans="1:4" ht="24.6">
      <c r="A44" s="49">
        <v>38</v>
      </c>
      <c r="B44" s="45" t="s">
        <v>735</v>
      </c>
      <c r="C44" s="74" t="s">
        <v>736</v>
      </c>
      <c r="D44" s="74" t="s">
        <v>656</v>
      </c>
    </row>
    <row r="45" spans="1:4" ht="110.7">
      <c r="A45" s="49">
        <v>39</v>
      </c>
      <c r="B45" s="45" t="s">
        <v>776</v>
      </c>
      <c r="C45" s="73" t="s">
        <v>777</v>
      </c>
      <c r="D45" s="74" t="s">
        <v>656</v>
      </c>
    </row>
    <row r="46" spans="1:4" ht="159.9">
      <c r="A46" s="81">
        <v>40</v>
      </c>
      <c r="B46" s="92" t="s">
        <v>860</v>
      </c>
      <c r="C46" t="s">
        <v>803</v>
      </c>
      <c r="D46" s="93" t="s">
        <v>656</v>
      </c>
    </row>
    <row r="47" spans="1:4" ht="151.80000000000001">
      <c r="A47" s="49">
        <v>41</v>
      </c>
      <c r="B47" s="97" t="s">
        <v>902</v>
      </c>
      <c r="C47" s="17" t="s">
        <v>803</v>
      </c>
      <c r="D47" s="74" t="s">
        <v>889</v>
      </c>
    </row>
    <row r="48" spans="1:4" ht="76.2">
      <c r="A48" s="49">
        <v>42</v>
      </c>
      <c r="B48" s="97" t="s">
        <v>905</v>
      </c>
      <c r="C48" s="21" t="s">
        <v>908</v>
      </c>
      <c r="D48" s="74" t="s">
        <v>889</v>
      </c>
    </row>
    <row r="49" spans="1:4" ht="152.25" customHeight="1">
      <c r="A49" s="49">
        <v>43</v>
      </c>
      <c r="B49" s="99" t="s">
        <v>2584</v>
      </c>
      <c r="C49" s="21" t="s">
        <v>936</v>
      </c>
      <c r="D49" s="74" t="s">
        <v>656</v>
      </c>
    </row>
    <row r="50" spans="1:4" ht="21.6">
      <c r="A50" s="49">
        <v>44</v>
      </c>
      <c r="B50" s="99" t="s">
        <v>2585</v>
      </c>
      <c r="C50" s="21" t="s">
        <v>956</v>
      </c>
      <c r="D50" s="74" t="s">
        <v>656</v>
      </c>
    </row>
    <row r="51" spans="1:4" ht="21.6">
      <c r="A51" s="49">
        <v>45</v>
      </c>
      <c r="B51" s="99" t="s">
        <v>955</v>
      </c>
      <c r="C51" s="21" t="s">
        <v>957</v>
      </c>
      <c r="D51" s="74" t="s">
        <v>656</v>
      </c>
    </row>
    <row r="52" spans="1:4" ht="115.2">
      <c r="A52" s="49">
        <v>46</v>
      </c>
      <c r="B52" s="99" t="s">
        <v>1085</v>
      </c>
      <c r="C52" s="21" t="s">
        <v>1083</v>
      </c>
      <c r="D52" s="74" t="s">
        <v>656</v>
      </c>
    </row>
    <row r="53" spans="1:4" ht="21.6">
      <c r="A53" s="81">
        <v>47</v>
      </c>
      <c r="B53" s="106" t="s">
        <v>1104</v>
      </c>
      <c r="C53" s="107" t="s">
        <v>1105</v>
      </c>
      <c r="D53" s="93" t="s">
        <v>656</v>
      </c>
    </row>
    <row r="54" spans="1:4" ht="62.4">
      <c r="A54" s="49">
        <v>48</v>
      </c>
      <c r="B54" s="99" t="s">
        <v>2452</v>
      </c>
      <c r="C54" s="105" t="s">
        <v>1114</v>
      </c>
      <c r="D54" s="93" t="s">
        <v>656</v>
      </c>
    </row>
    <row r="55" spans="1:4" ht="103.2">
      <c r="A55" s="81">
        <v>49</v>
      </c>
      <c r="B55" s="106" t="s">
        <v>1499</v>
      </c>
      <c r="C55" s="112" t="s">
        <v>1114</v>
      </c>
      <c r="D55" s="107" t="s">
        <v>1401</v>
      </c>
    </row>
    <row r="56" spans="1:4" ht="82.8">
      <c r="A56" s="49">
        <v>50</v>
      </c>
      <c r="B56" s="113" t="s">
        <v>1617</v>
      </c>
      <c r="C56" s="105" t="s">
        <v>1598</v>
      </c>
      <c r="D56" s="74" t="s">
        <v>1580</v>
      </c>
    </row>
    <row r="57" spans="1:4" ht="409.6">
      <c r="A57" s="49">
        <v>51</v>
      </c>
      <c r="B57" s="113" t="s">
        <v>2455</v>
      </c>
      <c r="C57" s="105" t="s">
        <v>1114</v>
      </c>
      <c r="D57" s="73" t="s">
        <v>1894</v>
      </c>
    </row>
    <row r="58" spans="1:4" ht="82.8">
      <c r="A58" s="49">
        <v>52</v>
      </c>
      <c r="B58" s="113" t="s">
        <v>2761</v>
      </c>
      <c r="C58" s="105" t="s">
        <v>2334</v>
      </c>
      <c r="D58" s="73" t="s">
        <v>2056</v>
      </c>
    </row>
    <row r="59" spans="1:4" ht="72.599999999999994">
      <c r="A59" s="49">
        <v>53</v>
      </c>
      <c r="B59" s="113" t="s">
        <v>2762</v>
      </c>
      <c r="C59" s="105" t="s">
        <v>2055</v>
      </c>
      <c r="D59" s="74" t="s">
        <v>2056</v>
      </c>
    </row>
    <row r="60" spans="1:4" ht="28.8">
      <c r="A60" s="190">
        <v>54</v>
      </c>
      <c r="B60" s="99" t="s">
        <v>2456</v>
      </c>
      <c r="C60" s="105" t="s">
        <v>2457</v>
      </c>
      <c r="D60" s="104" t="s">
        <v>2458</v>
      </c>
    </row>
    <row r="61" spans="1:4" ht="368.4">
      <c r="A61" s="49">
        <v>55</v>
      </c>
      <c r="B61" s="99" t="s">
        <v>2615</v>
      </c>
      <c r="C61" s="105" t="s">
        <v>2582</v>
      </c>
      <c r="D61" s="74" t="s">
        <v>2453</v>
      </c>
    </row>
    <row r="62" spans="1:4" ht="144">
      <c r="A62" s="49">
        <v>56</v>
      </c>
      <c r="B62" s="113" t="s">
        <v>2810</v>
      </c>
      <c r="C62" s="105" t="s">
        <v>2809</v>
      </c>
      <c r="D62" s="74" t="s">
        <v>2453</v>
      </c>
    </row>
    <row r="63" spans="1:4" ht="72.599999999999994">
      <c r="A63" s="49">
        <v>57</v>
      </c>
      <c r="B63" s="113" t="s">
        <v>2780</v>
      </c>
      <c r="C63" s="237" t="s">
        <v>2779</v>
      </c>
      <c r="D63" s="238" t="s">
        <v>2741</v>
      </c>
    </row>
    <row r="64" spans="1:4" s="68" customFormat="1" ht="138" customHeight="1">
      <c r="A64" s="49">
        <v>58</v>
      </c>
      <c r="B64" s="113" t="s">
        <v>2908</v>
      </c>
      <c r="C64" s="73" t="s">
        <v>2809</v>
      </c>
      <c r="D64" s="74" t="s">
        <v>2741</v>
      </c>
    </row>
    <row r="65" spans="1:4">
      <c r="A65" s="49"/>
      <c r="B65" s="113"/>
      <c r="C65" s="105"/>
      <c r="D65" s="74"/>
    </row>
    <row r="66" spans="1:4">
      <c r="A66" s="49"/>
      <c r="B66" s="113"/>
      <c r="C66" s="105"/>
      <c r="D66" s="74"/>
    </row>
    <row r="67" spans="1:4">
      <c r="A67" s="49"/>
      <c r="B67" s="113"/>
      <c r="C67" s="105"/>
      <c r="D67" s="74"/>
    </row>
    <row r="68" spans="1:4">
      <c r="A68" s="49"/>
      <c r="B68" s="105"/>
      <c r="D68" s="74"/>
    </row>
    <row r="69" spans="1:4">
      <c r="A69" s="49"/>
      <c r="B69" s="113"/>
      <c r="C69" s="105"/>
      <c r="D69" s="74"/>
    </row>
    <row r="70" spans="1:4">
      <c r="A70" s="49"/>
      <c r="B70" s="113"/>
      <c r="C70" s="105"/>
      <c r="D70" s="74"/>
    </row>
    <row r="71" spans="1:4">
      <c r="A71" s="49"/>
      <c r="B71" s="113"/>
      <c r="C71" s="105"/>
      <c r="D71" s="74"/>
    </row>
    <row r="72" spans="1:4">
      <c r="A72" s="49"/>
      <c r="B72" s="113"/>
      <c r="C72" s="105"/>
      <c r="D72" s="74"/>
    </row>
    <row r="73" spans="1:4">
      <c r="A73" s="49"/>
      <c r="B73" s="113"/>
      <c r="C73" s="105"/>
      <c r="D73" s="74"/>
    </row>
    <row r="74" spans="1:4">
      <c r="A74" s="49"/>
      <c r="B74" s="113"/>
      <c r="C74" s="105"/>
      <c r="D74" s="74"/>
    </row>
    <row r="75" spans="1:4">
      <c r="A75" s="49"/>
      <c r="B75" s="113"/>
      <c r="C75" s="105"/>
      <c r="D75" s="74"/>
    </row>
    <row r="76" spans="1:4">
      <c r="A76" s="49"/>
      <c r="B76" s="113"/>
      <c r="C76" s="105"/>
      <c r="D76" s="74"/>
    </row>
    <row r="77" spans="1:4">
      <c r="A77" s="49"/>
      <c r="B77" s="113"/>
      <c r="C77" s="105"/>
      <c r="D77" s="74"/>
    </row>
    <row r="78" spans="1:4">
      <c r="A78" s="49"/>
      <c r="B78" s="113"/>
      <c r="C78" s="105"/>
      <c r="D78" s="74"/>
    </row>
    <row r="79" spans="1:4">
      <c r="A79" s="49"/>
      <c r="B79" s="113"/>
      <c r="C79" s="105"/>
      <c r="D79" s="74"/>
    </row>
    <row r="80" spans="1:4">
      <c r="A80" s="49"/>
      <c r="B80" s="113"/>
      <c r="C80" s="105"/>
      <c r="D80" s="74"/>
    </row>
    <row r="81" spans="1:4">
      <c r="A81" s="49"/>
      <c r="B81" s="113"/>
      <c r="C81" s="105"/>
      <c r="D81" s="74"/>
    </row>
    <row r="82" spans="1:4">
      <c r="A82" s="49"/>
      <c r="B82" s="113"/>
      <c r="C82" s="105"/>
      <c r="D82" s="74"/>
    </row>
    <row r="83" spans="1:4">
      <c r="A83" s="49"/>
      <c r="B83" s="113"/>
      <c r="C83" s="105"/>
      <c r="D83" s="74"/>
    </row>
    <row r="84" spans="1:4">
      <c r="A84" s="49"/>
      <c r="B84" s="113"/>
      <c r="C84" s="105"/>
      <c r="D84" s="74"/>
    </row>
    <row r="85" spans="1:4">
      <c r="A85" s="49"/>
      <c r="B85" s="113"/>
      <c r="C85" s="105"/>
      <c r="D85" s="74"/>
    </row>
    <row r="86" spans="1:4">
      <c r="A86" s="49"/>
      <c r="B86" s="113"/>
      <c r="C86" s="105"/>
      <c r="D86" s="74"/>
    </row>
    <row r="87" spans="1:4">
      <c r="A87" s="49"/>
      <c r="B87" s="113"/>
      <c r="C87" s="105"/>
      <c r="D87" s="74"/>
    </row>
    <row r="88" spans="1:4">
      <c r="A88" s="49"/>
      <c r="B88" s="113"/>
      <c r="C88" s="105"/>
      <c r="D88" s="74"/>
    </row>
    <row r="89" spans="1:4">
      <c r="A89" s="49"/>
    </row>
    <row r="90" spans="1:4">
      <c r="A90" s="49"/>
    </row>
    <row r="91" spans="1:4">
      <c r="A91" s="49"/>
    </row>
    <row r="92" spans="1:4">
      <c r="A92" s="49"/>
    </row>
    <row r="93" spans="1:4">
      <c r="A93" s="49"/>
    </row>
    <row r="94" spans="1:4">
      <c r="A94" s="49"/>
    </row>
    <row r="95" spans="1:4">
      <c r="A95" s="49"/>
    </row>
  </sheetData>
  <mergeCells count="1">
    <mergeCell ref="A37:A39"/>
  </mergeCells>
  <phoneticPr fontId="17"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B120"/>
  <sheetViews>
    <sheetView topLeftCell="BM1" zoomScale="70" zoomScaleNormal="70" workbookViewId="0">
      <selection activeCell="AG2" sqref="AG2:AR36"/>
    </sheetView>
  </sheetViews>
  <sheetFormatPr defaultColWidth="67.15625" defaultRowHeight="14.4"/>
  <cols>
    <col min="1" max="1" width="40.26171875" style="68" bestFit="1" customWidth="1"/>
    <col min="2" max="2" width="24.5234375" style="68" bestFit="1" customWidth="1"/>
    <col min="3" max="3" width="67.15625" style="68"/>
    <col min="4" max="4" width="2.26171875" customWidth="1"/>
    <col min="5" max="5" width="33.7890625" bestFit="1" customWidth="1"/>
    <col min="6" max="6" width="20.734375" customWidth="1"/>
    <col min="7" max="7" width="22.734375" customWidth="1"/>
    <col min="8" max="8" width="20.734375" customWidth="1"/>
    <col min="9" max="9" width="48.15625" customWidth="1"/>
    <col min="10" max="11" width="20.734375" customWidth="1"/>
    <col min="12" max="12" width="21.5234375" customWidth="1"/>
    <col min="13" max="13" width="20.734375" customWidth="1"/>
    <col min="14" max="14" width="26.5234375" customWidth="1"/>
    <col min="15" max="25" width="20.734375" customWidth="1"/>
    <col min="26" max="26" width="25.5234375" customWidth="1"/>
    <col min="27" max="27" width="22.5234375" customWidth="1"/>
    <col min="28" max="30" width="20.734375" customWidth="1"/>
    <col min="31" max="33" width="21" customWidth="1"/>
    <col min="34" max="34" width="20.734375" customWidth="1"/>
    <col min="35" max="36" width="22.734375" customWidth="1"/>
    <col min="37" max="38" width="21.26171875" customWidth="1"/>
    <col min="39" max="39" width="27" customWidth="1"/>
    <col min="40" max="41" width="24.734375" customWidth="1"/>
    <col min="42" max="43" width="24.26171875" customWidth="1"/>
    <col min="44" max="44" width="25.734375" customWidth="1"/>
    <col min="45" max="45" width="25.26171875" customWidth="1"/>
    <col min="46" max="46" width="30" customWidth="1"/>
    <col min="47" max="47" width="24.15625" customWidth="1"/>
    <col min="48" max="56" width="36.734375" customWidth="1"/>
    <col min="57" max="58" width="25.734375" customWidth="1"/>
    <col min="59" max="60" width="22.5234375" bestFit="1" customWidth="1"/>
    <col min="61" max="63" width="21.5234375" customWidth="1"/>
    <col min="64" max="64" width="21.5234375" style="68" customWidth="1"/>
    <col min="65" max="71" width="22" bestFit="1" customWidth="1"/>
    <col min="72" max="72" width="20.734375" customWidth="1"/>
    <col min="73" max="75" width="20.734375" style="68" customWidth="1"/>
    <col min="76" max="79" width="20.734375" customWidth="1"/>
    <col min="80" max="80" width="65.5234375" customWidth="1"/>
    <col min="81" max="138" width="20.734375" customWidth="1"/>
  </cols>
  <sheetData>
    <row r="1" spans="1:80" ht="27.6">
      <c r="A1" s="252" t="s">
        <v>268</v>
      </c>
      <c r="B1" s="252" t="s">
        <v>415</v>
      </c>
      <c r="C1" s="252" t="s">
        <v>269</v>
      </c>
      <c r="E1" s="61" t="s">
        <v>416</v>
      </c>
      <c r="F1" s="1" t="s">
        <v>423</v>
      </c>
      <c r="G1" s="1" t="s">
        <v>424</v>
      </c>
      <c r="H1" s="1" t="s">
        <v>424</v>
      </c>
      <c r="I1" s="1" t="s">
        <v>425</v>
      </c>
      <c r="J1" s="1" t="s">
        <v>426</v>
      </c>
      <c r="K1" s="1" t="s">
        <v>424</v>
      </c>
      <c r="L1" s="1" t="s">
        <v>81</v>
      </c>
      <c r="M1" s="1" t="s">
        <v>427</v>
      </c>
      <c r="N1" s="1" t="s">
        <v>428</v>
      </c>
      <c r="O1" s="1" t="s">
        <v>429</v>
      </c>
      <c r="P1" s="1" t="s">
        <v>430</v>
      </c>
      <c r="Q1" s="1" t="s">
        <v>429</v>
      </c>
      <c r="R1" s="1" t="s">
        <v>81</v>
      </c>
      <c r="S1" s="1" t="s">
        <v>81</v>
      </c>
      <c r="T1" s="1" t="s">
        <v>81</v>
      </c>
      <c r="U1" s="1" t="s">
        <v>430</v>
      </c>
      <c r="V1" s="1" t="s">
        <v>81</v>
      </c>
      <c r="W1" s="1" t="s">
        <v>81</v>
      </c>
      <c r="X1" s="1" t="s">
        <v>428</v>
      </c>
      <c r="Y1" s="1" t="s">
        <v>81</v>
      </c>
      <c r="Z1" s="1" t="s">
        <v>428</v>
      </c>
      <c r="AA1" s="1" t="s">
        <v>430</v>
      </c>
      <c r="AB1" s="1" t="s">
        <v>81</v>
      </c>
      <c r="AC1" s="1" t="s">
        <v>431</v>
      </c>
      <c r="AD1" s="1" t="s">
        <v>429</v>
      </c>
      <c r="AE1" s="1" t="s">
        <v>430</v>
      </c>
      <c r="AF1" s="1" t="s">
        <v>430</v>
      </c>
      <c r="AG1" s="1" t="s">
        <v>430</v>
      </c>
      <c r="AH1" s="1" t="s">
        <v>431</v>
      </c>
      <c r="AI1" s="1" t="s">
        <v>431</v>
      </c>
      <c r="AJ1" s="1" t="s">
        <v>431</v>
      </c>
      <c r="AK1" s="1" t="s">
        <v>432</v>
      </c>
      <c r="AL1" s="1" t="s">
        <v>432</v>
      </c>
      <c r="AM1" s="1" t="s">
        <v>432</v>
      </c>
      <c r="AN1" s="1" t="s">
        <v>429</v>
      </c>
      <c r="AO1" s="1" t="s">
        <v>429</v>
      </c>
      <c r="AP1" s="1" t="s">
        <v>433</v>
      </c>
      <c r="AQ1" s="1" t="s">
        <v>433</v>
      </c>
      <c r="AR1" s="1" t="s">
        <v>433</v>
      </c>
      <c r="AS1" s="1" t="s">
        <v>81</v>
      </c>
      <c r="AT1" s="1" t="s">
        <v>81</v>
      </c>
      <c r="AU1" s="1" t="s">
        <v>81</v>
      </c>
      <c r="AV1" s="1" t="s">
        <v>431</v>
      </c>
      <c r="AW1" s="1" t="s">
        <v>431</v>
      </c>
      <c r="AX1" s="1" t="s">
        <v>431</v>
      </c>
      <c r="AY1" s="1" t="s">
        <v>431</v>
      </c>
      <c r="AZ1" s="1" t="s">
        <v>431</v>
      </c>
      <c r="BA1" s="1" t="s">
        <v>431</v>
      </c>
      <c r="BB1" s="1" t="s">
        <v>431</v>
      </c>
      <c r="BC1" s="1" t="s">
        <v>431</v>
      </c>
      <c r="BD1" s="1" t="s">
        <v>431</v>
      </c>
      <c r="BE1" s="1" t="s">
        <v>433</v>
      </c>
      <c r="BF1" s="1" t="s">
        <v>433</v>
      </c>
      <c r="BG1" s="1" t="s">
        <v>2675</v>
      </c>
      <c r="BH1" s="1" t="s">
        <v>2676</v>
      </c>
      <c r="BI1" s="1" t="s">
        <v>433</v>
      </c>
      <c r="BJ1" s="1" t="s">
        <v>433</v>
      </c>
      <c r="BK1" s="1" t="s">
        <v>433</v>
      </c>
      <c r="BL1" s="3" t="s">
        <v>433</v>
      </c>
      <c r="BM1" s="1" t="s">
        <v>432</v>
      </c>
      <c r="BN1" s="1" t="s">
        <v>432</v>
      </c>
      <c r="BO1" s="1" t="s">
        <v>432</v>
      </c>
      <c r="BP1" s="1" t="s">
        <v>432</v>
      </c>
      <c r="BQ1" s="1" t="s">
        <v>435</v>
      </c>
      <c r="BR1" s="1" t="s">
        <v>435</v>
      </c>
      <c r="BS1" s="1" t="s">
        <v>435</v>
      </c>
      <c r="BT1" s="1" t="s">
        <v>431</v>
      </c>
      <c r="BU1" s="3" t="s">
        <v>1579</v>
      </c>
      <c r="BV1" s="3" t="s">
        <v>1579</v>
      </c>
      <c r="BW1" s="3" t="s">
        <v>1579</v>
      </c>
      <c r="BX1" s="1" t="s">
        <v>1579</v>
      </c>
      <c r="BY1" s="1" t="s">
        <v>1585</v>
      </c>
      <c r="BZ1" s="1" t="s">
        <v>1585</v>
      </c>
      <c r="CA1" s="1" t="s">
        <v>434</v>
      </c>
    </row>
    <row r="2" spans="1:80">
      <c r="A2" s="252"/>
      <c r="B2" s="252"/>
      <c r="C2" s="252"/>
      <c r="E2" s="61" t="s">
        <v>2388</v>
      </c>
      <c r="F2" s="1" t="s">
        <v>459</v>
      </c>
      <c r="G2" s="1" t="s">
        <v>0</v>
      </c>
      <c r="H2" s="1" t="s">
        <v>1</v>
      </c>
      <c r="I2" s="1" t="s">
        <v>458</v>
      </c>
      <c r="J2" s="1" t="s">
        <v>2345</v>
      </c>
      <c r="K2" s="1" t="s">
        <v>2346</v>
      </c>
      <c r="L2" s="1" t="s">
        <v>455</v>
      </c>
      <c r="M2" s="1" t="s">
        <v>6</v>
      </c>
      <c r="N2" s="1" t="s">
        <v>7</v>
      </c>
      <c r="O2" s="1" t="s">
        <v>8</v>
      </c>
      <c r="P2" s="1" t="s">
        <v>456</v>
      </c>
      <c r="Q2" s="1" t="s">
        <v>457</v>
      </c>
      <c r="R2" s="1" t="s">
        <v>11</v>
      </c>
      <c r="S2" s="1" t="s">
        <v>12</v>
      </c>
      <c r="T2" s="1" t="s">
        <v>13</v>
      </c>
      <c r="U2" s="1" t="s">
        <v>14</v>
      </c>
      <c r="V2" s="1" t="s">
        <v>15</v>
      </c>
      <c r="W2" s="1" t="s">
        <v>16</v>
      </c>
      <c r="X2" s="1" t="s">
        <v>460</v>
      </c>
      <c r="Y2" s="1" t="s">
        <v>18</v>
      </c>
      <c r="Z2" s="1" t="s">
        <v>19</v>
      </c>
      <c r="AA2" s="1" t="s">
        <v>20</v>
      </c>
      <c r="AB2" s="1" t="s">
        <v>21</v>
      </c>
      <c r="AC2" s="1" t="s">
        <v>462</v>
      </c>
      <c r="AD2" s="1" t="s">
        <v>2513</v>
      </c>
      <c r="AE2" s="1" t="s">
        <v>2513</v>
      </c>
      <c r="AF2" s="1" t="s">
        <v>2337</v>
      </c>
      <c r="AG2" s="3" t="s">
        <v>2338</v>
      </c>
      <c r="AH2" s="3" t="s">
        <v>34</v>
      </c>
      <c r="AI2" s="3" t="s">
        <v>2339</v>
      </c>
      <c r="AJ2" s="3" t="s">
        <v>2339</v>
      </c>
      <c r="AK2" s="3" t="s">
        <v>38</v>
      </c>
      <c r="AL2" s="3" t="s">
        <v>2462</v>
      </c>
      <c r="AM2" s="3" t="s">
        <v>2475</v>
      </c>
      <c r="AN2" s="3" t="s">
        <v>2340</v>
      </c>
      <c r="AO2" s="3" t="s">
        <v>2340</v>
      </c>
      <c r="AP2" s="3" t="s">
        <v>2341</v>
      </c>
      <c r="AQ2" s="3" t="s">
        <v>2341</v>
      </c>
      <c r="AR2" s="3" t="s">
        <v>2486</v>
      </c>
      <c r="AS2" s="1" t="s">
        <v>463</v>
      </c>
      <c r="AT2" s="1" t="s">
        <v>464</v>
      </c>
      <c r="AU2" s="1" t="s">
        <v>465</v>
      </c>
      <c r="AV2" s="1" t="s">
        <v>2514</v>
      </c>
      <c r="AW2" s="1" t="s">
        <v>1118</v>
      </c>
      <c r="AX2" s="1" t="s">
        <v>1118</v>
      </c>
      <c r="AY2" s="1" t="s">
        <v>1115</v>
      </c>
      <c r="AZ2" s="1" t="s">
        <v>2482</v>
      </c>
      <c r="BA2" s="1" t="s">
        <v>1115</v>
      </c>
      <c r="BB2" s="1" t="s">
        <v>2515</v>
      </c>
      <c r="BC2" s="1" t="s">
        <v>2757</v>
      </c>
      <c r="BD2" s="1" t="s">
        <v>2754</v>
      </c>
      <c r="BE2" s="1" t="s">
        <v>2344</v>
      </c>
      <c r="BF2" s="1" t="s">
        <v>2342</v>
      </c>
      <c r="BG2" s="1" t="s">
        <v>660</v>
      </c>
      <c r="BH2" s="1" t="s">
        <v>2791</v>
      </c>
      <c r="BI2" s="1" t="s">
        <v>40</v>
      </c>
      <c r="BJ2" s="1" t="s">
        <v>40</v>
      </c>
      <c r="BK2" s="1" t="s">
        <v>40</v>
      </c>
      <c r="BL2" s="3" t="s">
        <v>40</v>
      </c>
      <c r="BM2" s="1" t="s">
        <v>2544</v>
      </c>
      <c r="BN2" s="1" t="s">
        <v>41</v>
      </c>
      <c r="BO2" s="1" t="s">
        <v>41</v>
      </c>
      <c r="BP2" s="1" t="s">
        <v>41</v>
      </c>
      <c r="BQ2" s="1" t="s">
        <v>2518</v>
      </c>
      <c r="BR2" s="1" t="s">
        <v>31</v>
      </c>
      <c r="BS2" s="1" t="s">
        <v>2343</v>
      </c>
      <c r="BT2" s="1" t="s">
        <v>35</v>
      </c>
      <c r="BU2" s="3" t="s">
        <v>2626</v>
      </c>
      <c r="BV2" s="3" t="s">
        <v>2816</v>
      </c>
      <c r="BW2" s="3" t="s">
        <v>2818</v>
      </c>
      <c r="BX2" s="1" t="s">
        <v>1578</v>
      </c>
      <c r="BY2" s="1" t="s">
        <v>1583</v>
      </c>
      <c r="BZ2" s="1" t="s">
        <v>1584</v>
      </c>
      <c r="CA2" s="1" t="s">
        <v>1599</v>
      </c>
    </row>
    <row r="3" spans="1:80">
      <c r="A3" s="3" t="s">
        <v>32</v>
      </c>
      <c r="B3" s="3" t="s">
        <v>423</v>
      </c>
      <c r="C3" s="102" t="s">
        <v>47</v>
      </c>
      <c r="E3" s="61" t="s">
        <v>2406</v>
      </c>
      <c r="F3" s="110" t="s">
        <v>459</v>
      </c>
      <c r="G3" s="110" t="s">
        <v>0</v>
      </c>
      <c r="H3" s="111" t="s">
        <v>1</v>
      </c>
      <c r="I3" s="111" t="s">
        <v>458</v>
      </c>
      <c r="J3" s="111" t="s">
        <v>2345</v>
      </c>
      <c r="K3" s="111" t="s">
        <v>2346</v>
      </c>
      <c r="L3" s="111" t="s">
        <v>455</v>
      </c>
      <c r="M3" s="111" t="s">
        <v>6</v>
      </c>
      <c r="N3" s="111" t="s">
        <v>7</v>
      </c>
      <c r="O3" s="111" t="s">
        <v>8</v>
      </c>
      <c r="P3" s="111" t="s">
        <v>456</v>
      </c>
      <c r="Q3" s="111" t="s">
        <v>457</v>
      </c>
      <c r="R3" s="111" t="s">
        <v>11</v>
      </c>
      <c r="S3" s="111" t="s">
        <v>12</v>
      </c>
      <c r="T3" s="111" t="s">
        <v>13</v>
      </c>
      <c r="U3" s="111" t="s">
        <v>14</v>
      </c>
      <c r="V3" s="111" t="s">
        <v>15</v>
      </c>
      <c r="W3" s="111" t="s">
        <v>16</v>
      </c>
      <c r="X3" s="111" t="s">
        <v>460</v>
      </c>
      <c r="Y3" s="111" t="s">
        <v>18</v>
      </c>
      <c r="Z3" s="111" t="s">
        <v>19</v>
      </c>
      <c r="AA3" s="111" t="s">
        <v>20</v>
      </c>
      <c r="AB3" s="111" t="s">
        <v>21</v>
      </c>
      <c r="AC3" s="111" t="s">
        <v>462</v>
      </c>
      <c r="AD3" s="111" t="s">
        <v>24</v>
      </c>
      <c r="AE3" s="111" t="s">
        <v>2010</v>
      </c>
      <c r="AF3" s="111" t="s">
        <v>2011</v>
      </c>
      <c r="AG3" s="201" t="s">
        <v>2012</v>
      </c>
      <c r="AH3" s="201" t="s">
        <v>2025</v>
      </c>
      <c r="AI3" s="201" t="s">
        <v>2031</v>
      </c>
      <c r="AJ3" s="201" t="s">
        <v>2468</v>
      </c>
      <c r="AK3" s="201" t="s">
        <v>2032</v>
      </c>
      <c r="AL3" s="201" t="s">
        <v>2470</v>
      </c>
      <c r="AM3" s="201" t="s">
        <v>2556</v>
      </c>
      <c r="AN3" s="201" t="s">
        <v>2561</v>
      </c>
      <c r="AO3" s="201" t="s">
        <v>2472</v>
      </c>
      <c r="AP3" s="201" t="s">
        <v>2023</v>
      </c>
      <c r="AQ3" s="201" t="s">
        <v>2474</v>
      </c>
      <c r="AR3" s="201" t="s">
        <v>2803</v>
      </c>
      <c r="AS3" s="111" t="s">
        <v>463</v>
      </c>
      <c r="AT3" s="111" t="s">
        <v>464</v>
      </c>
      <c r="AU3" s="111" t="s">
        <v>465</v>
      </c>
      <c r="AV3" s="111" t="s">
        <v>2497</v>
      </c>
      <c r="AW3" s="111" t="s">
        <v>2477</v>
      </c>
      <c r="AX3" s="111" t="s">
        <v>2030</v>
      </c>
      <c r="AY3" s="111" t="s">
        <v>2479</v>
      </c>
      <c r="AZ3" s="111" t="s">
        <v>2481</v>
      </c>
      <c r="BA3" s="111" t="s">
        <v>2030</v>
      </c>
      <c r="BB3" s="111" t="s">
        <v>2500</v>
      </c>
      <c r="BC3" s="111" t="s">
        <v>2758</v>
      </c>
      <c r="BD3" s="111" t="s">
        <v>2756</v>
      </c>
      <c r="BE3" s="111" t="s">
        <v>2021</v>
      </c>
      <c r="BF3" s="111" t="s">
        <v>2026</v>
      </c>
      <c r="BG3" s="111" t="s">
        <v>2013</v>
      </c>
      <c r="BH3" s="111" t="s">
        <v>2014</v>
      </c>
      <c r="BI3" s="111" t="s">
        <v>2467</v>
      </c>
      <c r="BJ3" s="111" t="s">
        <v>2520</v>
      </c>
      <c r="BK3" s="111" t="s">
        <v>2799</v>
      </c>
      <c r="BL3" s="201" t="s">
        <v>2565</v>
      </c>
      <c r="BM3" s="111" t="s">
        <v>2545</v>
      </c>
      <c r="BN3" s="111" t="s">
        <v>2018</v>
      </c>
      <c r="BO3" s="111" t="s">
        <v>2466</v>
      </c>
      <c r="BP3" s="111" t="s">
        <v>2557</v>
      </c>
      <c r="BQ3" s="111" t="s">
        <v>2519</v>
      </c>
      <c r="BR3" s="111" t="s">
        <v>2027</v>
      </c>
      <c r="BS3" s="111" t="s">
        <v>2567</v>
      </c>
      <c r="BT3" s="111" t="s">
        <v>2017</v>
      </c>
      <c r="BU3" s="201" t="s">
        <v>2622</v>
      </c>
      <c r="BV3" s="201" t="s">
        <v>2817</v>
      </c>
      <c r="BW3" s="201" t="s">
        <v>2819</v>
      </c>
      <c r="BX3" s="111" t="s">
        <v>2594</v>
      </c>
      <c r="BY3" s="111" t="s">
        <v>2687</v>
      </c>
      <c r="BZ3" s="111" t="s">
        <v>2016</v>
      </c>
      <c r="CA3" s="111" t="s">
        <v>2015</v>
      </c>
    </row>
    <row r="4" spans="1:80" ht="27.6">
      <c r="A4" s="3" t="s">
        <v>0</v>
      </c>
      <c r="B4" s="3" t="s">
        <v>424</v>
      </c>
      <c r="C4" s="102" t="s">
        <v>51</v>
      </c>
      <c r="F4" s="64" t="s">
        <v>47</v>
      </c>
      <c r="G4" s="6" t="s">
        <v>51</v>
      </c>
      <c r="H4" s="63" t="s">
        <v>55</v>
      </c>
      <c r="I4" s="66" t="s">
        <v>61</v>
      </c>
      <c r="J4" s="66" t="s">
        <v>898</v>
      </c>
      <c r="K4" s="66" t="s">
        <v>63</v>
      </c>
      <c r="L4" s="64" t="s">
        <v>897</v>
      </c>
      <c r="M4" s="63" t="s">
        <v>69</v>
      </c>
      <c r="N4" s="64" t="s">
        <v>71</v>
      </c>
      <c r="O4" s="64" t="s">
        <v>73</v>
      </c>
      <c r="P4" s="64" t="s">
        <v>75</v>
      </c>
      <c r="Q4" s="64" t="s">
        <v>78</v>
      </c>
      <c r="R4" s="64" t="s">
        <v>79</v>
      </c>
      <c r="S4" s="64" t="s">
        <v>88</v>
      </c>
      <c r="T4" s="64" t="s">
        <v>89</v>
      </c>
      <c r="U4" s="63" t="s">
        <v>91</v>
      </c>
      <c r="V4" s="64" t="s">
        <v>98</v>
      </c>
      <c r="W4" s="64" t="s">
        <v>100</v>
      </c>
      <c r="X4" s="64" t="s">
        <v>102</v>
      </c>
      <c r="Y4" s="64" t="s">
        <v>104</v>
      </c>
      <c r="Z4" s="64" t="s">
        <v>104</v>
      </c>
      <c r="AA4" s="67" t="s">
        <v>108</v>
      </c>
      <c r="AB4" s="64" t="s">
        <v>116</v>
      </c>
      <c r="AC4" s="64" t="s">
        <v>117</v>
      </c>
      <c r="AD4" s="67" t="s">
        <v>120</v>
      </c>
      <c r="AE4" s="67" t="s">
        <v>120</v>
      </c>
      <c r="AF4" s="67" t="s">
        <v>120</v>
      </c>
      <c r="AG4" s="67" t="s">
        <v>120</v>
      </c>
      <c r="AH4" s="63" t="s">
        <v>539</v>
      </c>
      <c r="AI4" s="63" t="s">
        <v>230</v>
      </c>
      <c r="AJ4" s="63" t="s">
        <v>162</v>
      </c>
      <c r="AK4" s="63" t="s">
        <v>230</v>
      </c>
      <c r="AL4" s="63" t="s">
        <v>162</v>
      </c>
      <c r="AM4" s="63" t="s">
        <v>165</v>
      </c>
      <c r="AN4" s="63" t="s">
        <v>230</v>
      </c>
      <c r="AO4" s="63" t="s">
        <v>162</v>
      </c>
      <c r="AP4" s="63" t="s">
        <v>168</v>
      </c>
      <c r="AQ4" s="63" t="s">
        <v>162</v>
      </c>
      <c r="AR4" s="66" t="s">
        <v>767</v>
      </c>
      <c r="AS4" s="64">
        <v>3.02</v>
      </c>
      <c r="AT4" s="64">
        <v>3.53</v>
      </c>
      <c r="AU4" s="63">
        <v>3.54</v>
      </c>
      <c r="AV4" s="223" t="s">
        <v>2743</v>
      </c>
      <c r="AW4" s="63" t="s">
        <v>191</v>
      </c>
      <c r="AX4" s="215" t="s">
        <v>2488</v>
      </c>
      <c r="AY4" s="63" t="s">
        <v>191</v>
      </c>
      <c r="AZ4" s="215" t="s">
        <v>728</v>
      </c>
      <c r="BA4" s="215" t="s">
        <v>728</v>
      </c>
      <c r="BB4" s="224" t="s">
        <v>2743</v>
      </c>
      <c r="BC4" s="224" t="s">
        <v>2743</v>
      </c>
      <c r="BD4" s="224" t="s">
        <v>2743</v>
      </c>
      <c r="BE4" s="63" t="s">
        <v>202</v>
      </c>
      <c r="BF4" s="63" t="s">
        <v>2057</v>
      </c>
      <c r="BG4" s="63" t="s">
        <v>211</v>
      </c>
      <c r="BH4" s="223" t="s">
        <v>2742</v>
      </c>
      <c r="BI4" s="63" t="s">
        <v>418</v>
      </c>
      <c r="BJ4" s="65" t="s">
        <v>740</v>
      </c>
      <c r="BK4" s="66" t="s">
        <v>2785</v>
      </c>
      <c r="BL4" s="63" t="s">
        <v>418</v>
      </c>
      <c r="BM4" s="64" t="s">
        <v>2549</v>
      </c>
      <c r="BN4" s="66" t="s">
        <v>801</v>
      </c>
      <c r="BO4" s="63" t="s">
        <v>238</v>
      </c>
      <c r="BP4" s="63" t="s">
        <v>238</v>
      </c>
      <c r="BQ4" s="63" t="s">
        <v>242</v>
      </c>
      <c r="BR4" s="63" t="s">
        <v>242</v>
      </c>
      <c r="BS4" s="66" t="s">
        <v>1111</v>
      </c>
      <c r="BT4" s="63" t="s">
        <v>539</v>
      </c>
      <c r="BU4" s="63" t="s">
        <v>2621</v>
      </c>
      <c r="BV4" s="63" t="s">
        <v>2621</v>
      </c>
      <c r="BW4" s="63" t="s">
        <v>2621</v>
      </c>
      <c r="BX4" s="63" t="s">
        <v>2603</v>
      </c>
      <c r="BY4" s="65" t="s">
        <v>1130</v>
      </c>
      <c r="BZ4" s="65" t="s">
        <v>1130</v>
      </c>
      <c r="CA4" s="225" t="s">
        <v>1582</v>
      </c>
    </row>
    <row r="5" spans="1:80">
      <c r="A5" s="3" t="s">
        <v>1</v>
      </c>
      <c r="B5" s="3" t="s">
        <v>424</v>
      </c>
      <c r="C5" s="102" t="s">
        <v>53</v>
      </c>
      <c r="F5" s="68"/>
      <c r="G5" s="6">
        <v>5.4</v>
      </c>
      <c r="H5" s="63" t="s">
        <v>53</v>
      </c>
      <c r="I5" s="68"/>
      <c r="J5" s="68"/>
      <c r="K5" s="68"/>
      <c r="L5" s="68"/>
      <c r="M5" s="63" t="s">
        <v>84</v>
      </c>
      <c r="N5" s="68"/>
      <c r="O5" s="68"/>
      <c r="P5" s="68"/>
      <c r="Q5" s="68"/>
      <c r="R5" s="68"/>
      <c r="S5" s="68"/>
      <c r="T5" s="68"/>
      <c r="U5" s="63" t="s">
        <v>93</v>
      </c>
      <c r="V5" s="68"/>
      <c r="W5" s="68"/>
      <c r="X5" s="68"/>
      <c r="Y5" s="68"/>
      <c r="Z5" s="68"/>
      <c r="AA5" s="67" t="s">
        <v>111</v>
      </c>
      <c r="AB5" s="68"/>
      <c r="AC5" s="64" t="s">
        <v>541</v>
      </c>
      <c r="AD5" s="67" t="s">
        <v>122</v>
      </c>
      <c r="AE5" s="67" t="s">
        <v>122</v>
      </c>
      <c r="AF5" s="67" t="s">
        <v>122</v>
      </c>
      <c r="AG5" s="67" t="s">
        <v>122</v>
      </c>
      <c r="AH5" s="63" t="s">
        <v>149</v>
      </c>
      <c r="AI5" s="63" t="s">
        <v>168</v>
      </c>
      <c r="AJ5" s="63" t="s">
        <v>173</v>
      </c>
      <c r="AK5" s="63" t="s">
        <v>168</v>
      </c>
      <c r="AL5" s="63" t="s">
        <v>173</v>
      </c>
      <c r="AM5" s="63" t="s">
        <v>168</v>
      </c>
      <c r="AN5" s="63" t="s">
        <v>168</v>
      </c>
      <c r="AO5" s="63" t="s">
        <v>173</v>
      </c>
      <c r="AP5" s="63" t="s">
        <v>171</v>
      </c>
      <c r="AQ5" s="63" t="s">
        <v>173</v>
      </c>
      <c r="AR5" s="63" t="s">
        <v>2525</v>
      </c>
      <c r="AS5" s="68"/>
      <c r="AT5" s="68"/>
      <c r="AU5" s="64" t="s">
        <v>773</v>
      </c>
      <c r="AV5" s="66"/>
      <c r="AW5" s="63" t="s">
        <v>192</v>
      </c>
      <c r="AX5" s="103" t="s">
        <v>728</v>
      </c>
      <c r="AY5" s="63" t="s">
        <v>192</v>
      </c>
      <c r="AZ5" s="103" t="s">
        <v>786</v>
      </c>
      <c r="BA5" s="103" t="s">
        <v>786</v>
      </c>
      <c r="BB5" s="103"/>
      <c r="BC5" s="103"/>
      <c r="BD5" s="103"/>
      <c r="BE5" s="63" t="s">
        <v>209</v>
      </c>
      <c r="BF5" s="66" t="s">
        <v>2487</v>
      </c>
      <c r="BG5" s="64" t="s">
        <v>665</v>
      </c>
      <c r="BH5" s="68"/>
      <c r="BI5" s="63" t="s">
        <v>236</v>
      </c>
      <c r="BJ5" s="66" t="s">
        <v>928</v>
      </c>
      <c r="BK5" s="215"/>
      <c r="BL5" s="63" t="s">
        <v>236</v>
      </c>
      <c r="BM5" s="64" t="s">
        <v>2488</v>
      </c>
      <c r="BN5" s="66" t="s">
        <v>928</v>
      </c>
      <c r="BO5" s="63" t="s">
        <v>236</v>
      </c>
      <c r="BP5" s="63" t="s">
        <v>236</v>
      </c>
      <c r="BQ5" s="63" t="s">
        <v>644</v>
      </c>
      <c r="BR5" s="63" t="s">
        <v>644</v>
      </c>
      <c r="BS5" s="66" t="s">
        <v>2488</v>
      </c>
      <c r="BT5" s="63" t="s">
        <v>149</v>
      </c>
      <c r="BU5" s="63" t="s">
        <v>2815</v>
      </c>
      <c r="BV5" s="63" t="s">
        <v>2815</v>
      </c>
      <c r="BW5" s="63" t="s">
        <v>2815</v>
      </c>
      <c r="BX5" s="63" t="s">
        <v>2708</v>
      </c>
      <c r="BY5" s="66" t="s">
        <v>904</v>
      </c>
      <c r="BZ5" s="66" t="s">
        <v>904</v>
      </c>
      <c r="CA5" s="63" t="s">
        <v>1866</v>
      </c>
    </row>
    <row r="6" spans="1:80">
      <c r="A6" s="2" t="s">
        <v>2</v>
      </c>
      <c r="B6" s="3" t="s">
        <v>425</v>
      </c>
      <c r="C6" s="102">
        <v>5.4</v>
      </c>
      <c r="F6" s="68"/>
      <c r="G6" s="6">
        <v>5.5</v>
      </c>
      <c r="H6" s="63">
        <v>5.8</v>
      </c>
      <c r="I6" s="68"/>
      <c r="J6" s="68"/>
      <c r="K6" s="68"/>
      <c r="L6" s="68"/>
      <c r="M6" s="77" t="s">
        <v>564</v>
      </c>
      <c r="N6" s="68"/>
      <c r="O6" s="68"/>
      <c r="P6" s="68"/>
      <c r="Q6" s="68"/>
      <c r="R6" s="68"/>
      <c r="S6" s="68"/>
      <c r="T6" s="68"/>
      <c r="U6" s="64" t="s">
        <v>92</v>
      </c>
      <c r="V6" s="68"/>
      <c r="W6" s="68"/>
      <c r="X6" s="68"/>
      <c r="Y6" s="68"/>
      <c r="Z6" s="68"/>
      <c r="AA6" s="67" t="s">
        <v>112</v>
      </c>
      <c r="AB6" s="68"/>
      <c r="AC6" s="64" t="s">
        <v>574</v>
      </c>
      <c r="AD6" s="65" t="s">
        <v>124</v>
      </c>
      <c r="AE6" s="63" t="s">
        <v>124</v>
      </c>
      <c r="AF6" s="63" t="s">
        <v>124</v>
      </c>
      <c r="AG6" s="63" t="s">
        <v>124</v>
      </c>
      <c r="AH6" s="63" t="s">
        <v>538</v>
      </c>
      <c r="AI6" s="63" t="s">
        <v>171</v>
      </c>
      <c r="AJ6" s="63" t="s">
        <v>176</v>
      </c>
      <c r="AK6" s="63" t="s">
        <v>171</v>
      </c>
      <c r="AL6" s="63" t="s">
        <v>176</v>
      </c>
      <c r="AM6" s="63" t="s">
        <v>171</v>
      </c>
      <c r="AN6" s="63" t="s">
        <v>171</v>
      </c>
      <c r="AO6" s="63" t="s">
        <v>176</v>
      </c>
      <c r="AP6" s="63" t="s">
        <v>234</v>
      </c>
      <c r="AQ6" s="63" t="s">
        <v>176</v>
      </c>
      <c r="AR6" s="66" t="s">
        <v>769</v>
      </c>
      <c r="AS6" s="68"/>
      <c r="AT6" s="68"/>
      <c r="AU6" s="64" t="s">
        <v>774</v>
      </c>
      <c r="AV6" s="66"/>
      <c r="AW6" s="63" t="s">
        <v>193</v>
      </c>
      <c r="AX6" s="103" t="s">
        <v>786</v>
      </c>
      <c r="AY6" s="63" t="s">
        <v>193</v>
      </c>
      <c r="AZ6" s="103" t="s">
        <v>871</v>
      </c>
      <c r="BA6" s="103" t="s">
        <v>871</v>
      </c>
      <c r="BB6" s="103"/>
      <c r="BC6" s="103"/>
      <c r="BD6" s="103"/>
      <c r="BE6" s="63" t="s">
        <v>207</v>
      </c>
      <c r="BF6" s="66" t="s">
        <v>2740</v>
      </c>
      <c r="BG6" s="64" t="s">
        <v>667</v>
      </c>
      <c r="BH6" s="68"/>
      <c r="BI6" s="63" t="s">
        <v>237</v>
      </c>
      <c r="BJ6" s="66" t="s">
        <v>861</v>
      </c>
      <c r="BK6" s="215"/>
      <c r="BL6" s="63" t="s">
        <v>237</v>
      </c>
      <c r="BM6" s="223" t="s">
        <v>2740</v>
      </c>
      <c r="BN6" s="66" t="s">
        <v>927</v>
      </c>
      <c r="BO6" s="63" t="s">
        <v>237</v>
      </c>
      <c r="BP6" s="63" t="s">
        <v>237</v>
      </c>
      <c r="BQ6" s="66" t="s">
        <v>742</v>
      </c>
      <c r="BR6" s="66" t="s">
        <v>742</v>
      </c>
      <c r="BS6" s="66" t="s">
        <v>2740</v>
      </c>
      <c r="BT6" s="63" t="s">
        <v>538</v>
      </c>
      <c r="BU6" s="66"/>
      <c r="BV6" s="66"/>
      <c r="BW6" s="66"/>
      <c r="BX6" s="66" t="s">
        <v>2604</v>
      </c>
      <c r="BY6" s="66" t="s">
        <v>786</v>
      </c>
      <c r="BZ6" s="66" t="s">
        <v>786</v>
      </c>
      <c r="CA6" s="66" t="s">
        <v>2450</v>
      </c>
    </row>
    <row r="7" spans="1:80">
      <c r="A7" s="2" t="s">
        <v>3</v>
      </c>
      <c r="B7" s="3" t="s">
        <v>426</v>
      </c>
      <c r="C7" s="102" t="s">
        <v>55</v>
      </c>
      <c r="F7" s="68"/>
      <c r="G7" s="68"/>
      <c r="H7" s="63">
        <v>5.7</v>
      </c>
      <c r="I7" s="68"/>
      <c r="J7" s="68"/>
      <c r="K7" s="68"/>
      <c r="L7" s="68"/>
      <c r="M7" s="78" t="s">
        <v>85</v>
      </c>
      <c r="N7" s="68"/>
      <c r="O7" s="68"/>
      <c r="P7" s="68"/>
      <c r="Q7" s="68"/>
      <c r="R7" s="68"/>
      <c r="S7" s="68"/>
      <c r="T7" s="68"/>
      <c r="U7" s="68"/>
      <c r="V7" s="68"/>
      <c r="W7" s="68"/>
      <c r="X7" s="68"/>
      <c r="Y7" s="68"/>
      <c r="Z7" s="68"/>
      <c r="AA7" s="67" t="s">
        <v>113</v>
      </c>
      <c r="AB7" s="68"/>
      <c r="AC7" s="68"/>
      <c r="AD7" s="65" t="s">
        <v>127</v>
      </c>
      <c r="AE7" s="63" t="s">
        <v>127</v>
      </c>
      <c r="AF7" s="63" t="s">
        <v>127</v>
      </c>
      <c r="AG7" s="63" t="s">
        <v>127</v>
      </c>
      <c r="AH7" s="63" t="s">
        <v>538</v>
      </c>
      <c r="AI7" s="65" t="s">
        <v>234</v>
      </c>
      <c r="AJ7" s="63" t="s">
        <v>177</v>
      </c>
      <c r="AK7" s="65" t="s">
        <v>234</v>
      </c>
      <c r="AL7" s="63" t="s">
        <v>177</v>
      </c>
      <c r="AM7" s="63" t="s">
        <v>162</v>
      </c>
      <c r="AN7" s="63" t="s">
        <v>234</v>
      </c>
      <c r="AO7" s="63" t="s">
        <v>177</v>
      </c>
      <c r="AP7" s="63" t="s">
        <v>235</v>
      </c>
      <c r="AQ7" s="63" t="s">
        <v>177</v>
      </c>
      <c r="AR7" s="225" t="s">
        <v>930</v>
      </c>
      <c r="AS7" s="68"/>
      <c r="AT7" s="68"/>
      <c r="AU7" s="64" t="s">
        <v>775</v>
      </c>
      <c r="AV7" s="66"/>
      <c r="AW7" s="63" t="s">
        <v>194</v>
      </c>
      <c r="AX7" s="103" t="s">
        <v>871</v>
      </c>
      <c r="AY7" s="63" t="s">
        <v>194</v>
      </c>
      <c r="AZ7" s="102" t="s">
        <v>1117</v>
      </c>
      <c r="BA7" s="102" t="s">
        <v>1117</v>
      </c>
      <c r="BB7" s="103"/>
      <c r="BC7" s="103"/>
      <c r="BD7" s="103"/>
      <c r="BE7" s="63" t="s">
        <v>714</v>
      </c>
      <c r="BF7" s="63"/>
      <c r="BG7" s="63" t="s">
        <v>671</v>
      </c>
      <c r="BH7" s="68"/>
      <c r="BI7" s="66" t="s">
        <v>646</v>
      </c>
      <c r="BJ7" s="66" t="s">
        <v>941</v>
      </c>
      <c r="BK7" s="215"/>
      <c r="BL7" s="66" t="s">
        <v>646</v>
      </c>
      <c r="BM7" s="66"/>
      <c r="BN7" s="66" t="s">
        <v>927</v>
      </c>
      <c r="BO7" s="66" t="s">
        <v>646</v>
      </c>
      <c r="BP7" s="66" t="s">
        <v>646</v>
      </c>
      <c r="BQ7" s="66" t="s">
        <v>863</v>
      </c>
      <c r="BR7" s="66" t="s">
        <v>863</v>
      </c>
      <c r="BS7" s="66"/>
      <c r="BT7" s="63" t="s">
        <v>538</v>
      </c>
      <c r="BU7" s="65"/>
      <c r="BV7" s="65"/>
      <c r="BW7" s="65"/>
      <c r="BX7" s="65" t="s">
        <v>1587</v>
      </c>
      <c r="BY7" s="66" t="s">
        <v>871</v>
      </c>
      <c r="BZ7" s="66" t="s">
        <v>871</v>
      </c>
      <c r="CA7" s="66" t="s">
        <v>2503</v>
      </c>
    </row>
    <row r="8" spans="1:80">
      <c r="A8" s="2" t="s">
        <v>4</v>
      </c>
      <c r="B8" s="3" t="s">
        <v>424</v>
      </c>
      <c r="C8" s="102">
        <v>5.5</v>
      </c>
      <c r="F8" s="68"/>
      <c r="G8" s="68"/>
      <c r="H8" s="63">
        <v>5.6</v>
      </c>
      <c r="I8" s="68"/>
      <c r="J8" s="68"/>
      <c r="K8" s="68"/>
      <c r="L8" s="68"/>
      <c r="M8" s="68"/>
      <c r="N8" s="68"/>
      <c r="O8" s="68"/>
      <c r="P8" s="68"/>
      <c r="Q8" s="68"/>
      <c r="R8" s="68"/>
      <c r="S8" s="68"/>
      <c r="T8" s="68"/>
      <c r="U8" s="68"/>
      <c r="V8" s="68"/>
      <c r="W8" s="68"/>
      <c r="X8" s="68"/>
      <c r="Y8" s="68"/>
      <c r="Z8" s="68"/>
      <c r="AA8" s="67" t="s">
        <v>114</v>
      </c>
      <c r="AB8" s="68"/>
      <c r="AC8" s="68"/>
      <c r="AD8" s="65" t="s">
        <v>121</v>
      </c>
      <c r="AE8" s="63" t="s">
        <v>121</v>
      </c>
      <c r="AF8" s="63" t="s">
        <v>121</v>
      </c>
      <c r="AG8" s="63" t="s">
        <v>121</v>
      </c>
      <c r="AH8" s="63" t="s">
        <v>150</v>
      </c>
      <c r="AI8" s="65" t="s">
        <v>235</v>
      </c>
      <c r="AJ8" s="63" t="s">
        <v>180</v>
      </c>
      <c r="AK8" s="65" t="s">
        <v>235</v>
      </c>
      <c r="AL8" s="63" t="s">
        <v>180</v>
      </c>
      <c r="AM8" s="63" t="s">
        <v>173</v>
      </c>
      <c r="AN8" s="63" t="s">
        <v>235</v>
      </c>
      <c r="AO8" s="63" t="s">
        <v>180</v>
      </c>
      <c r="AP8" s="63" t="s">
        <v>418</v>
      </c>
      <c r="AQ8" s="63" t="s">
        <v>180</v>
      </c>
      <c r="AR8" s="66" t="s">
        <v>1803</v>
      </c>
      <c r="AS8" s="68"/>
      <c r="AT8" s="68"/>
      <c r="AU8" s="68"/>
      <c r="AV8" s="66"/>
      <c r="AW8" s="63" t="s">
        <v>195</v>
      </c>
      <c r="AX8" s="212" t="s">
        <v>1117</v>
      </c>
      <c r="AY8" s="63" t="s">
        <v>195</v>
      </c>
      <c r="AZ8" s="103" t="s">
        <v>1834</v>
      </c>
      <c r="BA8" s="103" t="s">
        <v>1834</v>
      </c>
      <c r="BB8" s="103"/>
      <c r="BC8" s="103"/>
      <c r="BD8" s="103"/>
      <c r="BE8" s="66" t="s">
        <v>715</v>
      </c>
      <c r="BF8" s="66"/>
      <c r="BG8" s="64" t="s">
        <v>669</v>
      </c>
      <c r="BH8" s="68"/>
      <c r="BI8" s="66" t="s">
        <v>890</v>
      </c>
      <c r="BJ8" s="65" t="s">
        <v>997</v>
      </c>
      <c r="BK8" s="215"/>
      <c r="BL8" s="66" t="s">
        <v>890</v>
      </c>
      <c r="BM8" s="66"/>
      <c r="BN8" s="66" t="s">
        <v>953</v>
      </c>
      <c r="BO8" s="66" t="s">
        <v>890</v>
      </c>
      <c r="BP8" s="66" t="s">
        <v>890</v>
      </c>
      <c r="BQ8" s="66" t="s">
        <v>937</v>
      </c>
      <c r="BR8" s="66" t="s">
        <v>937</v>
      </c>
      <c r="BS8" s="66"/>
      <c r="BT8" s="63" t="s">
        <v>150</v>
      </c>
      <c r="BU8" s="65"/>
      <c r="BV8" s="65"/>
      <c r="BW8" s="65"/>
      <c r="BX8" s="65" t="s">
        <v>2048</v>
      </c>
      <c r="BY8" s="66" t="s">
        <v>1117</v>
      </c>
      <c r="BZ8" s="66" t="s">
        <v>1117</v>
      </c>
      <c r="CA8" s="223" t="s">
        <v>2744</v>
      </c>
    </row>
    <row r="9" spans="1:80" ht="27.6">
      <c r="A9" s="3" t="s">
        <v>5</v>
      </c>
      <c r="B9" s="3" t="s">
        <v>81</v>
      </c>
      <c r="C9" s="102">
        <v>5.6</v>
      </c>
      <c r="F9" s="68"/>
      <c r="G9" s="68"/>
      <c r="H9" s="64">
        <v>5.5</v>
      </c>
      <c r="I9" s="68"/>
      <c r="J9" s="68"/>
      <c r="K9" s="68"/>
      <c r="L9" s="68"/>
      <c r="M9" s="68"/>
      <c r="N9" s="68"/>
      <c r="O9" s="68"/>
      <c r="P9" s="68"/>
      <c r="Q9" s="68"/>
      <c r="R9" s="68"/>
      <c r="S9" s="68"/>
      <c r="T9" s="68"/>
      <c r="U9" s="68"/>
      <c r="V9" s="68"/>
      <c r="W9" s="68"/>
      <c r="X9" s="68"/>
      <c r="Y9" s="68"/>
      <c r="Z9" s="68"/>
      <c r="AA9" s="64" t="s">
        <v>2706</v>
      </c>
      <c r="AB9" s="68"/>
      <c r="AC9" s="68"/>
      <c r="AD9" s="63" t="s">
        <v>133</v>
      </c>
      <c r="AE9" s="63" t="s">
        <v>133</v>
      </c>
      <c r="AF9" s="63" t="s">
        <v>133</v>
      </c>
      <c r="AG9" s="63" t="s">
        <v>133</v>
      </c>
      <c r="AH9" s="63" t="s">
        <v>152</v>
      </c>
      <c r="AI9" s="65" t="s">
        <v>418</v>
      </c>
      <c r="AJ9" s="63" t="s">
        <v>183</v>
      </c>
      <c r="AK9" s="65" t="s">
        <v>418</v>
      </c>
      <c r="AL9" s="63" t="s">
        <v>183</v>
      </c>
      <c r="AM9" s="63" t="s">
        <v>176</v>
      </c>
      <c r="AN9" s="63" t="s">
        <v>418</v>
      </c>
      <c r="AO9" s="63" t="s">
        <v>183</v>
      </c>
      <c r="AP9" s="63" t="s">
        <v>236</v>
      </c>
      <c r="AQ9" s="63" t="s">
        <v>183</v>
      </c>
      <c r="AR9" s="65" t="s">
        <v>2868</v>
      </c>
      <c r="AS9" s="68"/>
      <c r="AT9" s="68"/>
      <c r="AU9" s="68"/>
      <c r="AV9" s="65"/>
      <c r="AW9" s="65" t="s">
        <v>730</v>
      </c>
      <c r="AX9" s="215" t="s">
        <v>1834</v>
      </c>
      <c r="AY9" s="65" t="s">
        <v>730</v>
      </c>
      <c r="AZ9" s="215" t="s">
        <v>948</v>
      </c>
      <c r="BA9" s="215" t="s">
        <v>948</v>
      </c>
      <c r="BB9" s="103"/>
      <c r="BC9" s="103"/>
      <c r="BD9" s="103"/>
      <c r="BE9" s="66" t="s">
        <v>864</v>
      </c>
      <c r="BF9" s="66"/>
      <c r="BG9" s="63" t="s">
        <v>778</v>
      </c>
      <c r="BH9" s="68"/>
      <c r="BI9" s="66" t="s">
        <v>1011</v>
      </c>
      <c r="BJ9" s="65" t="s">
        <v>966</v>
      </c>
      <c r="BK9" s="215"/>
      <c r="BL9" s="66" t="s">
        <v>1011</v>
      </c>
      <c r="BM9" s="65"/>
      <c r="BN9" s="65" t="s">
        <v>1380</v>
      </c>
      <c r="BO9" s="66" t="s">
        <v>1011</v>
      </c>
      <c r="BP9" s="66" t="s">
        <v>1011</v>
      </c>
      <c r="BQ9" s="66" t="s">
        <v>999</v>
      </c>
      <c r="BR9" s="66" t="s">
        <v>999</v>
      </c>
      <c r="BS9" s="66"/>
      <c r="BT9" s="63" t="s">
        <v>152</v>
      </c>
      <c r="BU9" s="66"/>
      <c r="BV9" s="66"/>
      <c r="BW9" s="66"/>
      <c r="BX9" s="66" t="s">
        <v>2593</v>
      </c>
      <c r="BY9" s="226" t="s">
        <v>948</v>
      </c>
      <c r="BZ9" s="226" t="s">
        <v>948</v>
      </c>
      <c r="CA9" s="68"/>
      <c r="CB9" s="71"/>
    </row>
    <row r="10" spans="1:80" ht="27.6">
      <c r="A10" s="3" t="s">
        <v>6</v>
      </c>
      <c r="B10" s="3" t="s">
        <v>427</v>
      </c>
      <c r="C10" s="102">
        <v>5.7</v>
      </c>
      <c r="F10" s="68"/>
      <c r="G10" s="68"/>
      <c r="H10" s="68"/>
      <c r="I10" s="68"/>
      <c r="J10" s="68"/>
      <c r="K10" s="68"/>
      <c r="L10" s="68"/>
      <c r="M10" s="68"/>
      <c r="N10" s="68"/>
      <c r="O10" s="68"/>
      <c r="P10" s="68"/>
      <c r="Q10" s="68"/>
      <c r="R10" s="68"/>
      <c r="S10" s="68"/>
      <c r="T10" s="68"/>
      <c r="U10" s="68"/>
      <c r="V10" s="68"/>
      <c r="W10" s="68"/>
      <c r="X10" s="68"/>
      <c r="Y10" s="68"/>
      <c r="Z10" s="68"/>
      <c r="AA10" s="68"/>
      <c r="AB10" s="68"/>
      <c r="AC10" s="68"/>
      <c r="AD10" s="63" t="s">
        <v>135</v>
      </c>
      <c r="AE10" s="63" t="s">
        <v>135</v>
      </c>
      <c r="AF10" s="63" t="s">
        <v>135</v>
      </c>
      <c r="AG10" s="63" t="s">
        <v>135</v>
      </c>
      <c r="AH10" s="63" t="s">
        <v>153</v>
      </c>
      <c r="AI10" s="65" t="s">
        <v>236</v>
      </c>
      <c r="AJ10" s="65" t="s">
        <v>467</v>
      </c>
      <c r="AK10" s="65" t="s">
        <v>236</v>
      </c>
      <c r="AL10" s="65" t="s">
        <v>467</v>
      </c>
      <c r="AM10" s="63" t="s">
        <v>177</v>
      </c>
      <c r="AN10" s="63" t="s">
        <v>236</v>
      </c>
      <c r="AO10" s="63" t="s">
        <v>467</v>
      </c>
      <c r="AP10" s="63" t="s">
        <v>237</v>
      </c>
      <c r="AQ10" s="63" t="s">
        <v>467</v>
      </c>
      <c r="AR10" s="66" t="s">
        <v>2867</v>
      </c>
      <c r="AS10" s="68"/>
      <c r="AT10" s="68"/>
      <c r="AU10" s="68"/>
      <c r="AV10" s="227"/>
      <c r="AW10" s="65" t="s">
        <v>197</v>
      </c>
      <c r="AX10" s="65" t="s">
        <v>948</v>
      </c>
      <c r="AY10" s="65" t="s">
        <v>197</v>
      </c>
      <c r="AZ10" s="227" t="s">
        <v>1108</v>
      </c>
      <c r="BA10" s="227" t="s">
        <v>1108</v>
      </c>
      <c r="BB10" s="228"/>
      <c r="BC10" s="228"/>
      <c r="BD10" s="103"/>
      <c r="BE10" s="66" t="s">
        <v>942</v>
      </c>
      <c r="BF10" s="66"/>
      <c r="BG10" s="63" t="s">
        <v>217</v>
      </c>
      <c r="BH10" s="68"/>
      <c r="BI10" s="66" t="s">
        <v>1691</v>
      </c>
      <c r="BJ10" s="65" t="s">
        <v>1518</v>
      </c>
      <c r="BK10" s="215"/>
      <c r="BL10" s="66" t="s">
        <v>1691</v>
      </c>
      <c r="BM10" s="65"/>
      <c r="BN10" s="65" t="s">
        <v>1588</v>
      </c>
      <c r="BO10" s="66" t="s">
        <v>1691</v>
      </c>
      <c r="BP10" s="66" t="s">
        <v>1691</v>
      </c>
      <c r="BQ10" s="66" t="s">
        <v>1111</v>
      </c>
      <c r="BR10" s="66" t="s">
        <v>1111</v>
      </c>
      <c r="BS10" s="66"/>
      <c r="BT10" s="63" t="s">
        <v>153</v>
      </c>
      <c r="BU10" s="66"/>
      <c r="BV10" s="66"/>
      <c r="BW10" s="66"/>
      <c r="BX10" s="66" t="s">
        <v>2618</v>
      </c>
      <c r="BY10" s="229" t="s">
        <v>1108</v>
      </c>
      <c r="BZ10" s="229" t="s">
        <v>1108</v>
      </c>
      <c r="CA10" s="68"/>
      <c r="CB10" s="71"/>
    </row>
    <row r="11" spans="1:80" ht="27.6">
      <c r="A11" s="3" t="s">
        <v>7</v>
      </c>
      <c r="B11" s="3" t="s">
        <v>428</v>
      </c>
      <c r="C11" s="102">
        <v>5.8</v>
      </c>
      <c r="F11" s="68"/>
      <c r="G11" s="68"/>
      <c r="H11" s="68"/>
      <c r="I11" s="68"/>
      <c r="J11" s="68"/>
      <c r="K11" s="68"/>
      <c r="L11" s="68"/>
      <c r="M11" s="68"/>
      <c r="N11" s="68"/>
      <c r="O11" s="68"/>
      <c r="P11" s="68"/>
      <c r="Q11" s="68"/>
      <c r="R11" s="68"/>
      <c r="S11" s="68"/>
      <c r="T11" s="68"/>
      <c r="U11" s="68"/>
      <c r="V11" s="68"/>
      <c r="W11" s="68"/>
      <c r="X11" s="68"/>
      <c r="Y11" s="68"/>
      <c r="Z11" s="68"/>
      <c r="AA11" s="68"/>
      <c r="AB11" s="68"/>
      <c r="AC11" s="68"/>
      <c r="AD11" s="63" t="s">
        <v>130</v>
      </c>
      <c r="AE11" s="63" t="s">
        <v>130</v>
      </c>
      <c r="AF11" s="63" t="s">
        <v>130</v>
      </c>
      <c r="AG11" s="63" t="s">
        <v>130</v>
      </c>
      <c r="AH11" s="63" t="s">
        <v>154</v>
      </c>
      <c r="AI11" s="66" t="s">
        <v>237</v>
      </c>
      <c r="AJ11" s="66" t="s">
        <v>1706</v>
      </c>
      <c r="AK11" s="65" t="s">
        <v>237</v>
      </c>
      <c r="AL11" s="66" t="s">
        <v>569</v>
      </c>
      <c r="AM11" s="63" t="s">
        <v>180</v>
      </c>
      <c r="AN11" s="63" t="s">
        <v>237</v>
      </c>
      <c r="AO11" s="66" t="s">
        <v>1706</v>
      </c>
      <c r="AP11" s="66" t="s">
        <v>646</v>
      </c>
      <c r="AQ11" s="66" t="s">
        <v>1706</v>
      </c>
      <c r="AR11" s="65" t="s">
        <v>2866</v>
      </c>
      <c r="AS11" s="68"/>
      <c r="AT11" s="68"/>
      <c r="AU11" s="68"/>
      <c r="AV11" s="230"/>
      <c r="AW11" s="65" t="s">
        <v>2480</v>
      </c>
      <c r="AX11" s="231" t="s">
        <v>1108</v>
      </c>
      <c r="AY11" s="65" t="s">
        <v>532</v>
      </c>
      <c r="AZ11" s="230" t="s">
        <v>1377</v>
      </c>
      <c r="BA11" s="230" t="s">
        <v>1377</v>
      </c>
      <c r="BB11" s="232"/>
      <c r="BC11" s="232"/>
      <c r="BD11" s="103"/>
      <c r="BE11" s="66" t="s">
        <v>998</v>
      </c>
      <c r="BF11" s="66"/>
      <c r="BG11" s="64" t="s">
        <v>673</v>
      </c>
      <c r="BH11" s="68"/>
      <c r="BI11" s="66" t="s">
        <v>1754</v>
      </c>
      <c r="BJ11" s="65" t="s">
        <v>1761</v>
      </c>
      <c r="BK11" s="215"/>
      <c r="BL11" s="66" t="s">
        <v>1754</v>
      </c>
      <c r="BM11" s="66"/>
      <c r="BN11" s="66" t="s">
        <v>1694</v>
      </c>
      <c r="BO11" s="64"/>
      <c r="BP11" s="66" t="s">
        <v>2488</v>
      </c>
      <c r="BQ11" s="66" t="s">
        <v>1403</v>
      </c>
      <c r="BR11" s="66" t="s">
        <v>1403</v>
      </c>
      <c r="BS11" s="66"/>
      <c r="BT11" s="63" t="s">
        <v>154</v>
      </c>
      <c r="BU11" s="66"/>
      <c r="BV11" s="66"/>
      <c r="BW11" s="66"/>
      <c r="BX11" s="66" t="s">
        <v>2627</v>
      </c>
      <c r="BY11" s="225" t="s">
        <v>1377</v>
      </c>
      <c r="BZ11" s="225" t="s">
        <v>1377</v>
      </c>
      <c r="CA11" s="68"/>
      <c r="CB11" s="71"/>
    </row>
    <row r="12" spans="1:80" ht="15.3">
      <c r="A12" s="3" t="s">
        <v>8</v>
      </c>
      <c r="B12" s="3" t="s">
        <v>429</v>
      </c>
      <c r="C12" s="103" t="s">
        <v>61</v>
      </c>
      <c r="F12" s="68"/>
      <c r="G12" s="68"/>
      <c r="H12" s="68"/>
      <c r="I12" s="68"/>
      <c r="J12" s="68"/>
      <c r="K12" s="68"/>
      <c r="L12" s="68"/>
      <c r="M12" s="68"/>
      <c r="N12" s="68"/>
      <c r="O12" s="68"/>
      <c r="P12" s="68"/>
      <c r="Q12" s="68"/>
      <c r="R12" s="68"/>
      <c r="S12" s="68"/>
      <c r="T12" s="68"/>
      <c r="U12" s="68"/>
      <c r="V12" s="68"/>
      <c r="W12" s="68"/>
      <c r="X12" s="68"/>
      <c r="Y12" s="68"/>
      <c r="Z12" s="68"/>
      <c r="AA12" s="68"/>
      <c r="AB12" s="68"/>
      <c r="AC12" s="68"/>
      <c r="AD12" s="63" t="s">
        <v>138</v>
      </c>
      <c r="AE12" s="63" t="s">
        <v>138</v>
      </c>
      <c r="AF12" s="63" t="s">
        <v>138</v>
      </c>
      <c r="AG12" s="63" t="s">
        <v>138</v>
      </c>
      <c r="AH12" s="63" t="s">
        <v>155</v>
      </c>
      <c r="AI12" s="66" t="s">
        <v>693</v>
      </c>
      <c r="AJ12" s="66" t="s">
        <v>2469</v>
      </c>
      <c r="AK12" s="66" t="s">
        <v>568</v>
      </c>
      <c r="AL12" s="66" t="s">
        <v>1706</v>
      </c>
      <c r="AM12" s="63" t="s">
        <v>183</v>
      </c>
      <c r="AN12" s="66" t="s">
        <v>646</v>
      </c>
      <c r="AO12" s="66" t="s">
        <v>1748</v>
      </c>
      <c r="AP12" s="66" t="s">
        <v>890</v>
      </c>
      <c r="AQ12" s="66" t="s">
        <v>1748</v>
      </c>
      <c r="AR12" s="65"/>
      <c r="AS12" s="68"/>
      <c r="AT12" s="68"/>
      <c r="AU12" s="68"/>
      <c r="AV12" s="233"/>
      <c r="AW12" s="65" t="s">
        <v>200</v>
      </c>
      <c r="AX12" s="233" t="s">
        <v>1377</v>
      </c>
      <c r="AY12" s="65" t="s">
        <v>198</v>
      </c>
      <c r="AZ12" s="233" t="s">
        <v>1582</v>
      </c>
      <c r="BA12" s="233" t="s">
        <v>1582</v>
      </c>
      <c r="BB12" s="232"/>
      <c r="BC12" s="232"/>
      <c r="BD12" s="103"/>
      <c r="BE12" s="66" t="s">
        <v>1601</v>
      </c>
      <c r="BF12" s="66"/>
      <c r="BG12" s="64" t="s">
        <v>540</v>
      </c>
      <c r="BH12" s="68"/>
      <c r="BI12" s="66" t="s">
        <v>1755</v>
      </c>
      <c r="BJ12" s="66" t="s">
        <v>1400</v>
      </c>
      <c r="BK12" s="215"/>
      <c r="BL12" s="66" t="s">
        <v>1755</v>
      </c>
      <c r="BM12" s="66"/>
      <c r="BN12" s="66" t="s">
        <v>1698</v>
      </c>
      <c r="BO12" s="66"/>
      <c r="BP12" s="223" t="s">
        <v>2740</v>
      </c>
      <c r="BQ12" s="65" t="s">
        <v>1399</v>
      </c>
      <c r="BR12" s="65" t="s">
        <v>1399</v>
      </c>
      <c r="BS12" s="65"/>
      <c r="BT12" s="63" t="s">
        <v>155</v>
      </c>
      <c r="BX12" s="66" t="s">
        <v>2815</v>
      </c>
      <c r="BY12" s="225" t="s">
        <v>1582</v>
      </c>
      <c r="BZ12" s="225" t="s">
        <v>1582</v>
      </c>
      <c r="CA12" s="68"/>
      <c r="CB12" s="71"/>
    </row>
    <row r="13" spans="1:80" ht="15.3">
      <c r="A13" s="3" t="s">
        <v>9</v>
      </c>
      <c r="B13" s="3" t="s">
        <v>430</v>
      </c>
      <c r="C13" s="103" t="s">
        <v>64</v>
      </c>
      <c r="F13" s="68"/>
      <c r="G13" s="68"/>
      <c r="H13" s="68"/>
      <c r="I13" s="68"/>
      <c r="J13" s="68"/>
      <c r="K13" s="68"/>
      <c r="L13" s="68"/>
      <c r="M13" s="68"/>
      <c r="N13" s="68"/>
      <c r="O13" s="68"/>
      <c r="P13" s="68"/>
      <c r="Q13" s="68"/>
      <c r="R13" s="68"/>
      <c r="S13" s="68"/>
      <c r="T13" s="68"/>
      <c r="U13" s="68"/>
      <c r="V13" s="68"/>
      <c r="W13" s="68"/>
      <c r="X13" s="68"/>
      <c r="Y13" s="68"/>
      <c r="Z13" s="68"/>
      <c r="AA13" s="68"/>
      <c r="AB13" s="68"/>
      <c r="AC13" s="68"/>
      <c r="AD13" s="63" t="s">
        <v>142</v>
      </c>
      <c r="AE13" s="63" t="s">
        <v>142</v>
      </c>
      <c r="AF13" s="63" t="s">
        <v>142</v>
      </c>
      <c r="AG13" s="63" t="s">
        <v>142</v>
      </c>
      <c r="AH13" s="64" t="s">
        <v>536</v>
      </c>
      <c r="AI13" s="66" t="s">
        <v>1011</v>
      </c>
      <c r="AJ13" s="65"/>
      <c r="AK13" s="66" t="s">
        <v>646</v>
      </c>
      <c r="AL13" s="66" t="s">
        <v>1748</v>
      </c>
      <c r="AM13" s="63" t="s">
        <v>467</v>
      </c>
      <c r="AN13" s="66" t="s">
        <v>890</v>
      </c>
      <c r="AO13" s="63"/>
      <c r="AP13" s="66" t="s">
        <v>1011</v>
      </c>
      <c r="AQ13" s="63"/>
      <c r="AR13" s="66"/>
      <c r="AS13" s="68"/>
      <c r="AT13" s="68"/>
      <c r="AU13" s="68"/>
      <c r="AV13" s="66"/>
      <c r="AW13" s="65" t="s">
        <v>450</v>
      </c>
      <c r="AX13" s="233" t="s">
        <v>1582</v>
      </c>
      <c r="AY13" s="65" t="s">
        <v>533</v>
      </c>
      <c r="AZ13" s="66" t="s">
        <v>1843</v>
      </c>
      <c r="BA13" s="66" t="s">
        <v>1843</v>
      </c>
      <c r="BB13" s="103"/>
      <c r="BC13" s="103"/>
      <c r="BD13" s="103"/>
      <c r="BE13" s="65" t="s">
        <v>1415</v>
      </c>
      <c r="BF13" s="65"/>
      <c r="BG13" s="64" t="s">
        <v>674</v>
      </c>
      <c r="BH13" s="68"/>
      <c r="BI13" s="66" t="s">
        <v>1757</v>
      </c>
      <c r="BJ13" s="66" t="s">
        <v>1896</v>
      </c>
      <c r="BK13" s="215"/>
      <c r="BL13" s="66" t="s">
        <v>1757</v>
      </c>
      <c r="BM13" s="66"/>
      <c r="BN13" s="66" t="s">
        <v>2409</v>
      </c>
      <c r="BO13" s="66"/>
      <c r="BP13" s="66"/>
      <c r="BQ13" s="65" t="s">
        <v>1626</v>
      </c>
      <c r="BR13" s="65" t="s">
        <v>1626</v>
      </c>
      <c r="BS13" s="65"/>
      <c r="BT13" s="64" t="s">
        <v>536</v>
      </c>
      <c r="BX13" s="68"/>
      <c r="BY13" s="225" t="s">
        <v>1834</v>
      </c>
      <c r="BZ13" s="225" t="s">
        <v>1834</v>
      </c>
      <c r="CA13" s="68"/>
      <c r="CB13" s="71"/>
    </row>
    <row r="14" spans="1:80" ht="15.3">
      <c r="A14" s="3" t="s">
        <v>10</v>
      </c>
      <c r="B14" s="3" t="s">
        <v>429</v>
      </c>
      <c r="C14" s="103" t="s">
        <v>63</v>
      </c>
      <c r="F14" s="68"/>
      <c r="G14" s="68"/>
      <c r="H14" s="68"/>
      <c r="I14" s="68"/>
      <c r="J14" s="68"/>
      <c r="K14" s="68"/>
      <c r="L14" s="68"/>
      <c r="M14" s="68"/>
      <c r="N14" s="68"/>
      <c r="O14" s="68"/>
      <c r="P14" s="68"/>
      <c r="Q14" s="68"/>
      <c r="R14" s="68"/>
      <c r="S14" s="68"/>
      <c r="T14" s="68"/>
      <c r="U14" s="68"/>
      <c r="V14" s="68"/>
      <c r="W14" s="68"/>
      <c r="X14" s="68"/>
      <c r="Y14" s="68"/>
      <c r="Z14" s="68"/>
      <c r="AA14" s="68"/>
      <c r="AB14" s="68"/>
      <c r="AC14" s="68"/>
      <c r="AD14" s="64" t="s">
        <v>145</v>
      </c>
      <c r="AE14" s="64" t="s">
        <v>145</v>
      </c>
      <c r="AF14" s="64" t="s">
        <v>145</v>
      </c>
      <c r="AG14" s="64" t="s">
        <v>145</v>
      </c>
      <c r="AH14" s="63" t="s">
        <v>537</v>
      </c>
      <c r="AI14" s="66" t="s">
        <v>1691</v>
      </c>
      <c r="AJ14" s="66"/>
      <c r="AK14" s="66" t="s">
        <v>890</v>
      </c>
      <c r="AL14" s="65"/>
      <c r="AM14" s="63" t="s">
        <v>234</v>
      </c>
      <c r="AN14" s="66" t="s">
        <v>1011</v>
      </c>
      <c r="AO14" s="63"/>
      <c r="AP14" s="66" t="s">
        <v>2473</v>
      </c>
      <c r="AQ14" s="63"/>
      <c r="AR14" s="68"/>
      <c r="AS14" s="68"/>
      <c r="AT14" s="68"/>
      <c r="AU14" s="68"/>
      <c r="AV14" s="66"/>
      <c r="AW14" s="65" t="s">
        <v>532</v>
      </c>
      <c r="AX14" s="66" t="s">
        <v>1843</v>
      </c>
      <c r="AY14" s="65" t="s">
        <v>534</v>
      </c>
      <c r="AZ14" s="66" t="s">
        <v>2433</v>
      </c>
      <c r="BA14" s="66" t="s">
        <v>2433</v>
      </c>
      <c r="BB14" s="103"/>
      <c r="BC14" s="103"/>
      <c r="BD14" s="103"/>
      <c r="BE14" s="66" t="s">
        <v>1777</v>
      </c>
      <c r="BF14" s="66"/>
      <c r="BG14" s="64" t="s">
        <v>870</v>
      </c>
      <c r="BH14" s="68"/>
      <c r="BI14" s="66" t="s">
        <v>1756</v>
      </c>
      <c r="BJ14" s="66" t="s">
        <v>1618</v>
      </c>
      <c r="BK14" s="215"/>
      <c r="BL14" s="66" t="s">
        <v>1756</v>
      </c>
      <c r="BM14" s="66"/>
      <c r="BN14" s="64" t="s">
        <v>2488</v>
      </c>
      <c r="BO14" s="66"/>
      <c r="BP14" s="66"/>
      <c r="BQ14" s="66" t="s">
        <v>1793</v>
      </c>
      <c r="BR14" s="66" t="s">
        <v>1793</v>
      </c>
      <c r="BS14" s="66"/>
      <c r="BT14" s="63" t="s">
        <v>537</v>
      </c>
      <c r="BX14" s="68"/>
      <c r="BY14" s="66" t="s">
        <v>1843</v>
      </c>
      <c r="BZ14" s="66" t="s">
        <v>1843</v>
      </c>
      <c r="CA14" s="68"/>
      <c r="CB14" s="71"/>
    </row>
    <row r="15" spans="1:80" ht="15.3">
      <c r="A15" s="3" t="s">
        <v>11</v>
      </c>
      <c r="B15" s="3" t="s">
        <v>81</v>
      </c>
      <c r="C15" s="102" t="s">
        <v>67</v>
      </c>
      <c r="F15" s="68"/>
      <c r="G15" s="68"/>
      <c r="H15" s="68"/>
      <c r="I15" s="68"/>
      <c r="J15" s="68"/>
      <c r="K15" s="68"/>
      <c r="L15" s="68"/>
      <c r="M15" s="68"/>
      <c r="N15" s="68"/>
      <c r="O15" s="68"/>
      <c r="P15" s="68"/>
      <c r="Q15" s="68"/>
      <c r="R15" s="68"/>
      <c r="S15" s="68"/>
      <c r="T15" s="68"/>
      <c r="U15" s="68"/>
      <c r="V15" s="68"/>
      <c r="W15" s="68"/>
      <c r="X15" s="68"/>
      <c r="Y15" s="68"/>
      <c r="Z15" s="68"/>
      <c r="AA15" s="68"/>
      <c r="AB15" s="68"/>
      <c r="AC15" s="68"/>
      <c r="AD15" s="68"/>
      <c r="AE15" s="64" t="s">
        <v>570</v>
      </c>
      <c r="AF15" s="64" t="s">
        <v>570</v>
      </c>
      <c r="AG15" s="64" t="s">
        <v>570</v>
      </c>
      <c r="AH15" s="63" t="s">
        <v>157</v>
      </c>
      <c r="AI15" s="66"/>
      <c r="AJ15" s="66"/>
      <c r="AK15" s="227" t="s">
        <v>1011</v>
      </c>
      <c r="AL15" s="65"/>
      <c r="AM15" s="63" t="s">
        <v>235</v>
      </c>
      <c r="AN15" s="66" t="s">
        <v>2473</v>
      </c>
      <c r="AO15" s="63"/>
      <c r="AP15" s="66" t="s">
        <v>1753</v>
      </c>
      <c r="AQ15" s="63"/>
      <c r="AR15" s="68"/>
      <c r="AS15" s="68"/>
      <c r="AT15" s="68"/>
      <c r="AU15" s="68"/>
      <c r="AV15" s="66"/>
      <c r="AW15" s="65" t="s">
        <v>533</v>
      </c>
      <c r="AX15" s="66" t="s">
        <v>2433</v>
      </c>
      <c r="AY15" s="65" t="s">
        <v>200</v>
      </c>
      <c r="AZ15" s="66"/>
      <c r="BA15" s="215" t="s">
        <v>1715</v>
      </c>
      <c r="BB15" s="103"/>
      <c r="BC15" s="103"/>
      <c r="BD15" s="103"/>
      <c r="BE15" s="66" t="s">
        <v>1778</v>
      </c>
      <c r="BF15" s="66"/>
      <c r="BG15" s="98" t="s">
        <v>929</v>
      </c>
      <c r="BH15" s="68"/>
      <c r="BI15" s="66" t="s">
        <v>1758</v>
      </c>
      <c r="BJ15" s="66" t="s">
        <v>2699</v>
      </c>
      <c r="BK15" s="215"/>
      <c r="BL15" s="66" t="s">
        <v>1758</v>
      </c>
      <c r="BM15" s="66"/>
      <c r="BN15" s="63" t="s">
        <v>238</v>
      </c>
      <c r="BO15" s="66"/>
      <c r="BP15" s="66"/>
      <c r="BQ15" s="66" t="s">
        <v>1628</v>
      </c>
      <c r="BR15" s="66" t="s">
        <v>1628</v>
      </c>
      <c r="BS15" s="66"/>
      <c r="BT15" s="63" t="s">
        <v>157</v>
      </c>
      <c r="BX15" s="68"/>
      <c r="BY15" s="66" t="s">
        <v>2450</v>
      </c>
      <c r="BZ15" s="66" t="s">
        <v>2450</v>
      </c>
      <c r="CA15" s="68"/>
      <c r="CB15" s="71"/>
    </row>
    <row r="16" spans="1:80" ht="15.3">
      <c r="A16" s="3" t="s">
        <v>12</v>
      </c>
      <c r="B16" s="3" t="s">
        <v>81</v>
      </c>
      <c r="C16" s="102" t="s">
        <v>69</v>
      </c>
      <c r="F16" s="68"/>
      <c r="G16" s="68"/>
      <c r="H16" s="68"/>
      <c r="I16" s="68"/>
      <c r="J16" s="68"/>
      <c r="K16" s="68"/>
      <c r="L16" s="68"/>
      <c r="M16" s="68"/>
      <c r="N16" s="68"/>
      <c r="O16" s="68"/>
      <c r="P16" s="68"/>
      <c r="Q16" s="68"/>
      <c r="R16" s="68"/>
      <c r="S16" s="68"/>
      <c r="T16" s="68"/>
      <c r="U16" s="68"/>
      <c r="V16" s="68"/>
      <c r="W16" s="68"/>
      <c r="X16" s="68"/>
      <c r="Y16" s="68"/>
      <c r="Z16" s="68"/>
      <c r="AA16" s="68"/>
      <c r="AB16" s="68"/>
      <c r="AC16" s="68"/>
      <c r="AD16" s="68"/>
      <c r="AE16" s="64" t="s">
        <v>872</v>
      </c>
      <c r="AF16" s="64" t="s">
        <v>872</v>
      </c>
      <c r="AG16" s="64" t="s">
        <v>872</v>
      </c>
      <c r="AH16" s="64" t="s">
        <v>724</v>
      </c>
      <c r="AI16" s="66"/>
      <c r="AJ16" s="65"/>
      <c r="AK16" s="66" t="s">
        <v>1691</v>
      </c>
      <c r="AL16" s="65"/>
      <c r="AM16" s="63" t="s">
        <v>418</v>
      </c>
      <c r="AN16" s="66" t="s">
        <v>1753</v>
      </c>
      <c r="AO16" s="63"/>
      <c r="AP16" s="66" t="s">
        <v>1618</v>
      </c>
      <c r="AQ16" s="63"/>
      <c r="AR16" s="68"/>
      <c r="AS16" s="68"/>
      <c r="AT16" s="68"/>
      <c r="AU16" s="68"/>
      <c r="AV16" s="66"/>
      <c r="AW16" s="65" t="s">
        <v>534</v>
      </c>
      <c r="AX16" s="66" t="s">
        <v>2769</v>
      </c>
      <c r="AY16" s="65" t="s">
        <v>450</v>
      </c>
      <c r="AZ16" s="66"/>
      <c r="BA16" s="234" t="s">
        <v>1624</v>
      </c>
      <c r="BB16" s="103"/>
      <c r="BC16" s="103"/>
      <c r="BD16" s="103"/>
      <c r="BE16" s="65" t="s">
        <v>1779</v>
      </c>
      <c r="BF16" s="65"/>
      <c r="BG16" s="98" t="s">
        <v>969</v>
      </c>
      <c r="BH16" s="68"/>
      <c r="BI16" s="66" t="s">
        <v>1753</v>
      </c>
      <c r="BJ16" s="66" t="s">
        <v>2704</v>
      </c>
      <c r="BK16" s="215"/>
      <c r="BL16" s="66" t="s">
        <v>1753</v>
      </c>
      <c r="BM16" s="65"/>
      <c r="BN16" s="63" t="s">
        <v>236</v>
      </c>
      <c r="BO16" s="65"/>
      <c r="BP16" s="65"/>
      <c r="BQ16" s="66" t="s">
        <v>2689</v>
      </c>
      <c r="BR16" s="66" t="s">
        <v>2689</v>
      </c>
      <c r="BS16" s="66"/>
      <c r="BT16" s="64" t="s">
        <v>724</v>
      </c>
      <c r="BX16" s="68"/>
      <c r="BY16" s="66" t="s">
        <v>2502</v>
      </c>
      <c r="BZ16" s="66" t="s">
        <v>2572</v>
      </c>
      <c r="CA16" s="68"/>
      <c r="CB16" s="71"/>
    </row>
    <row r="17" spans="1:80" ht="15.3">
      <c r="A17" s="3" t="s">
        <v>13</v>
      </c>
      <c r="B17" s="3" t="s">
        <v>81</v>
      </c>
      <c r="C17" s="102" t="s">
        <v>71</v>
      </c>
      <c r="F17" s="68"/>
      <c r="G17" s="68"/>
      <c r="H17" s="68"/>
      <c r="I17" s="68"/>
      <c r="J17" s="68"/>
      <c r="K17" s="68"/>
      <c r="L17" s="68"/>
      <c r="M17" s="68"/>
      <c r="N17" s="68"/>
      <c r="O17" s="68"/>
      <c r="P17" s="68"/>
      <c r="Q17" s="68"/>
      <c r="R17" s="68"/>
      <c r="S17" s="68"/>
      <c r="T17" s="68"/>
      <c r="U17" s="68"/>
      <c r="V17" s="68"/>
      <c r="W17" s="68"/>
      <c r="X17" s="68"/>
      <c r="Y17" s="68"/>
      <c r="Z17" s="68"/>
      <c r="AA17" s="68"/>
      <c r="AB17" s="68"/>
      <c r="AC17" s="68"/>
      <c r="AD17" s="68"/>
      <c r="AE17" s="64" t="s">
        <v>926</v>
      </c>
      <c r="AF17" s="64" t="s">
        <v>926</v>
      </c>
      <c r="AG17" s="64" t="s">
        <v>926</v>
      </c>
      <c r="AH17" s="65" t="s">
        <v>159</v>
      </c>
      <c r="AI17" s="65"/>
      <c r="AJ17" s="65"/>
      <c r="AK17" s="66" t="s">
        <v>1698</v>
      </c>
      <c r="AL17" s="65"/>
      <c r="AM17" s="63" t="s">
        <v>236</v>
      </c>
      <c r="AN17" s="66" t="s">
        <v>1618</v>
      </c>
      <c r="AO17" s="63"/>
      <c r="AP17" s="66" t="s">
        <v>2693</v>
      </c>
      <c r="AQ17" s="63"/>
      <c r="AR17" s="68"/>
      <c r="AS17" s="68"/>
      <c r="AT17" s="68"/>
      <c r="AU17" s="68"/>
      <c r="AV17" s="66"/>
      <c r="AW17" s="65" t="s">
        <v>448</v>
      </c>
      <c r="AX17" s="66" t="s">
        <v>2683</v>
      </c>
      <c r="AY17" s="65" t="s">
        <v>945</v>
      </c>
      <c r="AZ17" s="66"/>
      <c r="BA17" s="234" t="s">
        <v>2683</v>
      </c>
      <c r="BB17" s="103"/>
      <c r="BC17" s="103"/>
      <c r="BD17" s="103"/>
      <c r="BE17" s="65" t="s">
        <v>1780</v>
      </c>
      <c r="BF17" s="65"/>
      <c r="BG17" s="98" t="s">
        <v>1106</v>
      </c>
      <c r="BH17" s="68"/>
      <c r="BI17" s="65"/>
      <c r="BJ17" s="66" t="s">
        <v>1698</v>
      </c>
      <c r="BK17" s="215"/>
      <c r="BL17" s="66" t="s">
        <v>2488</v>
      </c>
      <c r="BM17" s="65"/>
      <c r="BN17" s="63" t="s">
        <v>237</v>
      </c>
      <c r="BO17" s="65"/>
      <c r="BP17" s="65"/>
      <c r="BQ17" s="66" t="s">
        <v>1895</v>
      </c>
      <c r="BR17" s="66" t="s">
        <v>1895</v>
      </c>
      <c r="BS17" s="68"/>
      <c r="BT17" s="65" t="s">
        <v>159</v>
      </c>
      <c r="BX17" s="68"/>
      <c r="BY17" s="66" t="s">
        <v>2683</v>
      </c>
      <c r="BZ17" s="66" t="s">
        <v>2686</v>
      </c>
      <c r="CA17" s="68"/>
      <c r="CB17" s="71"/>
    </row>
    <row r="18" spans="1:80" ht="15.3">
      <c r="A18" s="3" t="s">
        <v>14</v>
      </c>
      <c r="B18" s="3" t="s">
        <v>430</v>
      </c>
      <c r="C18" s="102" t="s">
        <v>73</v>
      </c>
      <c r="F18" s="68"/>
      <c r="G18" s="68"/>
      <c r="H18" s="68"/>
      <c r="I18" s="68"/>
      <c r="J18" s="68"/>
      <c r="K18" s="68"/>
      <c r="L18" s="68"/>
      <c r="M18" s="68"/>
      <c r="N18" s="68"/>
      <c r="O18" s="68"/>
      <c r="P18" s="68"/>
      <c r="Q18" s="68"/>
      <c r="R18" s="68"/>
      <c r="S18" s="68"/>
      <c r="T18" s="68"/>
      <c r="U18" s="68"/>
      <c r="V18" s="68"/>
      <c r="W18" s="68"/>
      <c r="X18" s="68"/>
      <c r="Y18" s="68"/>
      <c r="Z18" s="68"/>
      <c r="AA18" s="68"/>
      <c r="AB18" s="68"/>
      <c r="AC18" s="68"/>
      <c r="AD18" s="68"/>
      <c r="AE18" s="63" t="s">
        <v>1397</v>
      </c>
      <c r="AF18" s="63" t="s">
        <v>1397</v>
      </c>
      <c r="AG18" s="63" t="s">
        <v>1397</v>
      </c>
      <c r="AH18" s="63" t="s">
        <v>691</v>
      </c>
      <c r="AI18" s="66"/>
      <c r="AJ18" s="66"/>
      <c r="AK18" s="65" t="s">
        <v>2580</v>
      </c>
      <c r="AL18" s="65"/>
      <c r="AM18" s="63" t="s">
        <v>237</v>
      </c>
      <c r="AN18" s="66" t="s">
        <v>2693</v>
      </c>
      <c r="AO18" s="63"/>
      <c r="AP18" s="66" t="s">
        <v>1698</v>
      </c>
      <c r="AQ18" s="66"/>
      <c r="AR18" s="68"/>
      <c r="AS18" s="68"/>
      <c r="AT18" s="68"/>
      <c r="AU18" s="68"/>
      <c r="AV18" s="65"/>
      <c r="AW18" s="65" t="s">
        <v>726</v>
      </c>
      <c r="AX18" s="66" t="s">
        <v>2499</v>
      </c>
      <c r="AY18" s="65" t="s">
        <v>448</v>
      </c>
      <c r="AZ18" s="65"/>
      <c r="BA18" s="234" t="s">
        <v>2684</v>
      </c>
      <c r="BB18" s="103"/>
      <c r="BC18" s="103"/>
      <c r="BD18" s="103"/>
      <c r="BE18" s="65" t="s">
        <v>1781</v>
      </c>
      <c r="BF18" s="65"/>
      <c r="BG18" s="98" t="s">
        <v>1107</v>
      </c>
      <c r="BH18" s="68"/>
      <c r="BI18" s="66"/>
      <c r="BJ18" s="66" t="s">
        <v>2560</v>
      </c>
      <c r="BK18" s="215"/>
      <c r="BL18" s="223" t="s">
        <v>2740</v>
      </c>
      <c r="BM18" s="66"/>
      <c r="BN18" s="66" t="s">
        <v>646</v>
      </c>
      <c r="BO18" s="66"/>
      <c r="BP18" s="66"/>
      <c r="BQ18" s="66" t="s">
        <v>2517</v>
      </c>
      <c r="BR18" s="66" t="s">
        <v>2517</v>
      </c>
      <c r="BS18" s="68"/>
      <c r="BT18" s="63" t="s">
        <v>691</v>
      </c>
      <c r="BX18" s="68"/>
      <c r="BY18" s="223" t="s">
        <v>2744</v>
      </c>
      <c r="BZ18" s="223" t="s">
        <v>2744</v>
      </c>
      <c r="CA18" s="68"/>
      <c r="CB18" s="71"/>
    </row>
    <row r="19" spans="1:80" ht="15.3">
      <c r="A19" s="3" t="s">
        <v>15</v>
      </c>
      <c r="B19" s="3" t="s">
        <v>81</v>
      </c>
      <c r="C19" s="102" t="s">
        <v>75</v>
      </c>
      <c r="F19" s="68"/>
      <c r="G19" s="68"/>
      <c r="H19" s="68"/>
      <c r="I19" s="68"/>
      <c r="J19" s="68"/>
      <c r="K19" s="68"/>
      <c r="L19" s="68"/>
      <c r="M19" s="68"/>
      <c r="N19" s="68"/>
      <c r="O19" s="68"/>
      <c r="P19" s="68"/>
      <c r="Q19" s="68"/>
      <c r="R19" s="68"/>
      <c r="S19" s="68"/>
      <c r="T19" s="68"/>
      <c r="U19" s="68"/>
      <c r="V19" s="68"/>
      <c r="W19" s="68"/>
      <c r="X19" s="68"/>
      <c r="Y19" s="68"/>
      <c r="Z19" s="68"/>
      <c r="AA19" s="68"/>
      <c r="AB19" s="68"/>
      <c r="AC19" s="68"/>
      <c r="AD19" s="68"/>
      <c r="AE19" s="63" t="s">
        <v>1623</v>
      </c>
      <c r="AF19" s="63" t="s">
        <v>1623</v>
      </c>
      <c r="AG19" s="63" t="s">
        <v>1623</v>
      </c>
      <c r="AH19" s="63" t="s">
        <v>1116</v>
      </c>
      <c r="AI19" s="66"/>
      <c r="AJ19" s="66"/>
      <c r="AK19" s="223" t="s">
        <v>2740</v>
      </c>
      <c r="AL19" s="66"/>
      <c r="AM19" s="66" t="s">
        <v>646</v>
      </c>
      <c r="AN19" s="66" t="s">
        <v>1698</v>
      </c>
      <c r="AO19" s="66"/>
      <c r="AP19" s="66" t="s">
        <v>2487</v>
      </c>
      <c r="AQ19" s="66"/>
      <c r="AR19" s="68"/>
      <c r="AS19" s="68"/>
      <c r="AT19" s="68"/>
      <c r="AU19" s="68"/>
      <c r="AV19" s="65"/>
      <c r="AW19" s="65" t="s">
        <v>531</v>
      </c>
      <c r="AX19" s="215" t="s">
        <v>2503</v>
      </c>
      <c r="AY19" s="65" t="s">
        <v>726</v>
      </c>
      <c r="AZ19" s="65"/>
      <c r="BA19" s="66" t="s">
        <v>2502</v>
      </c>
      <c r="BB19" s="103"/>
      <c r="BC19" s="103"/>
      <c r="BD19" s="103"/>
      <c r="BE19" s="66" t="s">
        <v>1775</v>
      </c>
      <c r="BF19" s="66"/>
      <c r="BG19" s="98" t="s">
        <v>1378</v>
      </c>
      <c r="BH19" s="68"/>
      <c r="BI19" s="66"/>
      <c r="BJ19" s="65" t="s">
        <v>2487</v>
      </c>
      <c r="BK19" s="215"/>
      <c r="BL19" s="215"/>
      <c r="BM19" s="66"/>
      <c r="BN19" s="66" t="s">
        <v>890</v>
      </c>
      <c r="BO19" s="66"/>
      <c r="BP19" s="66"/>
      <c r="BQ19" s="65" t="s">
        <v>2488</v>
      </c>
      <c r="BR19" s="66" t="s">
        <v>2488</v>
      </c>
      <c r="BS19" s="68"/>
      <c r="BT19" s="63" t="s">
        <v>1116</v>
      </c>
      <c r="BX19" s="68"/>
      <c r="BY19" s="223" t="s">
        <v>2671</v>
      </c>
      <c r="BZ19" s="66" t="s">
        <v>2671</v>
      </c>
      <c r="CA19" s="68"/>
      <c r="CB19" s="71"/>
    </row>
    <row r="20" spans="1:80">
      <c r="A20" s="3" t="s">
        <v>16</v>
      </c>
      <c r="B20" s="3" t="s">
        <v>81</v>
      </c>
      <c r="C20" s="102" t="s">
        <v>78</v>
      </c>
      <c r="F20" s="68"/>
      <c r="G20" s="68"/>
      <c r="H20" s="68"/>
      <c r="I20" s="68"/>
      <c r="J20" s="68"/>
      <c r="K20" s="68"/>
      <c r="L20" s="68"/>
      <c r="M20" s="68"/>
      <c r="N20" s="68"/>
      <c r="O20" s="68"/>
      <c r="P20" s="68"/>
      <c r="Q20" s="68"/>
      <c r="R20" s="68"/>
      <c r="S20" s="68"/>
      <c r="T20" s="68"/>
      <c r="U20" s="68"/>
      <c r="V20" s="68"/>
      <c r="W20" s="68"/>
      <c r="X20" s="68"/>
      <c r="Y20" s="68"/>
      <c r="Z20" s="68"/>
      <c r="AA20" s="68"/>
      <c r="AB20" s="68"/>
      <c r="AC20" s="68"/>
      <c r="AD20" s="68"/>
      <c r="AE20" s="64" t="s">
        <v>1703</v>
      </c>
      <c r="AF20" s="64" t="s">
        <v>1703</v>
      </c>
      <c r="AG20" s="64" t="s">
        <v>1703</v>
      </c>
      <c r="AH20" s="63" t="s">
        <v>680</v>
      </c>
      <c r="AI20" s="66"/>
      <c r="AJ20" s="66"/>
      <c r="AK20" s="66" t="s">
        <v>2653</v>
      </c>
      <c r="AL20" s="66"/>
      <c r="AM20" s="66" t="s">
        <v>890</v>
      </c>
      <c r="AN20" s="66" t="s">
        <v>2487</v>
      </c>
      <c r="AO20" s="66"/>
      <c r="AP20" s="223" t="s">
        <v>2740</v>
      </c>
      <c r="AQ20" s="66"/>
      <c r="AR20" s="68"/>
      <c r="AS20" s="68"/>
      <c r="AT20" s="68"/>
      <c r="AU20" s="68"/>
      <c r="AV20" s="65"/>
      <c r="AW20" s="65" t="s">
        <v>212</v>
      </c>
      <c r="AX20" s="65" t="s">
        <v>1624</v>
      </c>
      <c r="AY20" s="65" t="s">
        <v>531</v>
      </c>
      <c r="AZ20" s="65"/>
      <c r="BA20" s="215" t="s">
        <v>2488</v>
      </c>
      <c r="BB20" s="103"/>
      <c r="BC20" s="103"/>
      <c r="BD20" s="103"/>
      <c r="BE20" s="66" t="s">
        <v>1776</v>
      </c>
      <c r="BF20" s="66"/>
      <c r="BG20" s="98" t="s">
        <v>1379</v>
      </c>
      <c r="BH20" s="68"/>
      <c r="BI20" s="66"/>
      <c r="BJ20" s="63" t="s">
        <v>418</v>
      </c>
      <c r="BK20" s="215"/>
      <c r="BL20" s="215"/>
      <c r="BM20" s="66"/>
      <c r="BN20" s="66" t="s">
        <v>1011</v>
      </c>
      <c r="BO20" s="66"/>
      <c r="BP20" s="66"/>
      <c r="BQ20" s="66" t="s">
        <v>2740</v>
      </c>
      <c r="BR20" s="66" t="s">
        <v>2740</v>
      </c>
      <c r="BS20" s="68"/>
      <c r="BT20" s="63" t="s">
        <v>680</v>
      </c>
      <c r="BX20" s="68"/>
      <c r="BY20" s="68"/>
      <c r="BZ20" s="68"/>
      <c r="CA20" s="68"/>
      <c r="CB20" s="72"/>
    </row>
    <row r="21" spans="1:80">
      <c r="A21" s="3" t="s">
        <v>17</v>
      </c>
      <c r="B21" s="3" t="s">
        <v>428</v>
      </c>
      <c r="C21" s="102" t="s">
        <v>79</v>
      </c>
      <c r="F21" s="68"/>
      <c r="G21" s="68"/>
      <c r="H21" s="68"/>
      <c r="I21" s="68"/>
      <c r="J21" s="68"/>
      <c r="K21" s="68"/>
      <c r="L21" s="68"/>
      <c r="M21" s="68"/>
      <c r="N21" s="68"/>
      <c r="O21" s="68"/>
      <c r="P21" s="68"/>
      <c r="Q21" s="68"/>
      <c r="R21" s="68"/>
      <c r="S21" s="68"/>
      <c r="T21" s="68"/>
      <c r="U21" s="68"/>
      <c r="V21" s="68"/>
      <c r="W21" s="68"/>
      <c r="X21" s="68"/>
      <c r="Y21" s="68"/>
      <c r="Z21" s="68"/>
      <c r="AA21" s="68"/>
      <c r="AB21" s="68"/>
      <c r="AC21" s="68"/>
      <c r="AD21" s="68"/>
      <c r="AE21" s="64" t="s">
        <v>1705</v>
      </c>
      <c r="AF21" s="64" t="s">
        <v>1705</v>
      </c>
      <c r="AG21" s="64" t="s">
        <v>1705</v>
      </c>
      <c r="AH21" s="63" t="s">
        <v>683</v>
      </c>
      <c r="AI21" s="66"/>
      <c r="AJ21" s="66"/>
      <c r="AK21" s="66"/>
      <c r="AL21" s="66"/>
      <c r="AM21" s="66" t="s">
        <v>1011</v>
      </c>
      <c r="AN21" s="223" t="s">
        <v>2740</v>
      </c>
      <c r="AO21" s="66"/>
      <c r="AP21" s="66" t="s">
        <v>2783</v>
      </c>
      <c r="AQ21" s="66"/>
      <c r="AR21" s="68"/>
      <c r="AS21" s="68"/>
      <c r="AT21" s="68"/>
      <c r="AU21" s="68"/>
      <c r="AV21" s="65"/>
      <c r="AW21" s="66" t="s">
        <v>213</v>
      </c>
      <c r="AX21" s="66" t="s">
        <v>1702</v>
      </c>
      <c r="AY21" s="65" t="s">
        <v>212</v>
      </c>
      <c r="AZ21" s="65"/>
      <c r="BA21" s="235" t="s">
        <v>2740</v>
      </c>
      <c r="BB21" s="103"/>
      <c r="BC21" s="103"/>
      <c r="BD21" s="103"/>
      <c r="BE21" s="66" t="s">
        <v>1789</v>
      </c>
      <c r="BF21" s="66"/>
      <c r="BG21" s="98" t="s">
        <v>1614</v>
      </c>
      <c r="BH21" s="68"/>
      <c r="BI21" s="65"/>
      <c r="BJ21" s="63" t="s">
        <v>236</v>
      </c>
      <c r="BK21" s="215"/>
      <c r="BL21" s="215"/>
      <c r="BM21" s="66"/>
      <c r="BN21" s="66" t="s">
        <v>1691</v>
      </c>
      <c r="BO21" s="66"/>
      <c r="BP21" s="68"/>
      <c r="BQ21" s="66" t="s">
        <v>2784</v>
      </c>
      <c r="BR21" s="65" t="s">
        <v>2784</v>
      </c>
      <c r="BS21" s="68"/>
      <c r="BT21" s="63" t="s">
        <v>683</v>
      </c>
      <c r="BX21" s="68"/>
      <c r="BY21" s="68"/>
      <c r="BZ21" s="68"/>
      <c r="CA21" s="68"/>
    </row>
    <row r="22" spans="1:80">
      <c r="A22" s="3" t="s">
        <v>18</v>
      </c>
      <c r="B22" s="3" t="s">
        <v>81</v>
      </c>
      <c r="C22" s="102" t="s">
        <v>84</v>
      </c>
      <c r="F22" s="68"/>
      <c r="G22" s="68"/>
      <c r="H22" s="68"/>
      <c r="I22" s="68"/>
      <c r="J22" s="68"/>
      <c r="K22" s="68"/>
      <c r="L22" s="68"/>
      <c r="M22" s="68"/>
      <c r="N22" s="68"/>
      <c r="O22" s="68"/>
      <c r="P22" s="68"/>
      <c r="Q22" s="68"/>
      <c r="R22" s="68"/>
      <c r="S22" s="68"/>
      <c r="T22" s="68"/>
      <c r="U22" s="68"/>
      <c r="V22" s="68"/>
      <c r="W22" s="68"/>
      <c r="X22" s="68"/>
      <c r="Y22" s="68"/>
      <c r="Z22" s="68"/>
      <c r="AA22" s="68"/>
      <c r="AB22" s="68"/>
      <c r="AC22" s="68"/>
      <c r="AD22" s="68"/>
      <c r="AE22" s="64" t="s">
        <v>1824</v>
      </c>
      <c r="AF22" s="64" t="s">
        <v>1824</v>
      </c>
      <c r="AG22" s="64" t="s">
        <v>1824</v>
      </c>
      <c r="AH22" s="63" t="s">
        <v>684</v>
      </c>
      <c r="AI22" s="66"/>
      <c r="AJ22" s="66"/>
      <c r="AK22" s="66"/>
      <c r="AL22" s="66"/>
      <c r="AM22" s="65" t="s">
        <v>1618</v>
      </c>
      <c r="AN22" s="66" t="s">
        <v>2783</v>
      </c>
      <c r="AO22" s="66"/>
      <c r="AP22" s="66" t="s">
        <v>2798</v>
      </c>
      <c r="AQ22" s="66"/>
      <c r="AR22" s="68"/>
      <c r="AS22" s="68"/>
      <c r="AT22" s="68"/>
      <c r="AU22" s="68"/>
      <c r="AV22" s="66"/>
      <c r="AW22" s="66" t="s">
        <v>214</v>
      </c>
      <c r="AX22" s="224" t="s">
        <v>2740</v>
      </c>
      <c r="AY22" s="66" t="s">
        <v>213</v>
      </c>
      <c r="AZ22" s="66"/>
      <c r="BA22" s="66" t="s">
        <v>2769</v>
      </c>
      <c r="BB22" s="103"/>
      <c r="BC22" s="103"/>
      <c r="BD22" s="103"/>
      <c r="BE22" s="66" t="s">
        <v>1790</v>
      </c>
      <c r="BF22" s="66"/>
      <c r="BG22" s="98" t="s">
        <v>1613</v>
      </c>
      <c r="BH22" s="68"/>
      <c r="BI22" s="65"/>
      <c r="BJ22" s="63" t="s">
        <v>237</v>
      </c>
      <c r="BK22" s="215"/>
      <c r="BL22" s="215"/>
      <c r="BM22" s="68"/>
      <c r="BN22" s="223" t="s">
        <v>2740</v>
      </c>
      <c r="BO22" s="68"/>
      <c r="BP22" s="68"/>
      <c r="BQ22" s="66" t="s">
        <v>2797</v>
      </c>
      <c r="BR22" s="66" t="s">
        <v>2797</v>
      </c>
      <c r="BS22" s="68"/>
      <c r="BT22" s="63" t="s">
        <v>684</v>
      </c>
      <c r="BX22" s="68"/>
      <c r="BY22" s="68"/>
      <c r="BZ22" s="68"/>
      <c r="CA22" s="68"/>
    </row>
    <row r="23" spans="1:80">
      <c r="A23" s="3" t="s">
        <v>19</v>
      </c>
      <c r="B23" s="3" t="s">
        <v>428</v>
      </c>
      <c r="C23" s="102" t="s">
        <v>85</v>
      </c>
      <c r="F23" s="68"/>
      <c r="G23" s="68"/>
      <c r="H23" s="68"/>
      <c r="I23" s="68"/>
      <c r="J23" s="68"/>
      <c r="K23" s="68"/>
      <c r="L23" s="68"/>
      <c r="M23" s="68"/>
      <c r="N23" s="68"/>
      <c r="O23" s="68"/>
      <c r="P23" s="68"/>
      <c r="Q23" s="68"/>
      <c r="R23" s="68"/>
      <c r="S23" s="68"/>
      <c r="T23" s="68"/>
      <c r="U23" s="68"/>
      <c r="V23" s="68"/>
      <c r="W23" s="68"/>
      <c r="X23" s="68"/>
      <c r="Y23" s="68"/>
      <c r="Z23" s="68"/>
      <c r="AA23" s="68"/>
      <c r="AB23" s="68"/>
      <c r="AC23" s="68"/>
      <c r="AD23" s="68"/>
      <c r="AE23" s="64" t="s">
        <v>1825</v>
      </c>
      <c r="AF23" s="64" t="s">
        <v>1825</v>
      </c>
      <c r="AG23" s="64" t="s">
        <v>1825</v>
      </c>
      <c r="AH23" s="63" t="s">
        <v>685</v>
      </c>
      <c r="AI23" s="66"/>
      <c r="AJ23" s="66"/>
      <c r="AK23" s="227"/>
      <c r="AL23" s="227"/>
      <c r="AM23" s="66" t="s">
        <v>1698</v>
      </c>
      <c r="AN23" s="66" t="s">
        <v>2798</v>
      </c>
      <c r="AO23" s="66"/>
      <c r="AP23" s="66" t="s">
        <v>2653</v>
      </c>
      <c r="AQ23" s="66"/>
      <c r="AR23" s="68"/>
      <c r="AS23" s="68"/>
      <c r="AT23" s="68"/>
      <c r="AU23" s="68"/>
      <c r="AV23" s="66"/>
      <c r="AW23" s="66" t="s">
        <v>215</v>
      </c>
      <c r="AX23" s="66" t="s">
        <v>2671</v>
      </c>
      <c r="AY23" s="66" t="s">
        <v>214</v>
      </c>
      <c r="AZ23" s="66"/>
      <c r="BA23" s="66" t="s">
        <v>2811</v>
      </c>
      <c r="BB23" s="103"/>
      <c r="BC23" s="103"/>
      <c r="BD23" s="103"/>
      <c r="BE23" s="66" t="s">
        <v>2697</v>
      </c>
      <c r="BF23" s="66"/>
      <c r="BG23" s="119" t="s">
        <v>1625</v>
      </c>
      <c r="BH23" s="68"/>
      <c r="BI23" s="65"/>
      <c r="BJ23" s="66" t="s">
        <v>646</v>
      </c>
      <c r="BK23" s="215"/>
      <c r="BL23" s="215"/>
      <c r="BM23" s="68"/>
      <c r="BN23" s="66" t="s">
        <v>2653</v>
      </c>
      <c r="BO23" s="68"/>
      <c r="BP23" s="68"/>
      <c r="BQ23" s="68"/>
      <c r="BR23" s="68"/>
      <c r="BS23" s="68"/>
      <c r="BT23" s="63" t="s">
        <v>685</v>
      </c>
      <c r="BX23" s="68"/>
      <c r="BY23" s="68"/>
      <c r="BZ23" s="68"/>
      <c r="CA23" s="68"/>
    </row>
    <row r="24" spans="1:80">
      <c r="A24" s="3" t="s">
        <v>20</v>
      </c>
      <c r="B24" s="3" t="s">
        <v>430</v>
      </c>
      <c r="C24" s="102" t="s">
        <v>88</v>
      </c>
      <c r="F24" s="68"/>
      <c r="G24" s="68"/>
      <c r="H24" s="68"/>
      <c r="I24" s="68"/>
      <c r="J24" s="68"/>
      <c r="K24" s="68"/>
      <c r="L24" s="68"/>
      <c r="M24" s="68"/>
      <c r="N24" s="68"/>
      <c r="O24" s="68"/>
      <c r="P24" s="68"/>
      <c r="Q24" s="68"/>
      <c r="R24" s="68"/>
      <c r="S24" s="68"/>
      <c r="T24" s="68"/>
      <c r="U24" s="68"/>
      <c r="V24" s="68"/>
      <c r="W24" s="68"/>
      <c r="X24" s="68"/>
      <c r="Y24" s="68"/>
      <c r="Z24" s="68"/>
      <c r="AA24" s="68"/>
      <c r="AB24" s="68"/>
      <c r="AC24" s="68"/>
      <c r="AD24" s="68"/>
      <c r="AE24" s="64" t="s">
        <v>2487</v>
      </c>
      <c r="AF24" s="64" t="s">
        <v>2531</v>
      </c>
      <c r="AG24" s="64" t="s">
        <v>2530</v>
      </c>
      <c r="AH24" s="64" t="s">
        <v>687</v>
      </c>
      <c r="AI24" s="68"/>
      <c r="AJ24" s="68"/>
      <c r="AK24" s="66"/>
      <c r="AL24" s="66"/>
      <c r="AM24" s="66" t="s">
        <v>1706</v>
      </c>
      <c r="AN24" s="66" t="s">
        <v>2653</v>
      </c>
      <c r="AO24" s="66"/>
      <c r="AP24" s="66"/>
      <c r="AQ24" s="66"/>
      <c r="AR24" s="68"/>
      <c r="AS24" s="68"/>
      <c r="AT24" s="68"/>
      <c r="AU24" s="68"/>
      <c r="AV24" s="66"/>
      <c r="AW24" s="66" t="s">
        <v>692</v>
      </c>
      <c r="AX24" s="66" t="s">
        <v>2811</v>
      </c>
      <c r="AY24" s="66" t="s">
        <v>215</v>
      </c>
      <c r="AZ24" s="66"/>
      <c r="BA24" s="66"/>
      <c r="BB24" s="103"/>
      <c r="BC24" s="103"/>
      <c r="BD24" s="103"/>
      <c r="BE24" s="66" t="s">
        <v>2698</v>
      </c>
      <c r="BF24" s="66"/>
      <c r="BG24" s="64" t="s">
        <v>1701</v>
      </c>
      <c r="BH24" s="68"/>
      <c r="BI24" s="65"/>
      <c r="BJ24" s="66" t="s">
        <v>890</v>
      </c>
      <c r="BK24" s="215"/>
      <c r="BL24" s="215"/>
      <c r="BM24" s="68"/>
      <c r="BN24" s="68"/>
      <c r="BO24" s="68"/>
      <c r="BP24" s="68"/>
      <c r="BQ24" s="68"/>
      <c r="BR24" s="68"/>
      <c r="BS24" s="68"/>
      <c r="BT24" s="64" t="s">
        <v>687</v>
      </c>
      <c r="BX24" s="68"/>
      <c r="BY24" s="68"/>
      <c r="BZ24" s="68"/>
      <c r="CA24" s="68"/>
    </row>
    <row r="25" spans="1:80">
      <c r="A25" s="3" t="s">
        <v>21</v>
      </c>
      <c r="B25" s="3" t="s">
        <v>81</v>
      </c>
      <c r="C25" s="102" t="s">
        <v>89</v>
      </c>
      <c r="F25" s="68"/>
      <c r="G25" s="68"/>
      <c r="H25" s="68"/>
      <c r="I25" s="68"/>
      <c r="J25" s="68"/>
      <c r="K25" s="68"/>
      <c r="L25" s="68"/>
      <c r="M25" s="68"/>
      <c r="N25" s="68"/>
      <c r="O25" s="68"/>
      <c r="P25" s="68"/>
      <c r="Q25" s="68"/>
      <c r="R25" s="68"/>
      <c r="S25" s="68"/>
      <c r="T25" s="68"/>
      <c r="U25" s="68"/>
      <c r="V25" s="68"/>
      <c r="W25" s="68"/>
      <c r="X25" s="68"/>
      <c r="Y25" s="68"/>
      <c r="Z25" s="68"/>
      <c r="AA25" s="68"/>
      <c r="AB25" s="68"/>
      <c r="AC25" s="68"/>
      <c r="AD25" s="68"/>
      <c r="AE25" s="64" t="s">
        <v>2529</v>
      </c>
      <c r="AF25" s="64"/>
      <c r="AG25" s="64"/>
      <c r="AH25" s="64" t="s">
        <v>688</v>
      </c>
      <c r="AI25" s="68"/>
      <c r="AJ25" s="68"/>
      <c r="AK25" s="66"/>
      <c r="AL25" s="66"/>
      <c r="AM25" s="66" t="s">
        <v>1748</v>
      </c>
      <c r="AN25" s="66"/>
      <c r="AO25" s="66"/>
      <c r="AP25" s="66"/>
      <c r="AQ25" s="66"/>
      <c r="AR25" s="68"/>
      <c r="AS25" s="68"/>
      <c r="AT25" s="68"/>
      <c r="AU25" s="68"/>
      <c r="AV25" s="66"/>
      <c r="AW25" s="66" t="s">
        <v>904</v>
      </c>
      <c r="AX25" s="66"/>
      <c r="AY25" s="66" t="s">
        <v>692</v>
      </c>
      <c r="AZ25" s="66"/>
      <c r="BA25" s="66"/>
      <c r="BB25" s="103"/>
      <c r="BC25" s="103"/>
      <c r="BD25" s="103"/>
      <c r="BE25" s="66" t="s">
        <v>1686</v>
      </c>
      <c r="BF25" s="66"/>
      <c r="BG25" s="66" t="s">
        <v>2677</v>
      </c>
      <c r="BH25" s="68"/>
      <c r="BI25" s="66"/>
      <c r="BJ25" s="66" t="s">
        <v>1011</v>
      </c>
      <c r="BK25" s="215"/>
      <c r="BL25" s="215"/>
      <c r="BM25" s="68"/>
      <c r="BN25" s="68"/>
      <c r="BO25" s="68"/>
      <c r="BP25" s="68"/>
      <c r="BQ25" s="68"/>
      <c r="BR25" s="68"/>
      <c r="BS25" s="68"/>
      <c r="BT25" s="64" t="s">
        <v>688</v>
      </c>
      <c r="BX25" s="68"/>
      <c r="BY25" s="68"/>
      <c r="BZ25" s="68"/>
      <c r="CA25" s="68"/>
    </row>
    <row r="26" spans="1:80">
      <c r="A26" s="3" t="s">
        <v>22</v>
      </c>
      <c r="B26" s="3" t="s">
        <v>431</v>
      </c>
      <c r="C26" s="102" t="s">
        <v>91</v>
      </c>
      <c r="F26" s="68"/>
      <c r="G26" s="68"/>
      <c r="H26" s="68"/>
      <c r="I26" s="68"/>
      <c r="J26" s="68"/>
      <c r="K26" s="68"/>
      <c r="L26" s="68"/>
      <c r="M26" s="68"/>
      <c r="N26" s="68"/>
      <c r="O26" s="68"/>
      <c r="P26" s="68"/>
      <c r="Q26" s="68"/>
      <c r="R26" s="68"/>
      <c r="S26" s="68"/>
      <c r="T26" s="68"/>
      <c r="U26" s="68"/>
      <c r="V26" s="68"/>
      <c r="W26" s="68"/>
      <c r="X26" s="68"/>
      <c r="Y26" s="68"/>
      <c r="Z26" s="68"/>
      <c r="AA26" s="68"/>
      <c r="AB26" s="68"/>
      <c r="AC26" s="68"/>
      <c r="AD26" s="68"/>
      <c r="AE26" s="64" t="s">
        <v>2531</v>
      </c>
      <c r="AF26" s="68"/>
      <c r="AG26" s="68"/>
      <c r="AH26" s="64" t="s">
        <v>907</v>
      </c>
      <c r="AI26" s="68"/>
      <c r="AJ26" s="68"/>
      <c r="AK26" s="66"/>
      <c r="AL26" s="66"/>
      <c r="AM26" s="66" t="s">
        <v>1691</v>
      </c>
      <c r="AN26" s="66"/>
      <c r="AO26" s="66"/>
      <c r="AP26" s="66"/>
      <c r="AQ26" s="66"/>
      <c r="AR26" s="68"/>
      <c r="AS26" s="68"/>
      <c r="AT26" s="68"/>
      <c r="AU26" s="68"/>
      <c r="AV26" s="66"/>
      <c r="AW26" s="66" t="s">
        <v>1819</v>
      </c>
      <c r="AX26" s="66"/>
      <c r="AY26" s="66" t="s">
        <v>904</v>
      </c>
      <c r="AZ26" s="66"/>
      <c r="BA26" s="66"/>
      <c r="BB26" s="103"/>
      <c r="BC26" s="103"/>
      <c r="BD26" s="103"/>
      <c r="BE26" s="66" t="s">
        <v>1777</v>
      </c>
      <c r="BF26" s="68"/>
      <c r="BG26" s="64" t="s">
        <v>1713</v>
      </c>
      <c r="BH26" s="68"/>
      <c r="BI26" s="66"/>
      <c r="BJ26" s="66" t="s">
        <v>1691</v>
      </c>
      <c r="BK26" s="215"/>
      <c r="BL26" s="215"/>
      <c r="BM26" s="68"/>
      <c r="BN26" s="68"/>
      <c r="BO26" s="68"/>
      <c r="BP26" s="68"/>
      <c r="BQ26" s="68"/>
      <c r="BR26" s="68"/>
      <c r="BS26" s="68"/>
      <c r="BT26" s="64" t="s">
        <v>907</v>
      </c>
      <c r="BX26" s="68"/>
      <c r="BY26" s="68"/>
      <c r="BZ26" s="68"/>
      <c r="CA26" s="68"/>
    </row>
    <row r="27" spans="1:80">
      <c r="A27" s="3" t="s">
        <v>23</v>
      </c>
      <c r="B27" s="3" t="s">
        <v>430</v>
      </c>
      <c r="C27" s="102" t="s">
        <v>93</v>
      </c>
      <c r="F27" s="68"/>
      <c r="G27" s="68"/>
      <c r="H27" s="68"/>
      <c r="I27" s="68"/>
      <c r="J27" s="68"/>
      <c r="K27" s="68"/>
      <c r="L27" s="68"/>
      <c r="M27" s="68"/>
      <c r="N27" s="68"/>
      <c r="O27" s="68"/>
      <c r="P27" s="68"/>
      <c r="Q27" s="68"/>
      <c r="R27" s="68"/>
      <c r="S27" s="68"/>
      <c r="T27" s="68"/>
      <c r="U27" s="68"/>
      <c r="V27" s="68"/>
      <c r="W27" s="68"/>
      <c r="X27" s="68"/>
      <c r="Y27" s="68"/>
      <c r="Z27" s="68"/>
      <c r="AA27" s="68"/>
      <c r="AB27" s="68"/>
      <c r="AC27" s="68"/>
      <c r="AD27" s="68"/>
      <c r="AE27" s="223" t="s">
        <v>2740</v>
      </c>
      <c r="AF27" s="68"/>
      <c r="AG27" s="68"/>
      <c r="AH27" s="63" t="s">
        <v>1318</v>
      </c>
      <c r="AI27" s="68"/>
      <c r="AJ27" s="68"/>
      <c r="AK27" s="66"/>
      <c r="AL27" s="66"/>
      <c r="AM27" s="66" t="s">
        <v>2487</v>
      </c>
      <c r="AN27" s="66"/>
      <c r="AO27" s="66"/>
      <c r="AP27" s="68"/>
      <c r="AQ27" s="68"/>
      <c r="AR27" s="68"/>
      <c r="AS27" s="68"/>
      <c r="AT27" s="68"/>
      <c r="AU27" s="68"/>
      <c r="AV27" s="66"/>
      <c r="AW27" s="66"/>
      <c r="AX27" s="215"/>
      <c r="AY27" s="66" t="s">
        <v>1819</v>
      </c>
      <c r="AZ27" s="66"/>
      <c r="BA27" s="66"/>
      <c r="BB27" s="103"/>
      <c r="BC27" s="103"/>
      <c r="BD27" s="103"/>
      <c r="BE27" s="66" t="s">
        <v>1897</v>
      </c>
      <c r="BF27" s="68"/>
      <c r="BG27" s="64" t="s">
        <v>1726</v>
      </c>
      <c r="BH27" s="68"/>
      <c r="BI27" s="66"/>
      <c r="BJ27" s="66" t="s">
        <v>1754</v>
      </c>
      <c r="BK27" s="215"/>
      <c r="BL27" s="215"/>
      <c r="BM27" s="68"/>
      <c r="BN27" s="68"/>
      <c r="BO27" s="68"/>
      <c r="BP27" s="68"/>
      <c r="BQ27" s="68"/>
      <c r="BR27" s="68"/>
      <c r="BS27" s="68"/>
      <c r="BT27" s="102" t="s">
        <v>1318</v>
      </c>
      <c r="BX27" s="68"/>
      <c r="BY27" s="68"/>
      <c r="BZ27" s="68"/>
      <c r="CA27" s="68"/>
    </row>
    <row r="28" spans="1:80">
      <c r="A28" s="3" t="s">
        <v>24</v>
      </c>
      <c r="B28" s="3" t="s">
        <v>429</v>
      </c>
      <c r="C28" s="102" t="s">
        <v>92</v>
      </c>
      <c r="F28" s="68"/>
      <c r="G28" s="68"/>
      <c r="H28" s="68"/>
      <c r="I28" s="68"/>
      <c r="J28" s="68"/>
      <c r="K28" s="68"/>
      <c r="L28" s="68"/>
      <c r="M28" s="68"/>
      <c r="N28" s="68"/>
      <c r="O28" s="68"/>
      <c r="P28" s="68"/>
      <c r="Q28" s="68"/>
      <c r="R28" s="68"/>
      <c r="S28" s="68"/>
      <c r="T28" s="68"/>
      <c r="U28" s="68"/>
      <c r="V28" s="68"/>
      <c r="W28" s="68"/>
      <c r="X28" s="68"/>
      <c r="Y28" s="68"/>
      <c r="Z28" s="68"/>
      <c r="AA28" s="68"/>
      <c r="AB28" s="68"/>
      <c r="AC28" s="68"/>
      <c r="AD28" s="68"/>
      <c r="AE28" s="223" t="s">
        <v>2794</v>
      </c>
      <c r="AF28" s="68"/>
      <c r="AG28" s="68"/>
      <c r="AH28" s="63" t="s">
        <v>1319</v>
      </c>
      <c r="AI28" s="68"/>
      <c r="AJ28" s="68"/>
      <c r="AK28" s="66"/>
      <c r="AL28" s="66"/>
      <c r="AM28" s="223" t="s">
        <v>2740</v>
      </c>
      <c r="AN28" s="68"/>
      <c r="AO28" s="68"/>
      <c r="AP28" s="68"/>
      <c r="AQ28" s="68"/>
      <c r="AR28" s="68"/>
      <c r="AS28" s="68"/>
      <c r="AT28" s="68"/>
      <c r="AU28" s="68"/>
      <c r="AV28" s="215"/>
      <c r="AW28" s="215"/>
      <c r="AX28" s="66"/>
      <c r="AY28" s="236"/>
      <c r="AZ28" s="215"/>
      <c r="BA28" s="215"/>
      <c r="BB28" s="103"/>
      <c r="BC28" s="103"/>
      <c r="BD28" s="103"/>
      <c r="BE28" s="66" t="s">
        <v>2487</v>
      </c>
      <c r="BF28" s="68"/>
      <c r="BG28" s="64" t="s">
        <v>1727</v>
      </c>
      <c r="BH28" s="68"/>
      <c r="BI28" s="66"/>
      <c r="BJ28" s="66" t="s">
        <v>1755</v>
      </c>
      <c r="BK28" s="215"/>
      <c r="BL28" s="215"/>
      <c r="BM28" s="68"/>
      <c r="BN28" s="68"/>
      <c r="BO28" s="68"/>
      <c r="BP28" s="68"/>
      <c r="BQ28" s="68"/>
      <c r="BR28" s="68"/>
      <c r="BS28" s="68"/>
      <c r="BT28" s="102" t="s">
        <v>1319</v>
      </c>
      <c r="BX28" s="68"/>
      <c r="BY28" s="68"/>
      <c r="BZ28" s="68"/>
      <c r="CA28" s="68"/>
    </row>
    <row r="29" spans="1:80">
      <c r="A29" s="3" t="s">
        <v>34</v>
      </c>
      <c r="B29" s="3" t="s">
        <v>431</v>
      </c>
      <c r="C29" s="102" t="s">
        <v>98</v>
      </c>
      <c r="F29" s="68"/>
      <c r="G29" s="68"/>
      <c r="H29" s="68"/>
      <c r="I29" s="68"/>
      <c r="J29" s="68"/>
      <c r="K29" s="68"/>
      <c r="L29" s="68"/>
      <c r="M29" s="68"/>
      <c r="N29" s="68"/>
      <c r="O29" s="68"/>
      <c r="P29" s="68"/>
      <c r="Q29" s="68"/>
      <c r="R29" s="68"/>
      <c r="S29" s="68"/>
      <c r="T29" s="68"/>
      <c r="U29" s="68"/>
      <c r="V29" s="68"/>
      <c r="W29" s="68"/>
      <c r="X29" s="68"/>
      <c r="Y29" s="68"/>
      <c r="Z29" s="68"/>
      <c r="AA29" s="68"/>
      <c r="AB29" s="68"/>
      <c r="AC29" s="68"/>
      <c r="AD29" s="68"/>
      <c r="AE29" s="64" t="s">
        <v>2804</v>
      </c>
      <c r="AF29" s="68"/>
      <c r="AG29" s="68"/>
      <c r="AH29" s="64" t="s">
        <v>729</v>
      </c>
      <c r="AI29" s="68"/>
      <c r="AJ29" s="68"/>
      <c r="AK29" s="68"/>
      <c r="AL29" s="68"/>
      <c r="AM29" s="68"/>
      <c r="AN29" s="68"/>
      <c r="AO29" s="68"/>
      <c r="AP29" s="68"/>
      <c r="AQ29" s="68"/>
      <c r="AR29" s="68"/>
      <c r="AS29" s="68"/>
      <c r="AT29" s="68"/>
      <c r="AU29" s="68"/>
      <c r="AV29" s="66"/>
      <c r="AW29" s="66"/>
      <c r="AX29" s="66"/>
      <c r="AY29" s="215"/>
      <c r="AZ29" s="66"/>
      <c r="BA29" s="66"/>
      <c r="BB29" s="103"/>
      <c r="BC29" s="103"/>
      <c r="BD29" s="103"/>
      <c r="BE29" s="66" t="s">
        <v>2740</v>
      </c>
      <c r="BF29" s="68"/>
      <c r="BG29" s="64" t="s">
        <v>1728</v>
      </c>
      <c r="BH29" s="68"/>
      <c r="BI29" s="68"/>
      <c r="BJ29" s="66" t="s">
        <v>1757</v>
      </c>
      <c r="BK29" s="215"/>
      <c r="BM29" s="68"/>
      <c r="BN29" s="68"/>
      <c r="BO29" s="68"/>
      <c r="BP29" s="68"/>
      <c r="BQ29" s="68"/>
      <c r="BR29" s="68"/>
      <c r="BS29" s="68"/>
      <c r="BT29" s="102" t="s">
        <v>1342</v>
      </c>
      <c r="BX29" s="68"/>
      <c r="BY29" s="68"/>
      <c r="BZ29" s="68"/>
      <c r="CA29" s="68"/>
    </row>
    <row r="30" spans="1:80">
      <c r="A30" s="3" t="s">
        <v>35</v>
      </c>
      <c r="B30" s="3" t="s">
        <v>681</v>
      </c>
      <c r="C30" s="102" t="s">
        <v>100</v>
      </c>
      <c r="F30" s="68"/>
      <c r="G30" s="68"/>
      <c r="H30" s="68"/>
      <c r="I30" s="68"/>
      <c r="J30" s="68"/>
      <c r="K30" s="68"/>
      <c r="L30" s="68"/>
      <c r="M30" s="68"/>
      <c r="N30" s="68"/>
      <c r="O30" s="68"/>
      <c r="P30" s="68"/>
      <c r="Q30" s="68"/>
      <c r="R30" s="68"/>
      <c r="S30" s="68"/>
      <c r="T30" s="68"/>
      <c r="U30" s="68"/>
      <c r="V30" s="68"/>
      <c r="W30" s="68"/>
      <c r="X30" s="68"/>
      <c r="Y30" s="68"/>
      <c r="Z30" s="68"/>
      <c r="AA30" s="68"/>
      <c r="AB30" s="68"/>
      <c r="AC30" s="68"/>
      <c r="AD30" s="68"/>
      <c r="AE30" s="68"/>
      <c r="AF30" s="68"/>
      <c r="AG30" s="68"/>
      <c r="AH30" s="64" t="s">
        <v>2449</v>
      </c>
      <c r="AI30" s="68"/>
      <c r="AJ30" s="68"/>
      <c r="AK30" s="68"/>
      <c r="AL30" s="68"/>
      <c r="AM30" s="68"/>
      <c r="AN30" s="68"/>
      <c r="AO30" s="68"/>
      <c r="AP30" s="68"/>
      <c r="AQ30" s="68"/>
      <c r="AR30" s="68"/>
      <c r="AS30" s="68"/>
      <c r="AT30" s="68"/>
      <c r="AU30" s="68"/>
      <c r="AV30" s="66"/>
      <c r="AW30" s="66"/>
      <c r="AX30" s="215"/>
      <c r="AY30" s="66"/>
      <c r="AZ30" s="66"/>
      <c r="BA30" s="66"/>
      <c r="BB30" s="103"/>
      <c r="BC30" s="103"/>
      <c r="BD30" s="103"/>
      <c r="BE30" s="66" t="s">
        <v>2787</v>
      </c>
      <c r="BF30" s="68"/>
      <c r="BG30" s="64" t="s">
        <v>1729</v>
      </c>
      <c r="BH30" s="68"/>
      <c r="BI30" s="68"/>
      <c r="BJ30" s="66" t="s">
        <v>1756</v>
      </c>
      <c r="BK30" s="215"/>
      <c r="BM30" s="68"/>
      <c r="BN30" s="68"/>
      <c r="BO30" s="68"/>
      <c r="BP30" s="68"/>
      <c r="BQ30" s="68"/>
      <c r="BR30" s="68"/>
      <c r="BS30" s="68"/>
      <c r="BT30" s="64" t="s">
        <v>2448</v>
      </c>
      <c r="BX30" s="68"/>
      <c r="BY30" s="68"/>
      <c r="BZ30" s="68"/>
      <c r="CA30" s="68"/>
    </row>
    <row r="31" spans="1:80">
      <c r="A31" s="3" t="s">
        <v>33</v>
      </c>
      <c r="B31" s="3" t="s">
        <v>431</v>
      </c>
      <c r="C31" s="102" t="s">
        <v>102</v>
      </c>
      <c r="F31" s="68"/>
      <c r="G31" s="68"/>
      <c r="H31" s="68"/>
      <c r="I31" s="68"/>
      <c r="J31" s="68"/>
      <c r="K31" s="68"/>
      <c r="L31" s="68"/>
      <c r="M31" s="68"/>
      <c r="N31" s="68"/>
      <c r="O31" s="68"/>
      <c r="P31" s="68"/>
      <c r="Q31" s="68"/>
      <c r="R31" s="68"/>
      <c r="S31" s="68"/>
      <c r="T31" s="68"/>
      <c r="U31" s="68"/>
      <c r="V31" s="68"/>
      <c r="W31" s="68"/>
      <c r="X31" s="68"/>
      <c r="Y31" s="68"/>
      <c r="Z31" s="68"/>
      <c r="AA31" s="68"/>
      <c r="AB31" s="68"/>
      <c r="AC31" s="68"/>
      <c r="AD31" s="68"/>
      <c r="AE31" s="68"/>
      <c r="AF31" s="68"/>
      <c r="AG31" s="68"/>
      <c r="AH31" s="223" t="s">
        <v>2745</v>
      </c>
      <c r="AI31" s="68"/>
      <c r="AJ31" s="68"/>
      <c r="AK31" s="68"/>
      <c r="AL31" s="68"/>
      <c r="AM31" s="68"/>
      <c r="AN31" s="68"/>
      <c r="AO31" s="68"/>
      <c r="AP31" s="68"/>
      <c r="AQ31" s="68"/>
      <c r="AR31" s="68"/>
      <c r="AS31" s="68"/>
      <c r="AT31" s="68"/>
      <c r="AU31" s="68"/>
      <c r="AV31" s="215"/>
      <c r="AW31" s="215"/>
      <c r="AX31" s="66"/>
      <c r="AY31" s="215"/>
      <c r="AZ31" s="215"/>
      <c r="BA31" s="215"/>
      <c r="BB31" s="103"/>
      <c r="BC31" s="103"/>
      <c r="BD31" s="103"/>
      <c r="BE31" s="66" t="s">
        <v>2788</v>
      </c>
      <c r="BF31" s="68"/>
      <c r="BG31" s="64" t="s">
        <v>2446</v>
      </c>
      <c r="BH31" s="68"/>
      <c r="BI31" s="68"/>
      <c r="BJ31" s="66" t="s">
        <v>1758</v>
      </c>
      <c r="BK31" s="215"/>
      <c r="BM31" s="68"/>
      <c r="BN31" s="68"/>
      <c r="BO31" s="68"/>
      <c r="BP31" s="68"/>
      <c r="BQ31" s="68"/>
      <c r="BR31" s="68"/>
      <c r="BS31" s="68"/>
      <c r="BT31" s="223" t="s">
        <v>2745</v>
      </c>
      <c r="BX31" s="68"/>
      <c r="BY31" s="68"/>
      <c r="BZ31" s="68"/>
      <c r="CA31" s="68"/>
    </row>
    <row r="32" spans="1:80">
      <c r="A32" s="3" t="s">
        <v>2465</v>
      </c>
      <c r="B32" s="3" t="s">
        <v>432</v>
      </c>
      <c r="C32" s="102" t="s">
        <v>104</v>
      </c>
      <c r="F32" s="68"/>
      <c r="G32" s="68"/>
      <c r="H32" s="68"/>
      <c r="I32" s="68"/>
      <c r="J32" s="68"/>
      <c r="K32" s="68"/>
      <c r="L32" s="68"/>
      <c r="M32" s="68"/>
      <c r="N32" s="68"/>
      <c r="O32" s="68"/>
      <c r="P32" s="68"/>
      <c r="Q32" s="68"/>
      <c r="R32" s="68"/>
      <c r="S32" s="68"/>
      <c r="T32" s="68"/>
      <c r="U32" s="68"/>
      <c r="V32" s="68"/>
      <c r="W32" s="68"/>
      <c r="X32" s="68"/>
      <c r="Y32" s="68"/>
      <c r="Z32" s="68"/>
      <c r="AA32" s="68"/>
      <c r="AB32" s="68"/>
      <c r="AC32" s="68"/>
      <c r="AD32" s="68"/>
      <c r="AE32" s="68"/>
      <c r="AF32" s="68"/>
      <c r="AG32" s="68"/>
      <c r="AH32" s="223" t="s">
        <v>2746</v>
      </c>
      <c r="AI32" s="68"/>
      <c r="AJ32" s="68"/>
      <c r="AK32" s="68"/>
      <c r="AL32" s="68"/>
      <c r="AM32" s="68"/>
      <c r="AN32" s="68"/>
      <c r="AO32" s="68"/>
      <c r="AP32" s="68"/>
      <c r="AQ32" s="68"/>
      <c r="AR32" s="68"/>
      <c r="AS32" s="68"/>
      <c r="AT32" s="68"/>
      <c r="AU32" s="68"/>
      <c r="AV32" s="66"/>
      <c r="AW32" s="66"/>
      <c r="AX32" s="215"/>
      <c r="AY32" s="66"/>
      <c r="AZ32" s="66"/>
      <c r="BA32" s="66"/>
      <c r="BB32" s="103"/>
      <c r="BC32" s="103"/>
      <c r="BD32" s="103"/>
      <c r="BE32" s="65" t="s">
        <v>2657</v>
      </c>
      <c r="BF32" s="68"/>
      <c r="BG32" s="64" t="s">
        <v>2447</v>
      </c>
      <c r="BH32" s="68"/>
      <c r="BI32" s="68"/>
      <c r="BJ32" s="66" t="s">
        <v>1753</v>
      </c>
      <c r="BK32" s="215"/>
      <c r="BM32" s="68"/>
      <c r="BN32" s="68"/>
      <c r="BO32" s="68"/>
      <c r="BP32" s="68"/>
      <c r="BQ32" s="68"/>
      <c r="BR32" s="68"/>
      <c r="BS32" s="68"/>
      <c r="BT32" s="223" t="s">
        <v>2746</v>
      </c>
      <c r="BX32" s="68"/>
      <c r="BY32" s="68"/>
      <c r="BZ32" s="68"/>
      <c r="CA32" s="68"/>
    </row>
    <row r="33" spans="1:79">
      <c r="A33" s="3" t="s">
        <v>37</v>
      </c>
      <c r="B33" s="3" t="s">
        <v>432</v>
      </c>
      <c r="C33" s="253" t="s">
        <v>108</v>
      </c>
      <c r="F33" s="68"/>
      <c r="G33" s="68"/>
      <c r="H33" s="68"/>
      <c r="I33" s="68"/>
      <c r="J33" s="68"/>
      <c r="K33" s="68"/>
      <c r="L33" s="68"/>
      <c r="M33" s="68"/>
      <c r="N33" s="68"/>
      <c r="O33" s="68"/>
      <c r="P33" s="68"/>
      <c r="Q33" s="68"/>
      <c r="R33" s="68"/>
      <c r="S33" s="68"/>
      <c r="T33" s="68"/>
      <c r="U33" s="68"/>
      <c r="V33" s="68"/>
      <c r="W33" s="68"/>
      <c r="X33" s="68"/>
      <c r="Y33" s="68"/>
      <c r="Z33" s="68"/>
      <c r="AA33" s="68"/>
      <c r="AB33" s="68"/>
      <c r="AC33" s="68"/>
      <c r="AD33" s="68"/>
      <c r="AE33" s="68"/>
      <c r="AF33" s="68"/>
      <c r="AG33" s="68"/>
      <c r="AH33" s="63" t="s">
        <v>2812</v>
      </c>
      <c r="AI33" s="68"/>
      <c r="AJ33" s="68"/>
      <c r="AK33" s="68"/>
      <c r="AL33" s="68"/>
      <c r="AM33" s="68"/>
      <c r="AN33" s="68"/>
      <c r="AO33" s="68"/>
      <c r="AP33" s="68"/>
      <c r="AQ33" s="68"/>
      <c r="AR33" s="68"/>
      <c r="AS33" s="68"/>
      <c r="AT33" s="68"/>
      <c r="AU33" s="68"/>
      <c r="AV33" s="215"/>
      <c r="AW33" s="66"/>
      <c r="AX33" s="227"/>
      <c r="AY33" s="215"/>
      <c r="AZ33" s="215"/>
      <c r="BA33" s="215"/>
      <c r="BB33" s="103"/>
      <c r="BC33" s="103"/>
      <c r="BD33" s="103"/>
      <c r="BE33" s="66"/>
      <c r="BF33" s="68"/>
      <c r="BG33" s="64" t="s">
        <v>2488</v>
      </c>
      <c r="BH33" s="68"/>
      <c r="BI33" s="68"/>
      <c r="BJ33" s="66" t="s">
        <v>2740</v>
      </c>
      <c r="BK33" s="215"/>
      <c r="BM33" s="68"/>
      <c r="BN33" s="68"/>
      <c r="BO33" s="68"/>
      <c r="BP33" s="68"/>
      <c r="BQ33" s="68"/>
      <c r="BR33" s="68"/>
      <c r="BS33" s="68"/>
      <c r="BT33" s="63" t="s">
        <v>2812</v>
      </c>
      <c r="BX33" s="68"/>
      <c r="BY33" s="68"/>
      <c r="BZ33" s="68"/>
      <c r="CA33" s="68"/>
    </row>
    <row r="34" spans="1:79">
      <c r="A34" s="3" t="s">
        <v>36</v>
      </c>
      <c r="B34" s="3" t="s">
        <v>429</v>
      </c>
      <c r="C34" s="253" t="s">
        <v>111</v>
      </c>
      <c r="AD34" s="68"/>
      <c r="AE34" s="68"/>
      <c r="AF34" s="68"/>
      <c r="AG34" s="68"/>
      <c r="AH34" s="63" t="s">
        <v>2813</v>
      </c>
      <c r="AI34" s="68"/>
      <c r="AJ34" s="68"/>
      <c r="AK34" s="68"/>
      <c r="AL34" s="68"/>
      <c r="AM34" s="68"/>
      <c r="AN34" s="68"/>
      <c r="AO34" s="68"/>
      <c r="AP34" s="68"/>
      <c r="AQ34" s="68"/>
      <c r="AR34" s="68"/>
      <c r="AS34" s="68"/>
      <c r="AT34" s="68"/>
      <c r="AU34" s="68"/>
      <c r="AV34" s="227"/>
      <c r="AW34" s="227"/>
      <c r="AX34" s="230"/>
      <c r="AY34" s="227"/>
      <c r="AZ34" s="227"/>
      <c r="BA34" s="227"/>
      <c r="BB34" s="228"/>
      <c r="BC34" s="228"/>
      <c r="BD34" s="103"/>
      <c r="BE34" s="68"/>
      <c r="BF34" s="68"/>
      <c r="BG34" s="64" t="s">
        <v>2493</v>
      </c>
      <c r="BH34" s="68"/>
      <c r="BI34" s="68"/>
      <c r="BJ34" s="66" t="s">
        <v>2785</v>
      </c>
      <c r="BK34" s="215"/>
      <c r="BM34" s="68"/>
      <c r="BN34" s="68"/>
      <c r="BO34" s="68"/>
      <c r="BP34" s="68"/>
      <c r="BQ34" s="68"/>
      <c r="BR34" s="68"/>
      <c r="BS34" s="68"/>
      <c r="BT34" s="63" t="s">
        <v>2813</v>
      </c>
      <c r="BX34" s="68"/>
      <c r="BY34" s="68"/>
      <c r="BZ34" s="68"/>
      <c r="CA34" s="68"/>
    </row>
    <row r="35" spans="1:79">
      <c r="A35" s="3" t="s">
        <v>39</v>
      </c>
      <c r="B35" s="3" t="s">
        <v>433</v>
      </c>
      <c r="C35" s="253" t="s">
        <v>112</v>
      </c>
      <c r="AD35" s="68"/>
      <c r="AE35" s="68"/>
      <c r="AF35" s="68"/>
      <c r="AG35" s="68"/>
      <c r="AH35" s="64" t="s">
        <v>2814</v>
      </c>
      <c r="AI35" s="68"/>
      <c r="AJ35" s="68"/>
      <c r="AK35" s="68"/>
      <c r="AL35" s="68"/>
      <c r="AM35" s="68"/>
      <c r="AN35" s="68"/>
      <c r="AO35" s="68"/>
      <c r="AP35" s="68"/>
      <c r="AQ35" s="68"/>
      <c r="AR35" s="68"/>
      <c r="AS35" s="68"/>
      <c r="AT35" s="68"/>
      <c r="AU35" s="68"/>
      <c r="AV35" s="230"/>
      <c r="AW35" s="230"/>
      <c r="AX35" s="233"/>
      <c r="AY35" s="230"/>
      <c r="AZ35" s="230"/>
      <c r="BA35" s="230"/>
      <c r="BB35" s="232"/>
      <c r="BC35" s="232"/>
      <c r="BD35" s="103"/>
      <c r="BE35" s="68"/>
      <c r="BF35" s="68"/>
      <c r="BG35" s="223" t="s">
        <v>2740</v>
      </c>
      <c r="BH35" s="68"/>
      <c r="BI35" s="68"/>
      <c r="BJ35" s="66" t="s">
        <v>2786</v>
      </c>
      <c r="BK35" s="215"/>
      <c r="BM35" s="68"/>
      <c r="BN35" s="68"/>
      <c r="BO35" s="68"/>
      <c r="BP35" s="68"/>
      <c r="BQ35" s="68"/>
      <c r="BR35" s="68"/>
      <c r="BS35" s="68"/>
      <c r="BT35" s="64" t="s">
        <v>2814</v>
      </c>
      <c r="BX35" s="68"/>
      <c r="BY35" s="68"/>
      <c r="BZ35" s="68"/>
      <c r="CA35" s="68"/>
    </row>
    <row r="36" spans="1:79">
      <c r="A36" s="2" t="s">
        <v>25</v>
      </c>
      <c r="B36" s="3" t="s">
        <v>433</v>
      </c>
      <c r="C36" s="253" t="s">
        <v>113</v>
      </c>
      <c r="AD36" s="68"/>
      <c r="AE36" s="68"/>
      <c r="AF36" s="68"/>
      <c r="AG36" s="68"/>
      <c r="AH36" s="68"/>
      <c r="AI36" s="68"/>
      <c r="AJ36" s="68"/>
      <c r="AK36" s="68"/>
      <c r="AL36" s="68"/>
      <c r="AM36" s="68"/>
      <c r="AN36" s="68"/>
      <c r="AO36" s="68"/>
      <c r="AP36" s="68"/>
      <c r="AQ36" s="68"/>
      <c r="AR36" s="68"/>
      <c r="AS36" s="68"/>
      <c r="AT36" s="68"/>
      <c r="AU36" s="68"/>
      <c r="AV36" s="233"/>
      <c r="AW36" s="233"/>
      <c r="AX36" s="66"/>
      <c r="AY36" s="233"/>
      <c r="AZ36" s="233"/>
      <c r="BA36" s="233"/>
      <c r="BB36" s="232"/>
      <c r="BC36" s="232"/>
      <c r="BD36" s="103"/>
      <c r="BE36" s="68"/>
      <c r="BF36" s="68"/>
      <c r="BG36" s="64" t="s">
        <v>2789</v>
      </c>
      <c r="BH36" s="68"/>
      <c r="BI36" s="68"/>
      <c r="BJ36" s="65" t="s">
        <v>2653</v>
      </c>
      <c r="BK36" s="68"/>
      <c r="BM36" s="68"/>
      <c r="BN36" s="68"/>
      <c r="BO36" s="68"/>
      <c r="BP36" s="68"/>
      <c r="BQ36" s="68"/>
      <c r="BR36" s="68"/>
      <c r="BS36" s="68"/>
      <c r="BT36" s="68"/>
      <c r="BX36" s="68"/>
      <c r="BY36" s="68"/>
      <c r="BZ36" s="68"/>
      <c r="CA36" s="68"/>
    </row>
    <row r="37" spans="1:79">
      <c r="A37" s="3" t="s">
        <v>26</v>
      </c>
      <c r="B37" s="3" t="s">
        <v>81</v>
      </c>
      <c r="C37" s="253" t="s">
        <v>114</v>
      </c>
      <c r="AD37" s="68"/>
      <c r="AE37" s="68"/>
      <c r="AF37" s="68"/>
      <c r="AG37" s="68"/>
      <c r="AH37" s="68"/>
      <c r="AI37" s="68"/>
      <c r="AJ37" s="68"/>
      <c r="AK37" s="68"/>
      <c r="AL37" s="68"/>
      <c r="AM37" s="68"/>
      <c r="AN37" s="68"/>
      <c r="AO37" s="68"/>
      <c r="AP37" s="68"/>
      <c r="AQ37" s="68"/>
      <c r="AR37" s="68"/>
      <c r="AS37" s="68"/>
      <c r="AT37" s="68"/>
      <c r="AU37" s="68"/>
      <c r="AV37" s="66"/>
      <c r="AW37" s="66"/>
      <c r="AX37" s="66"/>
      <c r="AY37" s="66"/>
      <c r="AZ37" s="66"/>
      <c r="BA37" s="66"/>
      <c r="BB37" s="103"/>
      <c r="BC37" s="103"/>
      <c r="BD37" s="103"/>
      <c r="BE37" s="68"/>
      <c r="BF37" s="68"/>
      <c r="BG37" s="64" t="s">
        <v>2792</v>
      </c>
      <c r="BH37" s="68"/>
      <c r="BI37" s="68"/>
      <c r="BJ37" s="65" t="s">
        <v>2795</v>
      </c>
      <c r="BK37" s="68"/>
      <c r="BM37" s="68"/>
      <c r="BN37" s="68"/>
      <c r="BO37" s="68"/>
      <c r="BP37" s="68"/>
      <c r="BQ37" s="68"/>
      <c r="BR37" s="68"/>
      <c r="BS37" s="68"/>
      <c r="BT37" s="68"/>
      <c r="BX37" s="68"/>
      <c r="BY37" s="68"/>
      <c r="BZ37" s="68"/>
      <c r="CA37" s="68"/>
    </row>
    <row r="38" spans="1:79">
      <c r="A38" s="3" t="s">
        <v>27</v>
      </c>
      <c r="B38" s="3" t="s">
        <v>81</v>
      </c>
      <c r="C38" s="102" t="s">
        <v>109</v>
      </c>
      <c r="AD38" s="68"/>
      <c r="AE38" s="68"/>
      <c r="AF38" s="68"/>
      <c r="AG38" s="68"/>
      <c r="AH38" s="68"/>
      <c r="AI38" s="68"/>
      <c r="AJ38" s="68"/>
      <c r="AK38" s="68"/>
      <c r="AL38" s="68"/>
      <c r="AM38" s="68"/>
      <c r="AN38" s="68"/>
      <c r="AO38" s="68"/>
      <c r="AP38" s="68"/>
      <c r="AQ38" s="68"/>
      <c r="AR38" s="68"/>
      <c r="AS38" s="68"/>
      <c r="AT38" s="68"/>
      <c r="AU38" s="68"/>
      <c r="AV38" s="66"/>
      <c r="AW38" s="66"/>
      <c r="AX38" s="66"/>
      <c r="AY38" s="66"/>
      <c r="AZ38" s="66"/>
      <c r="BA38" s="66"/>
      <c r="BB38" s="103"/>
      <c r="BC38" s="103"/>
      <c r="BD38" s="103"/>
      <c r="BE38" s="68"/>
      <c r="BF38" s="68"/>
      <c r="BG38" s="64" t="s">
        <v>2665</v>
      </c>
      <c r="BH38" s="68"/>
      <c r="BI38" s="68"/>
      <c r="BJ38" s="66" t="s">
        <v>2796</v>
      </c>
      <c r="BK38" s="68"/>
      <c r="BM38" s="68"/>
      <c r="BN38" s="68"/>
      <c r="BO38" s="68"/>
      <c r="BP38" s="68"/>
      <c r="BQ38" s="68"/>
      <c r="BR38" s="68"/>
      <c r="BS38" s="68"/>
      <c r="BT38" s="68"/>
      <c r="BX38" s="68"/>
      <c r="BY38" s="68"/>
      <c r="BZ38" s="68"/>
      <c r="CA38" s="68"/>
    </row>
    <row r="39" spans="1:79">
      <c r="A39" s="3" t="s">
        <v>28</v>
      </c>
      <c r="B39" s="3" t="s">
        <v>81</v>
      </c>
      <c r="C39" s="102" t="s">
        <v>116</v>
      </c>
      <c r="AD39" s="68"/>
      <c r="AE39" s="68"/>
      <c r="AF39" s="68"/>
      <c r="AG39" s="68"/>
      <c r="AH39" s="68"/>
      <c r="AI39" s="68"/>
      <c r="AJ39" s="68"/>
      <c r="AK39" s="68"/>
      <c r="AL39" s="68"/>
      <c r="AM39" s="68"/>
      <c r="AN39" s="68"/>
      <c r="AO39" s="68"/>
      <c r="AP39" s="68"/>
      <c r="AQ39" s="68"/>
      <c r="AR39" s="68"/>
      <c r="AS39" s="68"/>
      <c r="AT39" s="68"/>
      <c r="AU39" s="68"/>
      <c r="AV39" s="66"/>
      <c r="AW39" s="66"/>
      <c r="AX39" s="66"/>
      <c r="AY39" s="66"/>
      <c r="AZ39" s="66"/>
      <c r="BA39" s="66"/>
      <c r="BB39" s="103"/>
      <c r="BC39" s="103"/>
      <c r="BD39" s="103"/>
      <c r="BE39" s="68"/>
      <c r="BF39" s="68"/>
      <c r="BG39" s="68"/>
      <c r="BH39" s="68"/>
      <c r="BI39" s="68"/>
      <c r="BJ39" s="68"/>
      <c r="BK39" s="68"/>
      <c r="BM39" s="68"/>
      <c r="BN39" s="68"/>
      <c r="BO39" s="68"/>
      <c r="BP39" s="68"/>
      <c r="BQ39" s="68"/>
      <c r="BR39" s="68"/>
      <c r="BS39" s="68"/>
      <c r="BT39" s="68"/>
      <c r="BX39" s="68"/>
      <c r="BY39" s="68"/>
      <c r="BZ39" s="68"/>
      <c r="CA39" s="68"/>
    </row>
    <row r="40" spans="1:79">
      <c r="A40" s="35" t="s">
        <v>29</v>
      </c>
      <c r="B40" s="3" t="s">
        <v>431</v>
      </c>
      <c r="C40" s="102" t="s">
        <v>117</v>
      </c>
      <c r="AD40" s="68"/>
      <c r="AE40" s="68"/>
      <c r="AF40" s="68"/>
      <c r="AG40" s="68"/>
      <c r="AH40" s="68"/>
      <c r="AI40" s="68"/>
      <c r="AJ40" s="68"/>
      <c r="AK40" s="68"/>
      <c r="AL40" s="68"/>
      <c r="AM40" s="68"/>
      <c r="AN40" s="68"/>
      <c r="AO40" s="68"/>
      <c r="AP40" s="68"/>
      <c r="AQ40" s="68"/>
      <c r="AR40" s="68"/>
      <c r="AS40" s="68"/>
      <c r="AT40" s="68"/>
      <c r="AU40" s="68"/>
      <c r="AV40" s="66"/>
      <c r="AW40" s="66"/>
      <c r="AX40" s="66"/>
      <c r="AY40" s="66"/>
      <c r="AZ40" s="66"/>
      <c r="BA40" s="66"/>
      <c r="BB40" s="103"/>
      <c r="BC40" s="103"/>
      <c r="BD40" s="103"/>
      <c r="BE40" s="68"/>
      <c r="BF40" s="68"/>
      <c r="BG40" s="68"/>
      <c r="BH40" s="68"/>
      <c r="BI40" s="68"/>
      <c r="BJ40" s="68"/>
      <c r="BK40" s="68"/>
      <c r="BM40" s="68"/>
      <c r="BN40" s="68"/>
      <c r="BO40" s="68"/>
      <c r="BP40" s="68"/>
      <c r="BQ40" s="68"/>
      <c r="BR40" s="68"/>
      <c r="BS40" s="68"/>
      <c r="BT40" s="68"/>
      <c r="BX40" s="68"/>
      <c r="BY40" s="68"/>
      <c r="BZ40" s="68"/>
      <c r="CA40" s="68"/>
    </row>
    <row r="41" spans="1:79">
      <c r="A41" s="2" t="s">
        <v>30</v>
      </c>
      <c r="B41" s="3" t="s">
        <v>433</v>
      </c>
      <c r="C41" s="253" t="s">
        <v>120</v>
      </c>
      <c r="AD41" s="68"/>
      <c r="AE41" s="68"/>
      <c r="AF41" s="68"/>
      <c r="AG41" s="68"/>
      <c r="AH41" s="68"/>
      <c r="AI41" s="68"/>
      <c r="AJ41" s="68"/>
      <c r="AK41" s="68"/>
      <c r="AL41" s="68"/>
      <c r="AM41" s="68"/>
      <c r="AN41" s="68"/>
      <c r="AO41" s="68"/>
      <c r="AP41" s="68"/>
      <c r="AQ41" s="68"/>
      <c r="AR41" s="68"/>
      <c r="AS41" s="68"/>
      <c r="AT41" s="68"/>
      <c r="AU41" s="68"/>
      <c r="AV41" s="66"/>
      <c r="AW41" s="66"/>
      <c r="AX41" s="63"/>
      <c r="AY41" s="66"/>
      <c r="AZ41" s="66"/>
      <c r="BA41" s="66"/>
      <c r="BB41" s="103"/>
      <c r="BC41" s="103"/>
      <c r="BD41" s="103"/>
      <c r="BE41" s="68"/>
      <c r="BF41" s="68"/>
      <c r="BG41" s="68"/>
      <c r="BH41" s="68"/>
      <c r="BI41" s="68"/>
      <c r="BJ41" s="68"/>
      <c r="BK41" s="68"/>
      <c r="BM41" s="68"/>
      <c r="BN41" s="68"/>
      <c r="BO41" s="68"/>
      <c r="BP41" s="68"/>
      <c r="BQ41" s="68"/>
      <c r="BR41" s="68"/>
      <c r="BS41" s="68"/>
      <c r="BT41" s="68"/>
      <c r="BX41" s="68"/>
      <c r="BY41" s="68"/>
      <c r="BZ41" s="68"/>
      <c r="CA41" s="68"/>
    </row>
    <row r="42" spans="1:79">
      <c r="A42" s="2" t="s">
        <v>661</v>
      </c>
      <c r="B42" s="3" t="s">
        <v>434</v>
      </c>
      <c r="C42" s="253" t="s">
        <v>122</v>
      </c>
      <c r="AD42" s="68"/>
      <c r="AE42" s="68"/>
      <c r="AF42" s="68"/>
      <c r="AG42" s="68"/>
      <c r="AH42" s="68"/>
      <c r="AI42" s="68"/>
      <c r="AJ42" s="68"/>
      <c r="AK42" s="68"/>
      <c r="AL42" s="68"/>
      <c r="AM42" s="68"/>
      <c r="AN42" s="68"/>
      <c r="AO42" s="68"/>
      <c r="AP42" s="68"/>
      <c r="AQ42" s="68"/>
      <c r="AR42" s="68"/>
      <c r="AS42" s="68"/>
      <c r="AT42" s="68"/>
      <c r="AU42" s="68"/>
      <c r="AV42" s="63"/>
      <c r="AW42" s="63"/>
      <c r="AX42" s="63"/>
      <c r="AY42" s="63"/>
      <c r="AZ42" s="63"/>
      <c r="BA42" s="63"/>
      <c r="BB42" s="213"/>
      <c r="BC42" s="212"/>
      <c r="BD42" s="212"/>
      <c r="BE42" s="68"/>
      <c r="BF42" s="68"/>
      <c r="BG42" s="68"/>
      <c r="BH42" s="68"/>
      <c r="BI42" s="68"/>
      <c r="BJ42" s="68"/>
      <c r="BK42" s="68"/>
      <c r="BM42" s="68"/>
      <c r="BN42" s="68"/>
      <c r="BO42" s="68"/>
      <c r="BP42" s="68"/>
      <c r="BQ42" s="68"/>
      <c r="BR42" s="68"/>
      <c r="BS42" s="68"/>
      <c r="BT42" s="68"/>
      <c r="BX42" s="68"/>
      <c r="BY42" s="68"/>
      <c r="BZ42" s="68"/>
      <c r="CA42" s="68"/>
    </row>
    <row r="43" spans="1:79">
      <c r="A43" s="2" t="s">
        <v>40</v>
      </c>
      <c r="B43" s="3" t="s">
        <v>433</v>
      </c>
      <c r="C43" s="102" t="s">
        <v>124</v>
      </c>
      <c r="AD43" s="68"/>
      <c r="AE43" s="68"/>
      <c r="AF43" s="68"/>
      <c r="AG43" s="68"/>
      <c r="AH43" s="68"/>
      <c r="AI43" s="68"/>
      <c r="AJ43" s="68"/>
      <c r="AK43" s="68"/>
      <c r="AL43" s="68"/>
      <c r="AM43" s="68"/>
      <c r="AN43" s="68"/>
      <c r="AO43" s="68"/>
      <c r="AP43" s="68"/>
      <c r="AQ43" s="68"/>
      <c r="AR43" s="68"/>
      <c r="AS43" s="68"/>
      <c r="AT43" s="68"/>
      <c r="AU43" s="68"/>
      <c r="AV43" s="63"/>
      <c r="AW43" s="63"/>
      <c r="AX43" s="68"/>
      <c r="AY43" s="63"/>
      <c r="AZ43" s="63"/>
      <c r="BA43" s="63"/>
      <c r="BB43" s="63"/>
      <c r="BC43" s="212"/>
      <c r="BD43" s="212"/>
      <c r="BE43" s="68"/>
      <c r="BF43" s="68"/>
      <c r="BG43" s="68"/>
      <c r="BH43" s="68"/>
      <c r="BI43" s="68"/>
      <c r="BJ43" s="68"/>
      <c r="BK43" s="68"/>
      <c r="BM43" s="68"/>
      <c r="BN43" s="68"/>
      <c r="BO43" s="68"/>
      <c r="BP43" s="68"/>
      <c r="BQ43" s="68"/>
      <c r="BR43" s="68"/>
      <c r="BS43" s="68"/>
      <c r="BT43" s="68"/>
      <c r="BX43" s="68"/>
      <c r="BY43" s="68"/>
      <c r="BZ43" s="68"/>
      <c r="CA43" s="68"/>
    </row>
    <row r="44" spans="1:79">
      <c r="A44" s="2" t="s">
        <v>41</v>
      </c>
      <c r="B44" s="3" t="s">
        <v>432</v>
      </c>
      <c r="C44" s="102" t="s">
        <v>127</v>
      </c>
      <c r="AD44" s="68"/>
      <c r="AE44" s="68"/>
      <c r="AF44" s="68"/>
      <c r="AG44" s="68"/>
      <c r="AI44" s="68"/>
      <c r="AJ44" s="68"/>
      <c r="AK44" s="68"/>
      <c r="AL44" s="68"/>
      <c r="AM44" s="68"/>
      <c r="AN44" s="68"/>
      <c r="AO44" s="68"/>
      <c r="AP44" s="68"/>
      <c r="AQ44" s="68"/>
      <c r="AR44" s="68"/>
      <c r="AS44" s="68"/>
      <c r="AT44" s="68"/>
      <c r="AU44" s="68"/>
      <c r="AV44" s="68"/>
      <c r="AW44" s="68"/>
      <c r="AX44" s="68"/>
      <c r="AY44" s="68"/>
      <c r="AZ44" s="68"/>
      <c r="BA44" s="68"/>
      <c r="BB44" s="68"/>
      <c r="BC44" s="68"/>
      <c r="BD44" s="68"/>
      <c r="BE44" s="68"/>
      <c r="BF44" s="68"/>
      <c r="BG44" s="68"/>
      <c r="BH44" s="68"/>
      <c r="BI44" s="68"/>
      <c r="BJ44" s="68"/>
      <c r="BK44" s="68"/>
      <c r="BM44" s="68"/>
      <c r="BN44" s="68"/>
      <c r="BO44" s="68"/>
      <c r="BP44" s="68"/>
      <c r="BQ44" s="68"/>
      <c r="BR44" s="68"/>
      <c r="BS44" s="68"/>
      <c r="BX44" s="68"/>
      <c r="BY44" s="68"/>
      <c r="BZ44" s="68"/>
      <c r="CA44" s="68"/>
    </row>
    <row r="45" spans="1:79">
      <c r="A45" s="2" t="s">
        <v>31</v>
      </c>
      <c r="B45" s="3" t="s">
        <v>435</v>
      </c>
      <c r="C45" s="102" t="s">
        <v>121</v>
      </c>
      <c r="AD45" s="68"/>
      <c r="AE45" s="68"/>
      <c r="AF45" s="68"/>
      <c r="AG45" s="68"/>
      <c r="BI45" s="68"/>
      <c r="BJ45" s="68"/>
      <c r="BK45" s="68"/>
      <c r="BM45" s="68"/>
      <c r="BN45" s="68"/>
      <c r="BO45" s="68"/>
      <c r="BP45" s="68"/>
    </row>
    <row r="46" spans="1:79">
      <c r="A46" s="2" t="s">
        <v>1578</v>
      </c>
      <c r="B46" s="3" t="s">
        <v>1579</v>
      </c>
      <c r="C46" s="102" t="s">
        <v>133</v>
      </c>
      <c r="AD46" s="68"/>
      <c r="AE46" s="68"/>
      <c r="AF46" s="68"/>
      <c r="AG46" s="68"/>
      <c r="BI46" s="68"/>
      <c r="BJ46" s="68"/>
      <c r="BK46" s="68"/>
      <c r="BM46" s="68"/>
      <c r="BN46" s="68"/>
      <c r="BO46" s="68"/>
      <c r="BP46" s="68"/>
    </row>
    <row r="47" spans="1:79">
      <c r="A47" s="2" t="s">
        <v>1586</v>
      </c>
      <c r="B47" s="3" t="s">
        <v>1585</v>
      </c>
      <c r="C47" s="102" t="s">
        <v>135</v>
      </c>
      <c r="AD47" s="68"/>
      <c r="AE47" s="68"/>
      <c r="AF47" s="68"/>
      <c r="AG47" s="68"/>
      <c r="BI47" s="68"/>
      <c r="BJ47" s="68"/>
      <c r="BK47" s="68"/>
      <c r="BM47" s="68"/>
      <c r="BN47" s="68"/>
      <c r="BO47" s="68"/>
      <c r="BP47" s="68"/>
    </row>
    <row r="48" spans="1:79">
      <c r="A48" s="2" t="s">
        <v>1599</v>
      </c>
      <c r="B48" s="3" t="s">
        <v>434</v>
      </c>
      <c r="C48" s="102" t="s">
        <v>130</v>
      </c>
      <c r="AD48" s="68"/>
      <c r="AE48" s="68"/>
      <c r="AF48" s="68"/>
      <c r="AG48" s="68"/>
      <c r="BI48" s="68"/>
      <c r="BJ48" s="68"/>
      <c r="BK48" s="68"/>
      <c r="BM48" s="68"/>
      <c r="BN48" s="68"/>
      <c r="BO48" s="68"/>
      <c r="BP48" s="68"/>
    </row>
    <row r="49" spans="3:68">
      <c r="C49" s="102" t="s">
        <v>138</v>
      </c>
      <c r="AD49" s="68"/>
      <c r="AE49" s="68"/>
      <c r="AF49" s="68"/>
      <c r="AG49" s="68"/>
      <c r="BI49" s="68"/>
      <c r="BJ49" s="68"/>
      <c r="BK49" s="68"/>
      <c r="BM49" s="68"/>
      <c r="BN49" s="68"/>
      <c r="BO49" s="68"/>
      <c r="BP49" s="68"/>
    </row>
    <row r="50" spans="3:68">
      <c r="C50" s="102" t="s">
        <v>142</v>
      </c>
      <c r="AD50" s="68"/>
      <c r="AE50" s="68"/>
      <c r="AF50" s="68"/>
      <c r="AG50" s="68"/>
      <c r="BI50" s="68"/>
      <c r="BJ50" s="68"/>
      <c r="BK50" s="68"/>
      <c r="BM50" s="68"/>
      <c r="BN50" s="68"/>
      <c r="BO50" s="68"/>
      <c r="BP50" s="68"/>
    </row>
    <row r="51" spans="3:68">
      <c r="C51" s="102" t="s">
        <v>145</v>
      </c>
      <c r="AD51" s="68"/>
      <c r="AE51" s="68"/>
      <c r="AF51" s="68"/>
      <c r="AG51" s="68"/>
      <c r="BI51" s="68"/>
      <c r="BJ51" s="68"/>
      <c r="BK51" s="68"/>
      <c r="BM51" s="68"/>
      <c r="BN51" s="68"/>
      <c r="BO51" s="68"/>
      <c r="BP51" s="68"/>
    </row>
    <row r="52" spans="3:68">
      <c r="C52" s="102" t="s">
        <v>149</v>
      </c>
      <c r="AD52" s="68"/>
      <c r="AE52" s="68"/>
      <c r="AF52" s="68"/>
      <c r="AG52" s="68"/>
      <c r="BI52" s="68"/>
      <c r="BJ52" s="68"/>
      <c r="BK52" s="68"/>
      <c r="BM52" s="68"/>
      <c r="BN52" s="68"/>
      <c r="BO52" s="68"/>
      <c r="BP52" s="68"/>
    </row>
    <row r="53" spans="3:68">
      <c r="C53" s="102" t="s">
        <v>150</v>
      </c>
      <c r="AD53" s="68"/>
      <c r="AE53" s="68"/>
      <c r="AF53" s="68"/>
      <c r="AG53" s="68"/>
      <c r="BI53" s="68"/>
      <c r="BJ53" s="68"/>
      <c r="BK53" s="68"/>
      <c r="BM53" s="68"/>
      <c r="BN53" s="68"/>
      <c r="BO53" s="68"/>
      <c r="BP53" s="68"/>
    </row>
    <row r="54" spans="3:68">
      <c r="C54" s="102" t="s">
        <v>152</v>
      </c>
      <c r="AD54" s="68"/>
      <c r="AE54" s="68"/>
      <c r="AF54" s="68"/>
      <c r="AG54" s="68"/>
      <c r="BI54" s="68"/>
      <c r="BJ54" s="68"/>
      <c r="BK54" s="68"/>
      <c r="BM54" s="68"/>
      <c r="BN54" s="68"/>
      <c r="BO54" s="68"/>
      <c r="BP54" s="68"/>
    </row>
    <row r="55" spans="3:68">
      <c r="C55" s="102" t="s">
        <v>153</v>
      </c>
      <c r="AE55" s="68"/>
      <c r="AF55" s="68"/>
      <c r="AG55" s="68"/>
      <c r="BI55" s="68"/>
      <c r="BJ55" s="68"/>
      <c r="BK55" s="68"/>
      <c r="BM55" s="68"/>
      <c r="BN55" s="68"/>
      <c r="BO55" s="68"/>
      <c r="BP55" s="68"/>
    </row>
    <row r="56" spans="3:68">
      <c r="C56" s="102" t="s">
        <v>154</v>
      </c>
      <c r="AE56" s="68"/>
      <c r="AF56" s="68"/>
      <c r="AG56" s="68"/>
      <c r="BI56" s="68"/>
      <c r="BJ56" s="68"/>
      <c r="BK56" s="68"/>
      <c r="BM56" s="68"/>
      <c r="BN56" s="68"/>
      <c r="BO56" s="68"/>
      <c r="BP56" s="68"/>
    </row>
    <row r="57" spans="3:68">
      <c r="C57" s="102" t="s">
        <v>155</v>
      </c>
      <c r="AE57" s="68"/>
      <c r="AF57" s="68"/>
      <c r="AG57" s="68"/>
      <c r="BI57" s="68"/>
      <c r="BJ57" s="68"/>
      <c r="BK57" s="68"/>
      <c r="BM57" s="68"/>
      <c r="BN57" s="68"/>
      <c r="BO57" s="68"/>
      <c r="BP57" s="68"/>
    </row>
    <row r="58" spans="3:68" ht="27.6">
      <c r="C58" s="102" t="s">
        <v>156</v>
      </c>
      <c r="AE58" s="68"/>
      <c r="AF58" s="68"/>
      <c r="AG58" s="68"/>
      <c r="BI58" s="68"/>
      <c r="BJ58" s="68"/>
      <c r="BK58" s="68"/>
      <c r="BM58" s="68"/>
      <c r="BN58" s="68"/>
      <c r="BO58" s="68"/>
      <c r="BP58" s="68"/>
    </row>
    <row r="59" spans="3:68">
      <c r="C59" s="102" t="s">
        <v>157</v>
      </c>
      <c r="AE59" s="68"/>
      <c r="AF59" s="68"/>
      <c r="AG59" s="68"/>
      <c r="BI59" s="68"/>
      <c r="BJ59" s="68"/>
      <c r="BK59" s="68"/>
      <c r="BM59" s="68"/>
      <c r="BN59" s="68"/>
      <c r="BO59" s="68"/>
      <c r="BP59" s="68"/>
    </row>
    <row r="60" spans="3:68">
      <c r="C60" s="103" t="s">
        <v>159</v>
      </c>
      <c r="AE60" s="68"/>
      <c r="AF60" s="68"/>
      <c r="AG60" s="68"/>
      <c r="BI60" s="68"/>
      <c r="BJ60" s="68"/>
      <c r="BK60" s="68"/>
      <c r="BM60" s="68"/>
      <c r="BN60" s="68"/>
      <c r="BO60" s="68"/>
      <c r="BP60" s="68"/>
    </row>
    <row r="61" spans="3:68">
      <c r="C61" s="103" t="s">
        <v>160</v>
      </c>
      <c r="AE61" s="68"/>
      <c r="AF61" s="68"/>
      <c r="AG61" s="68"/>
    </row>
    <row r="62" spans="3:68">
      <c r="C62" s="102" t="s">
        <v>230</v>
      </c>
      <c r="AE62" s="68"/>
      <c r="AF62" s="68"/>
      <c r="AG62" s="68"/>
    </row>
    <row r="63" spans="3:68">
      <c r="C63" s="102" t="s">
        <v>165</v>
      </c>
      <c r="AE63" s="68"/>
      <c r="AF63" s="68"/>
      <c r="AG63" s="68"/>
    </row>
    <row r="64" spans="3:68">
      <c r="C64" s="102" t="s">
        <v>168</v>
      </c>
      <c r="AE64" s="68"/>
      <c r="AF64" s="68"/>
      <c r="AG64" s="68"/>
    </row>
    <row r="65" spans="3:63">
      <c r="C65" s="102" t="s">
        <v>171</v>
      </c>
      <c r="AE65" s="68"/>
      <c r="AF65" s="68"/>
      <c r="AG65" s="68"/>
    </row>
    <row r="66" spans="3:63">
      <c r="C66" s="102" t="s">
        <v>162</v>
      </c>
      <c r="AE66" s="68"/>
      <c r="AF66" s="68"/>
      <c r="AG66" s="68"/>
    </row>
    <row r="67" spans="3:63">
      <c r="C67" s="102" t="s">
        <v>173</v>
      </c>
      <c r="AE67" s="68"/>
      <c r="AF67" s="68"/>
      <c r="AG67" s="68"/>
    </row>
    <row r="68" spans="3:63">
      <c r="C68" s="102" t="s">
        <v>176</v>
      </c>
      <c r="AE68" s="68"/>
      <c r="AF68" s="68"/>
      <c r="AG68" s="68"/>
      <c r="BI68" s="68"/>
      <c r="BJ68" s="68"/>
      <c r="BK68" s="68"/>
    </row>
    <row r="69" spans="3:63">
      <c r="C69" s="102" t="s">
        <v>177</v>
      </c>
      <c r="AE69" s="68"/>
      <c r="AF69" s="68"/>
      <c r="AG69" s="68"/>
      <c r="BI69" s="68"/>
      <c r="BJ69" s="68"/>
      <c r="BK69" s="68"/>
    </row>
    <row r="70" spans="3:63">
      <c r="C70" s="102" t="s">
        <v>180</v>
      </c>
      <c r="BI70" s="68"/>
      <c r="BJ70" s="68"/>
      <c r="BK70" s="68"/>
    </row>
    <row r="71" spans="3:63">
      <c r="C71" s="102" t="s">
        <v>183</v>
      </c>
      <c r="BI71" s="68"/>
      <c r="BJ71" s="68"/>
      <c r="BK71" s="68"/>
    </row>
    <row r="72" spans="3:63">
      <c r="C72" s="103" t="s">
        <v>187</v>
      </c>
      <c r="BI72" s="68"/>
      <c r="BJ72" s="68"/>
      <c r="BK72" s="68"/>
    </row>
    <row r="73" spans="3:63" ht="27.6">
      <c r="C73" s="103" t="s">
        <v>189</v>
      </c>
    </row>
    <row r="74" spans="3:63">
      <c r="C74" s="103" t="s">
        <v>241</v>
      </c>
    </row>
    <row r="75" spans="3:63">
      <c r="C75" s="102">
        <v>3.02</v>
      </c>
    </row>
    <row r="76" spans="3:63">
      <c r="C76" s="102">
        <v>3.53</v>
      </c>
    </row>
    <row r="77" spans="3:63">
      <c r="C77" s="102">
        <v>3.54</v>
      </c>
    </row>
    <row r="78" spans="3:63">
      <c r="C78" s="102" t="s">
        <v>190</v>
      </c>
    </row>
    <row r="79" spans="3:63">
      <c r="C79" s="8" t="s">
        <v>191</v>
      </c>
    </row>
    <row r="80" spans="3:63">
      <c r="C80" s="8" t="s">
        <v>192</v>
      </c>
    </row>
    <row r="81" spans="3:3">
      <c r="C81" s="8" t="s">
        <v>193</v>
      </c>
    </row>
    <row r="82" spans="3:3">
      <c r="C82" s="8" t="s">
        <v>194</v>
      </c>
    </row>
    <row r="83" spans="3:3">
      <c r="C83" s="8" t="s">
        <v>195</v>
      </c>
    </row>
    <row r="84" spans="3:3">
      <c r="C84" s="103" t="s">
        <v>197</v>
      </c>
    </row>
    <row r="85" spans="3:3">
      <c r="C85" s="103" t="s">
        <v>198</v>
      </c>
    </row>
    <row r="86" spans="3:3">
      <c r="C86" s="103" t="s">
        <v>200</v>
      </c>
    </row>
    <row r="87" spans="3:3">
      <c r="C87" s="103" t="s">
        <v>682</v>
      </c>
    </row>
    <row r="88" spans="3:3">
      <c r="C88" s="103" t="s">
        <v>683</v>
      </c>
    </row>
    <row r="89" spans="3:3">
      <c r="C89" s="103" t="s">
        <v>684</v>
      </c>
    </row>
    <row r="90" spans="3:3">
      <c r="C90" s="103" t="s">
        <v>450</v>
      </c>
    </row>
    <row r="91" spans="3:3">
      <c r="C91" s="103" t="s">
        <v>685</v>
      </c>
    </row>
    <row r="92" spans="3:3">
      <c r="C92" s="103" t="s">
        <v>687</v>
      </c>
    </row>
    <row r="93" spans="3:3">
      <c r="C93" s="103" t="s">
        <v>688</v>
      </c>
    </row>
    <row r="94" spans="3:3">
      <c r="C94" s="103" t="s">
        <v>686</v>
      </c>
    </row>
    <row r="95" spans="3:3">
      <c r="C95" s="103" t="s">
        <v>207</v>
      </c>
    </row>
    <row r="96" spans="3:3">
      <c r="C96" s="103" t="s">
        <v>209</v>
      </c>
    </row>
    <row r="97" spans="3:3">
      <c r="C97" s="103" t="s">
        <v>211</v>
      </c>
    </row>
    <row r="98" spans="3:3">
      <c r="C98" s="103" t="s">
        <v>664</v>
      </c>
    </row>
    <row r="99" spans="3:3">
      <c r="C99" s="103" t="s">
        <v>666</v>
      </c>
    </row>
    <row r="100" spans="3:3">
      <c r="C100" s="103" t="s">
        <v>670</v>
      </c>
    </row>
    <row r="101" spans="3:3">
      <c r="C101" s="103" t="s">
        <v>668</v>
      </c>
    </row>
    <row r="102" spans="3:3">
      <c r="C102" s="103" t="s">
        <v>594</v>
      </c>
    </row>
    <row r="103" spans="3:3">
      <c r="C103" s="103" t="s">
        <v>672</v>
      </c>
    </row>
    <row r="104" spans="3:3">
      <c r="C104" s="103" t="s">
        <v>447</v>
      </c>
    </row>
    <row r="105" spans="3:3">
      <c r="C105" s="103" t="s">
        <v>448</v>
      </c>
    </row>
    <row r="106" spans="3:3">
      <c r="C106" s="103" t="s">
        <v>212</v>
      </c>
    </row>
    <row r="107" spans="3:3">
      <c r="C107" s="103" t="s">
        <v>213</v>
      </c>
    </row>
    <row r="108" spans="3:3">
      <c r="C108" s="103" t="s">
        <v>214</v>
      </c>
    </row>
    <row r="109" spans="3:3">
      <c r="C109" s="103" t="s">
        <v>215</v>
      </c>
    </row>
    <row r="110" spans="3:3">
      <c r="C110" s="103" t="s">
        <v>689</v>
      </c>
    </row>
    <row r="111" spans="3:3">
      <c r="C111" s="103" t="s">
        <v>217</v>
      </c>
    </row>
    <row r="112" spans="3:3">
      <c r="C112" s="103" t="s">
        <v>690</v>
      </c>
    </row>
    <row r="113" spans="3:3">
      <c r="C113" s="103" t="s">
        <v>234</v>
      </c>
    </row>
    <row r="114" spans="3:3">
      <c r="C114" s="103" t="s">
        <v>235</v>
      </c>
    </row>
    <row r="115" spans="3:3">
      <c r="C115" s="103" t="s">
        <v>418</v>
      </c>
    </row>
    <row r="116" spans="3:3">
      <c r="C116" s="103" t="s">
        <v>238</v>
      </c>
    </row>
    <row r="117" spans="3:3">
      <c r="C117" s="103" t="s">
        <v>236</v>
      </c>
    </row>
    <row r="118" spans="3:3">
      <c r="C118" s="103" t="s">
        <v>467</v>
      </c>
    </row>
    <row r="119" spans="3:3">
      <c r="C119" s="103" t="s">
        <v>237</v>
      </c>
    </row>
    <row r="120" spans="3:3">
      <c r="C120" s="103" t="s">
        <v>242</v>
      </c>
    </row>
  </sheetData>
  <phoneticPr fontId="17" type="noConversion"/>
  <conditionalFormatting sqref="AM4:AM28">
    <cfRule type="duplicateValues" dxfId="531" priority="181"/>
  </conditionalFormatting>
  <conditionalFormatting sqref="AL19 AQ4:AQ10 AQ13:AQ17">
    <cfRule type="duplicateValues" dxfId="530" priority="179"/>
  </conditionalFormatting>
  <conditionalFormatting sqref="AO4:AO27">
    <cfRule type="duplicateValues" dxfId="529" priority="184"/>
  </conditionalFormatting>
  <conditionalFormatting sqref="BN12">
    <cfRule type="duplicateValues" dxfId="528" priority="174"/>
  </conditionalFormatting>
  <conditionalFormatting sqref="BN4:BN6">
    <cfRule type="duplicateValues" dxfId="527" priority="173"/>
  </conditionalFormatting>
  <conditionalFormatting sqref="BQ4:BQ22">
    <cfRule type="duplicateValues" dxfId="526" priority="172"/>
  </conditionalFormatting>
  <conditionalFormatting sqref="AL4:AL10 AL14:AL18">
    <cfRule type="duplicateValues" dxfId="525" priority="188"/>
  </conditionalFormatting>
  <conditionalFormatting sqref="BG4:BG6 BG8:BG9 BG11">
    <cfRule type="duplicateValues" dxfId="524" priority="215"/>
  </conditionalFormatting>
  <conditionalFormatting sqref="BT26">
    <cfRule type="duplicateValues" dxfId="523" priority="166"/>
  </conditionalFormatting>
  <conditionalFormatting sqref="AH26">
    <cfRule type="duplicateValues" dxfId="522" priority="165"/>
  </conditionalFormatting>
  <conditionalFormatting sqref="AH27:AH29 AX5:AX6 AX22">
    <cfRule type="containsBlanks" dxfId="521" priority="158">
      <formula>LEN(TRIM(AH5))=0</formula>
    </cfRule>
  </conditionalFormatting>
  <conditionalFormatting sqref="BT27">
    <cfRule type="containsBlanks" dxfId="520" priority="153">
      <formula>LEN(TRIM(BT27))=0</formula>
    </cfRule>
  </conditionalFormatting>
  <conditionalFormatting sqref="BT28">
    <cfRule type="containsBlanks" dxfId="519" priority="152">
      <formula>LEN(TRIM(BT28))=0</formula>
    </cfRule>
  </conditionalFormatting>
  <conditionalFormatting sqref="BT29">
    <cfRule type="containsBlanks" dxfId="518" priority="151">
      <formula>LEN(TRIM(BT29))=0</formula>
    </cfRule>
  </conditionalFormatting>
  <conditionalFormatting sqref="BX4:BX12">
    <cfRule type="duplicateValues" dxfId="517" priority="734"/>
  </conditionalFormatting>
  <conditionalFormatting sqref="BY10">
    <cfRule type="duplicateValues" dxfId="516" priority="735"/>
  </conditionalFormatting>
  <conditionalFormatting sqref="CA5">
    <cfRule type="duplicateValues" dxfId="515" priority="131"/>
  </conditionalFormatting>
  <conditionalFormatting sqref="BR4:BR16 BR18">
    <cfRule type="duplicateValues" dxfId="514" priority="129"/>
  </conditionalFormatting>
  <conditionalFormatting sqref="BP12">
    <cfRule type="duplicateValues" dxfId="513" priority="128"/>
  </conditionalFormatting>
  <conditionalFormatting sqref="BP4:BP6">
    <cfRule type="duplicateValues" dxfId="512" priority="127"/>
  </conditionalFormatting>
  <conditionalFormatting sqref="BL4:BL12">
    <cfRule type="duplicateValues" dxfId="511" priority="126"/>
  </conditionalFormatting>
  <conditionalFormatting sqref="BS4:BS6">
    <cfRule type="duplicateValues" dxfId="510" priority="1039"/>
  </conditionalFormatting>
  <conditionalFormatting sqref="AX41:AX42">
    <cfRule type="duplicateValues" dxfId="509" priority="124"/>
  </conditionalFormatting>
  <conditionalFormatting sqref="BE4:BE6">
    <cfRule type="duplicateValues" dxfId="508" priority="1040"/>
  </conditionalFormatting>
  <conditionalFormatting sqref="BE7">
    <cfRule type="duplicateValues" dxfId="507" priority="1044"/>
  </conditionalFormatting>
  <conditionalFormatting sqref="BF4:BF6">
    <cfRule type="duplicateValues" dxfId="506" priority="119"/>
  </conditionalFormatting>
  <conditionalFormatting sqref="BF7">
    <cfRule type="duplicateValues" dxfId="505" priority="120"/>
  </conditionalFormatting>
  <conditionalFormatting sqref="BB42:BD43">
    <cfRule type="duplicateValues" dxfId="504" priority="114"/>
  </conditionalFormatting>
  <conditionalFormatting sqref="BZ10">
    <cfRule type="duplicateValues" dxfId="503" priority="110"/>
  </conditionalFormatting>
  <conditionalFormatting sqref="BO12">
    <cfRule type="duplicateValues" dxfId="502" priority="109"/>
  </conditionalFormatting>
  <conditionalFormatting sqref="BO4:BO6">
    <cfRule type="duplicateValues" dxfId="501" priority="108"/>
  </conditionalFormatting>
  <conditionalFormatting sqref="BN5">
    <cfRule type="duplicateValues" dxfId="500" priority="107"/>
  </conditionalFormatting>
  <conditionalFormatting sqref="BI4:BI12">
    <cfRule type="duplicateValues" dxfId="499" priority="106"/>
  </conditionalFormatting>
  <conditionalFormatting sqref="AK19">
    <cfRule type="duplicateValues" dxfId="498" priority="104"/>
  </conditionalFormatting>
  <conditionalFormatting sqref="AK4:AK6">
    <cfRule type="duplicateValues" dxfId="497" priority="105"/>
  </conditionalFormatting>
  <conditionalFormatting sqref="AK12">
    <cfRule type="duplicateValues" dxfId="496" priority="102"/>
  </conditionalFormatting>
  <conditionalFormatting sqref="AK7:AK11">
    <cfRule type="duplicateValues" dxfId="495" priority="103"/>
  </conditionalFormatting>
  <conditionalFormatting sqref="AN4:AN18 AN20:AN27">
    <cfRule type="duplicateValues" dxfId="494" priority="101"/>
  </conditionalFormatting>
  <conditionalFormatting sqref="AP4:AP13">
    <cfRule type="duplicateValues" dxfId="493" priority="100"/>
  </conditionalFormatting>
  <conditionalFormatting sqref="AW42:AW43">
    <cfRule type="duplicateValues" dxfId="492" priority="97"/>
  </conditionalFormatting>
  <conditionalFormatting sqref="AX19:AX20">
    <cfRule type="duplicateValues" dxfId="491" priority="93"/>
  </conditionalFormatting>
  <conditionalFormatting sqref="AY9">
    <cfRule type="duplicateValues" dxfId="490" priority="90"/>
  </conditionalFormatting>
  <conditionalFormatting sqref="AY42:AY43 AY4:AY8 AY10:AY21">
    <cfRule type="duplicateValues" dxfId="489" priority="91"/>
  </conditionalFormatting>
  <conditionalFormatting sqref="AW4">
    <cfRule type="duplicateValues" dxfId="488" priority="87"/>
  </conditionalFormatting>
  <conditionalFormatting sqref="AW5">
    <cfRule type="duplicateValues" dxfId="487" priority="86"/>
  </conditionalFormatting>
  <conditionalFormatting sqref="AW6:AW7">
    <cfRule type="duplicateValues" dxfId="486" priority="85"/>
  </conditionalFormatting>
  <conditionalFormatting sqref="AW9">
    <cfRule type="duplicateValues" dxfId="485" priority="83"/>
  </conditionalFormatting>
  <conditionalFormatting sqref="AW8">
    <cfRule type="duplicateValues" dxfId="484" priority="84"/>
  </conditionalFormatting>
  <conditionalFormatting sqref="AW10:AW11">
    <cfRule type="duplicateValues" dxfId="483" priority="82"/>
  </conditionalFormatting>
  <conditionalFormatting sqref="AW12">
    <cfRule type="duplicateValues" dxfId="482" priority="81"/>
  </conditionalFormatting>
  <conditionalFormatting sqref="AW13">
    <cfRule type="duplicateValues" dxfId="481" priority="80"/>
  </conditionalFormatting>
  <conditionalFormatting sqref="AW14">
    <cfRule type="duplicateValues" dxfId="480" priority="79"/>
  </conditionalFormatting>
  <conditionalFormatting sqref="AW15:AW16">
    <cfRule type="duplicateValues" dxfId="479" priority="78"/>
  </conditionalFormatting>
  <conditionalFormatting sqref="AW17:AW18">
    <cfRule type="duplicateValues" dxfId="478" priority="77"/>
  </conditionalFormatting>
  <conditionalFormatting sqref="AW19:AW20">
    <cfRule type="duplicateValues" dxfId="477" priority="76"/>
  </conditionalFormatting>
  <conditionalFormatting sqref="AZ42:AZ43">
    <cfRule type="duplicateValues" dxfId="476" priority="65"/>
  </conditionalFormatting>
  <conditionalFormatting sqref="AZ18:AZ21">
    <cfRule type="duplicateValues" dxfId="475" priority="64"/>
  </conditionalFormatting>
  <conditionalFormatting sqref="AZ5:AZ7">
    <cfRule type="containsBlanks" dxfId="474" priority="63">
      <formula>LEN(TRIM(AZ5))=0</formula>
    </cfRule>
  </conditionalFormatting>
  <conditionalFormatting sqref="AZ8">
    <cfRule type="containsBlanks" dxfId="473" priority="62">
      <formula>LEN(TRIM(AZ8))=0</formula>
    </cfRule>
  </conditionalFormatting>
  <conditionalFormatting sqref="BB18:BD21">
    <cfRule type="duplicateValues" dxfId="472" priority="61"/>
  </conditionalFormatting>
  <conditionalFormatting sqref="BA42:BA43">
    <cfRule type="duplicateValues" dxfId="471" priority="54"/>
  </conditionalFormatting>
  <conditionalFormatting sqref="AX7">
    <cfRule type="containsBlanks" dxfId="470" priority="49">
      <formula>LEN(TRIM(AX7))=0</formula>
    </cfRule>
  </conditionalFormatting>
  <conditionalFormatting sqref="AV42:AV43">
    <cfRule type="duplicateValues" dxfId="469" priority="48"/>
  </conditionalFormatting>
  <conditionalFormatting sqref="AV18:AV21">
    <cfRule type="duplicateValues" dxfId="468" priority="47"/>
  </conditionalFormatting>
  <conditionalFormatting sqref="AV9">
    <cfRule type="duplicateValues" dxfId="467" priority="46"/>
  </conditionalFormatting>
  <conditionalFormatting sqref="BM12">
    <cfRule type="duplicateValues" dxfId="466" priority="43"/>
  </conditionalFormatting>
  <conditionalFormatting sqref="BM6">
    <cfRule type="duplicateValues" dxfId="465" priority="42"/>
  </conditionalFormatting>
  <conditionalFormatting sqref="AN19">
    <cfRule type="duplicateValues" dxfId="464" priority="39"/>
  </conditionalFormatting>
  <conditionalFormatting sqref="BA16:BA17">
    <cfRule type="containsBlanks" dxfId="463" priority="37">
      <formula>LEN(TRIM(BA16))=0</formula>
    </cfRule>
  </conditionalFormatting>
  <conditionalFormatting sqref="AK18">
    <cfRule type="duplicateValues" dxfId="462" priority="35"/>
  </conditionalFormatting>
  <conditionalFormatting sqref="BR19:BR20">
    <cfRule type="duplicateValues" dxfId="461" priority="34"/>
  </conditionalFormatting>
  <conditionalFormatting sqref="BR17">
    <cfRule type="duplicateValues" dxfId="460" priority="33"/>
  </conditionalFormatting>
  <conditionalFormatting sqref="BN15:BN18">
    <cfRule type="duplicateValues" dxfId="459" priority="31"/>
  </conditionalFormatting>
  <conditionalFormatting sqref="BX7:BX9">
    <cfRule type="duplicateValues" dxfId="458" priority="28"/>
  </conditionalFormatting>
  <conditionalFormatting sqref="AR4">
    <cfRule type="duplicateValues" dxfId="457" priority="27"/>
  </conditionalFormatting>
  <conditionalFormatting sqref="BA18">
    <cfRule type="containsBlanks" dxfId="456" priority="18">
      <formula>LEN(TRIM(BA18))=0</formula>
    </cfRule>
  </conditionalFormatting>
  <conditionalFormatting sqref="BR17 BR19:BR20">
    <cfRule type="duplicateValues" dxfId="455" priority="17"/>
  </conditionalFormatting>
  <conditionalFormatting sqref="BR18">
    <cfRule type="duplicateValues" dxfId="454" priority="16"/>
  </conditionalFormatting>
  <conditionalFormatting sqref="AN19">
    <cfRule type="duplicateValues" dxfId="453" priority="15"/>
  </conditionalFormatting>
  <conditionalFormatting sqref="AN20">
    <cfRule type="duplicateValues" dxfId="452" priority="14"/>
  </conditionalFormatting>
  <conditionalFormatting sqref="AP17 AP19:AP20">
    <cfRule type="duplicateValues" dxfId="451" priority="13"/>
  </conditionalFormatting>
  <conditionalFormatting sqref="AP18">
    <cfRule type="duplicateValues" dxfId="450" priority="12"/>
  </conditionalFormatting>
  <conditionalFormatting sqref="AP18">
    <cfRule type="duplicateValues" dxfId="449" priority="11"/>
  </conditionalFormatting>
  <conditionalFormatting sqref="AP19:AP20">
    <cfRule type="duplicateValues" dxfId="448" priority="10"/>
  </conditionalFormatting>
  <conditionalFormatting sqref="BA5:BA7">
    <cfRule type="containsBlanks" dxfId="447" priority="9">
      <formula>LEN(TRIM(BA5))=0</formula>
    </cfRule>
  </conditionalFormatting>
  <conditionalFormatting sqref="BA8">
    <cfRule type="containsBlanks" dxfId="446" priority="8">
      <formula>LEN(TRIM(BA8))=0</formula>
    </cfRule>
  </conditionalFormatting>
  <conditionalFormatting sqref="BJ18:BJ28">
    <cfRule type="duplicateValues" dxfId="445" priority="7"/>
  </conditionalFormatting>
  <conditionalFormatting sqref="BV5:BV11">
    <cfRule type="duplicateValues" dxfId="444" priority="5"/>
  </conditionalFormatting>
  <conditionalFormatting sqref="BV7:BV9">
    <cfRule type="duplicateValues" dxfId="443" priority="6"/>
  </conditionalFormatting>
  <conditionalFormatting sqref="BW5:BW11">
    <cfRule type="duplicateValues" dxfId="442" priority="3"/>
  </conditionalFormatting>
  <conditionalFormatting sqref="BW7:BW9">
    <cfRule type="duplicateValues" dxfId="441" priority="4"/>
  </conditionalFormatting>
  <conditionalFormatting sqref="BU5:BU11">
    <cfRule type="duplicateValues" dxfId="440" priority="1"/>
  </conditionalFormatting>
  <conditionalFormatting sqref="BU7:BU9">
    <cfRule type="duplicateValues" dxfId="439" priority="2"/>
  </conditionalFormatting>
  <conditionalFormatting sqref="AR4:AR11">
    <cfRule type="duplicateValues" dxfId="438" priority="1774"/>
  </conditionalFormatting>
  <dataValidations count="1">
    <dataValidation type="list" allowBlank="1" showInputMessage="1" showErrorMessage="1" sqref="AE30:AG30" xr:uid="{3EC4D7A5-413B-4163-BA53-E90E2D578906}">
      <formula1>INDIRECT(SUBSTITUTE($A30," ","_"))</formula1>
    </dataValidation>
  </dataValidations>
  <pageMargins left="0.7" right="0.7" top="0.75" bottom="0.75" header="0.3" footer="0.3"/>
  <pageSetup orientation="portrait" r:id="rId1"/>
  <tableParts count="72">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 r:id="rId66"/>
    <tablePart r:id="rId67"/>
    <tablePart r:id="rId68"/>
    <tablePart r:id="rId69"/>
    <tablePart r:id="rId70"/>
    <tablePart r:id="rId71"/>
    <tablePart r:id="rId72"/>
    <tablePart r:id="rId7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47C960-5EFF-4FEA-9D03-750D144BE135}">
  <dimension ref="A1:F217"/>
  <sheetViews>
    <sheetView topLeftCell="A27" workbookViewId="0">
      <selection activeCell="B33" sqref="B33"/>
    </sheetView>
  </sheetViews>
  <sheetFormatPr defaultRowHeight="14.4"/>
  <cols>
    <col min="1" max="1" width="19.15625" bestFit="1" customWidth="1"/>
    <col min="2" max="2" width="23.26171875" bestFit="1" customWidth="1"/>
    <col min="3" max="3" width="26.734375" bestFit="1" customWidth="1"/>
    <col min="5" max="5" width="22.734375" customWidth="1"/>
    <col min="9" max="9" width="13.26171875" customWidth="1"/>
    <col min="10" max="10" width="32.15625" customWidth="1"/>
  </cols>
  <sheetData>
    <row r="1" spans="1:6">
      <c r="A1" t="s">
        <v>1907</v>
      </c>
      <c r="B1" t="s">
        <v>2089</v>
      </c>
      <c r="C1" t="s">
        <v>2303</v>
      </c>
    </row>
    <row r="2" spans="1:6">
      <c r="A2" s="131" t="s">
        <v>2071</v>
      </c>
      <c r="B2" s="131" t="s">
        <v>2092</v>
      </c>
      <c r="C2" s="131" t="s">
        <v>2092</v>
      </c>
      <c r="E2" t="s">
        <v>1908</v>
      </c>
    </row>
    <row r="3" spans="1:6" ht="27.6">
      <c r="A3" s="131" t="s">
        <v>2071</v>
      </c>
      <c r="B3" s="131" t="s">
        <v>2075</v>
      </c>
      <c r="C3" s="131" t="s">
        <v>2093</v>
      </c>
      <c r="E3" t="s">
        <v>2092</v>
      </c>
      <c r="F3" s="1" t="s">
        <v>459</v>
      </c>
    </row>
    <row r="4" spans="1:6" ht="41.4">
      <c r="A4" s="131" t="s">
        <v>2071</v>
      </c>
      <c r="B4" s="131" t="s">
        <v>2075</v>
      </c>
      <c r="C4" s="131" t="s">
        <v>2094</v>
      </c>
      <c r="E4" t="s">
        <v>2075</v>
      </c>
      <c r="F4" s="1" t="s">
        <v>0</v>
      </c>
    </row>
    <row r="5" spans="1:6" ht="27.6">
      <c r="A5" s="131" t="s">
        <v>2071</v>
      </c>
      <c r="B5" s="131" t="s">
        <v>2074</v>
      </c>
      <c r="C5" s="131" t="s">
        <v>2095</v>
      </c>
      <c r="E5" t="s">
        <v>2074</v>
      </c>
      <c r="F5" s="1" t="s">
        <v>1</v>
      </c>
    </row>
    <row r="6" spans="1:6" ht="69">
      <c r="A6" s="131" t="s">
        <v>2071</v>
      </c>
      <c r="B6" s="131" t="s">
        <v>2074</v>
      </c>
      <c r="C6" s="131" t="s">
        <v>2096</v>
      </c>
      <c r="E6" t="s">
        <v>2072</v>
      </c>
      <c r="F6" s="1" t="s">
        <v>458</v>
      </c>
    </row>
    <row r="7" spans="1:6">
      <c r="A7" s="131" t="s">
        <v>2071</v>
      </c>
      <c r="B7" s="131" t="s">
        <v>2074</v>
      </c>
      <c r="C7" s="131" t="s">
        <v>2097</v>
      </c>
      <c r="E7" t="s">
        <v>2039</v>
      </c>
      <c r="F7" s="1" t="s">
        <v>2345</v>
      </c>
    </row>
    <row r="8" spans="1:6">
      <c r="A8" s="131" t="s">
        <v>2071</v>
      </c>
      <c r="B8" s="131" t="s">
        <v>2074</v>
      </c>
      <c r="C8" s="131" t="s">
        <v>2098</v>
      </c>
      <c r="E8" t="s">
        <v>2107</v>
      </c>
      <c r="F8" s="1" t="s">
        <v>2346</v>
      </c>
    </row>
    <row r="9" spans="1:6" ht="27.6">
      <c r="A9" s="131" t="s">
        <v>2071</v>
      </c>
      <c r="B9" s="131" t="s">
        <v>2074</v>
      </c>
      <c r="C9" s="131" t="s">
        <v>2099</v>
      </c>
      <c r="E9" t="s">
        <v>2076</v>
      </c>
      <c r="F9" s="1" t="s">
        <v>455</v>
      </c>
    </row>
    <row r="10" spans="1:6">
      <c r="A10" s="131" t="s">
        <v>2071</v>
      </c>
      <c r="B10" s="131" t="s">
        <v>2074</v>
      </c>
      <c r="C10" s="131" t="s">
        <v>2100</v>
      </c>
      <c r="E10" t="s">
        <v>2086</v>
      </c>
      <c r="F10" s="1" t="s">
        <v>6</v>
      </c>
    </row>
    <row r="11" spans="1:6" ht="41.4">
      <c r="A11" s="131" t="s">
        <v>2071</v>
      </c>
      <c r="B11" s="131" t="s">
        <v>2074</v>
      </c>
      <c r="C11" s="131" t="s">
        <v>2101</v>
      </c>
      <c r="E11" t="s">
        <v>2082</v>
      </c>
      <c r="F11" s="1" t="s">
        <v>7</v>
      </c>
    </row>
    <row r="12" spans="1:6" ht="27.6">
      <c r="A12" s="131" t="s">
        <v>2071</v>
      </c>
      <c r="B12" s="131" t="s">
        <v>2074</v>
      </c>
      <c r="C12" s="131" t="s">
        <v>2102</v>
      </c>
      <c r="E12" t="s">
        <v>2138</v>
      </c>
      <c r="F12" s="1" t="s">
        <v>8</v>
      </c>
    </row>
    <row r="13" spans="1:6">
      <c r="A13" s="131" t="s">
        <v>2071</v>
      </c>
      <c r="B13" s="131" t="s">
        <v>2074</v>
      </c>
      <c r="C13" s="131" t="s">
        <v>2103</v>
      </c>
      <c r="E13" t="s">
        <v>2083</v>
      </c>
      <c r="F13" s="1" t="s">
        <v>456</v>
      </c>
    </row>
    <row r="14" spans="1:6" ht="27.6">
      <c r="A14" s="131" t="s">
        <v>2071</v>
      </c>
      <c r="B14" s="131" t="s">
        <v>2074</v>
      </c>
      <c r="C14" s="131" t="s">
        <v>2104</v>
      </c>
      <c r="E14" t="s">
        <v>2081</v>
      </c>
      <c r="F14" s="1" t="s">
        <v>457</v>
      </c>
    </row>
    <row r="15" spans="1:6">
      <c r="A15" s="131" t="s">
        <v>2071</v>
      </c>
      <c r="B15" s="131" t="s">
        <v>2074</v>
      </c>
      <c r="C15" s="131" t="s">
        <v>2105</v>
      </c>
      <c r="E15" t="s">
        <v>2087</v>
      </c>
      <c r="F15" s="1" t="s">
        <v>11</v>
      </c>
    </row>
    <row r="16" spans="1:6" ht="27.6">
      <c r="A16" s="131" t="s">
        <v>2071</v>
      </c>
      <c r="B16" s="131" t="s">
        <v>2072</v>
      </c>
      <c r="C16" s="131" t="s">
        <v>2072</v>
      </c>
      <c r="E16" t="s">
        <v>2085</v>
      </c>
      <c r="F16" s="1" t="s">
        <v>12</v>
      </c>
    </row>
    <row r="17" spans="1:6" ht="27.6">
      <c r="A17" s="131" t="s">
        <v>2106</v>
      </c>
      <c r="B17" s="131" t="s">
        <v>2039</v>
      </c>
      <c r="C17" s="131" t="s">
        <v>2106</v>
      </c>
      <c r="E17" t="s">
        <v>2088</v>
      </c>
      <c r="F17" s="1" t="s">
        <v>13</v>
      </c>
    </row>
    <row r="18" spans="1:6">
      <c r="A18" s="131" t="s">
        <v>2106</v>
      </c>
      <c r="B18" s="131" t="s">
        <v>2107</v>
      </c>
      <c r="C18" s="131" t="s">
        <v>2107</v>
      </c>
      <c r="E18" t="s">
        <v>2084</v>
      </c>
      <c r="F18" s="1" t="s">
        <v>14</v>
      </c>
    </row>
    <row r="19" spans="1:6" ht="27.6">
      <c r="A19" s="131" t="s">
        <v>2106</v>
      </c>
      <c r="B19" s="131" t="s">
        <v>2076</v>
      </c>
      <c r="C19" s="131" t="s">
        <v>2108</v>
      </c>
      <c r="E19" t="s">
        <v>2078</v>
      </c>
      <c r="F19" s="1" t="s">
        <v>15</v>
      </c>
    </row>
    <row r="20" spans="1:6" ht="27.6">
      <c r="A20" s="131" t="s">
        <v>2106</v>
      </c>
      <c r="B20" s="131" t="s">
        <v>2076</v>
      </c>
      <c r="C20" s="131" t="s">
        <v>2109</v>
      </c>
      <c r="E20" t="s">
        <v>2079</v>
      </c>
      <c r="F20" s="1" t="s">
        <v>16</v>
      </c>
    </row>
    <row r="21" spans="1:6">
      <c r="A21" s="131" t="s">
        <v>2080</v>
      </c>
      <c r="B21" s="131" t="s">
        <v>2086</v>
      </c>
      <c r="C21" s="131" t="s">
        <v>2110</v>
      </c>
      <c r="E21" t="s">
        <v>2073</v>
      </c>
      <c r="F21" s="1" t="s">
        <v>460</v>
      </c>
    </row>
    <row r="22" spans="1:6" ht="27.6">
      <c r="A22" s="131" t="s">
        <v>2080</v>
      </c>
      <c r="B22" s="131" t="s">
        <v>2086</v>
      </c>
      <c r="C22" s="131" t="s">
        <v>2111</v>
      </c>
      <c r="E22" t="s">
        <v>2068</v>
      </c>
      <c r="F22" s="1" t="s">
        <v>18</v>
      </c>
    </row>
    <row r="23" spans="1:6" ht="41.4">
      <c r="A23" s="131" t="s">
        <v>2080</v>
      </c>
      <c r="B23" s="131" t="s">
        <v>2086</v>
      </c>
      <c r="C23" s="131" t="s">
        <v>2112</v>
      </c>
      <c r="E23" t="s">
        <v>2267</v>
      </c>
      <c r="F23" s="1" t="s">
        <v>19</v>
      </c>
    </row>
    <row r="24" spans="1:6" ht="27.6">
      <c r="A24" s="131" t="s">
        <v>2080</v>
      </c>
      <c r="B24" s="131" t="s">
        <v>2086</v>
      </c>
      <c r="C24" s="131" t="s">
        <v>2113</v>
      </c>
      <c r="E24" t="s">
        <v>2069</v>
      </c>
      <c r="F24" s="1" t="s">
        <v>20</v>
      </c>
    </row>
    <row r="25" spans="1:6" ht="27.6">
      <c r="A25" s="131" t="s">
        <v>2080</v>
      </c>
      <c r="B25" s="131" t="s">
        <v>2086</v>
      </c>
      <c r="C25" s="131" t="s">
        <v>2114</v>
      </c>
      <c r="E25" t="s">
        <v>2070</v>
      </c>
      <c r="F25" s="1" t="s">
        <v>21</v>
      </c>
    </row>
    <row r="26" spans="1:6">
      <c r="A26" s="131" t="s">
        <v>2080</v>
      </c>
      <c r="B26" s="131" t="s">
        <v>2082</v>
      </c>
      <c r="C26" s="131" t="s">
        <v>2115</v>
      </c>
      <c r="E26" t="s">
        <v>2298</v>
      </c>
      <c r="F26" s="1" t="s">
        <v>462</v>
      </c>
    </row>
    <row r="27" spans="1:6" ht="27.6">
      <c r="A27" s="131" t="s">
        <v>2080</v>
      </c>
      <c r="B27" s="131" t="s">
        <v>2082</v>
      </c>
      <c r="C27" s="131" t="s">
        <v>2116</v>
      </c>
      <c r="E27" t="s">
        <v>2067</v>
      </c>
      <c r="F27" s="1" t="s">
        <v>2336</v>
      </c>
    </row>
    <row r="28" spans="1:6" ht="27.6">
      <c r="A28" s="131" t="s">
        <v>2080</v>
      </c>
      <c r="B28" s="131" t="s">
        <v>2082</v>
      </c>
      <c r="C28" s="131" t="s">
        <v>2117</v>
      </c>
      <c r="E28" t="s">
        <v>2065</v>
      </c>
      <c r="F28" s="1" t="s">
        <v>2337</v>
      </c>
    </row>
    <row r="29" spans="1:6" ht="27.6">
      <c r="A29" s="131" t="s">
        <v>2080</v>
      </c>
      <c r="B29" s="131" t="s">
        <v>2082</v>
      </c>
      <c r="C29" s="131" t="s">
        <v>2118</v>
      </c>
      <c r="E29" t="s">
        <v>2064</v>
      </c>
      <c r="F29" s="1" t="s">
        <v>2338</v>
      </c>
    </row>
    <row r="30" spans="1:6" ht="27.6">
      <c r="A30" s="131" t="s">
        <v>2080</v>
      </c>
      <c r="B30" s="131" t="s">
        <v>2082</v>
      </c>
      <c r="C30" s="131" t="s">
        <v>2119</v>
      </c>
      <c r="E30" t="s">
        <v>2302</v>
      </c>
      <c r="F30" s="1" t="s">
        <v>34</v>
      </c>
    </row>
    <row r="31" spans="1:6" ht="41.4">
      <c r="A31" s="131" t="s">
        <v>2080</v>
      </c>
      <c r="B31" s="131" t="s">
        <v>2082</v>
      </c>
      <c r="C31" s="131" t="s">
        <v>2120</v>
      </c>
      <c r="E31" t="s">
        <v>48</v>
      </c>
      <c r="F31" s="1" t="s">
        <v>2339</v>
      </c>
    </row>
    <row r="32" spans="1:6" ht="27.6">
      <c r="A32" s="131" t="s">
        <v>2080</v>
      </c>
      <c r="B32" s="131" t="s">
        <v>2082</v>
      </c>
      <c r="C32" s="131" t="s">
        <v>2121</v>
      </c>
      <c r="F32" s="1" t="s">
        <v>2462</v>
      </c>
    </row>
    <row r="33" spans="1:6" ht="41.4">
      <c r="A33" s="131" t="s">
        <v>2080</v>
      </c>
      <c r="B33" s="131" t="s">
        <v>2082</v>
      </c>
      <c r="C33" s="131" t="s">
        <v>2122</v>
      </c>
      <c r="F33" s="1" t="s">
        <v>2340</v>
      </c>
    </row>
    <row r="34" spans="1:6" ht="41.4">
      <c r="A34" s="131" t="s">
        <v>2080</v>
      </c>
      <c r="B34" s="131" t="s">
        <v>2082</v>
      </c>
      <c r="C34" s="131" t="s">
        <v>2123</v>
      </c>
      <c r="F34" s="1" t="s">
        <v>2341</v>
      </c>
    </row>
    <row r="35" spans="1:6" ht="27.6">
      <c r="A35" s="131" t="s">
        <v>2080</v>
      </c>
      <c r="B35" s="131" t="s">
        <v>2082</v>
      </c>
      <c r="C35" s="131" t="s">
        <v>2124</v>
      </c>
      <c r="F35" s="1" t="s">
        <v>2484</v>
      </c>
    </row>
    <row r="36" spans="1:6" ht="41.4">
      <c r="A36" s="131" t="s">
        <v>2080</v>
      </c>
      <c r="B36" s="131" t="s">
        <v>2082</v>
      </c>
      <c r="C36" s="131" t="s">
        <v>2125</v>
      </c>
      <c r="F36" s="1" t="s">
        <v>463</v>
      </c>
    </row>
    <row r="37" spans="1:6" ht="55.2">
      <c r="A37" s="131" t="s">
        <v>2080</v>
      </c>
      <c r="B37" s="131" t="s">
        <v>2082</v>
      </c>
      <c r="C37" s="131" t="s">
        <v>2126</v>
      </c>
      <c r="F37" s="1" t="s">
        <v>464</v>
      </c>
    </row>
    <row r="38" spans="1:6" ht="41.4">
      <c r="A38" s="131" t="s">
        <v>2080</v>
      </c>
      <c r="B38" s="131" t="s">
        <v>2082</v>
      </c>
      <c r="C38" s="131" t="s">
        <v>2127</v>
      </c>
      <c r="F38" s="1" t="s">
        <v>465</v>
      </c>
    </row>
    <row r="39" spans="1:6" ht="41.4">
      <c r="A39" s="131" t="s">
        <v>2080</v>
      </c>
      <c r="B39" s="131" t="s">
        <v>2082</v>
      </c>
      <c r="C39" s="131" t="s">
        <v>2128</v>
      </c>
      <c r="F39" s="1" t="s">
        <v>2514</v>
      </c>
    </row>
    <row r="40" spans="1:6" ht="27.6">
      <c r="A40" s="131" t="s">
        <v>2080</v>
      </c>
      <c r="B40" s="131" t="s">
        <v>2082</v>
      </c>
      <c r="C40" s="131" t="s">
        <v>2129</v>
      </c>
      <c r="F40" s="1" t="s">
        <v>1118</v>
      </c>
    </row>
    <row r="41" spans="1:6" ht="41.4">
      <c r="A41" s="131" t="s">
        <v>2080</v>
      </c>
      <c r="B41" s="131" t="s">
        <v>2082</v>
      </c>
      <c r="C41" s="131" t="s">
        <v>2130</v>
      </c>
      <c r="F41" s="1" t="s">
        <v>2515</v>
      </c>
    </row>
    <row r="42" spans="1:6" ht="27.6">
      <c r="A42" s="131" t="s">
        <v>2080</v>
      </c>
      <c r="B42" s="131" t="s">
        <v>2082</v>
      </c>
      <c r="C42" s="131" t="s">
        <v>2131</v>
      </c>
      <c r="F42" s="1" t="s">
        <v>1115</v>
      </c>
    </row>
    <row r="43" spans="1:6" ht="27.6">
      <c r="A43" s="131" t="s">
        <v>2080</v>
      </c>
      <c r="B43" s="131" t="s">
        <v>2082</v>
      </c>
      <c r="C43" s="131" t="s">
        <v>2132</v>
      </c>
      <c r="F43" s="1" t="s">
        <v>2344</v>
      </c>
    </row>
    <row r="44" spans="1:6" ht="27.6">
      <c r="A44" s="131" t="s">
        <v>2080</v>
      </c>
      <c r="B44" s="131" t="s">
        <v>2082</v>
      </c>
      <c r="C44" s="131" t="s">
        <v>2133</v>
      </c>
      <c r="F44" s="1" t="s">
        <v>2342</v>
      </c>
    </row>
    <row r="45" spans="1:6" ht="27.6">
      <c r="A45" s="131" t="s">
        <v>2080</v>
      </c>
      <c r="B45" s="131" t="s">
        <v>2082</v>
      </c>
      <c r="C45" s="131" t="s">
        <v>2134</v>
      </c>
      <c r="F45" s="1" t="s">
        <v>660</v>
      </c>
    </row>
    <row r="46" spans="1:6" ht="27.6">
      <c r="A46" s="131" t="s">
        <v>2080</v>
      </c>
      <c r="B46" s="131" t="s">
        <v>2082</v>
      </c>
      <c r="C46" s="131" t="s">
        <v>2135</v>
      </c>
      <c r="F46" s="1" t="s">
        <v>40</v>
      </c>
    </row>
    <row r="47" spans="1:6" ht="27.6">
      <c r="A47" s="131" t="s">
        <v>2080</v>
      </c>
      <c r="B47" s="131" t="s">
        <v>2082</v>
      </c>
      <c r="C47" s="131" t="s">
        <v>2136</v>
      </c>
      <c r="F47" s="1" t="s">
        <v>41</v>
      </c>
    </row>
    <row r="48" spans="1:6" ht="27.6">
      <c r="A48" s="131" t="s">
        <v>2080</v>
      </c>
      <c r="B48" s="131" t="s">
        <v>2082</v>
      </c>
      <c r="C48" s="131" t="s">
        <v>2137</v>
      </c>
      <c r="F48" s="1" t="s">
        <v>31</v>
      </c>
    </row>
    <row r="49" spans="1:6" ht="27.6">
      <c r="A49" s="131" t="s">
        <v>2080</v>
      </c>
      <c r="B49" s="131" t="s">
        <v>2138</v>
      </c>
      <c r="C49" s="131" t="s">
        <v>2139</v>
      </c>
      <c r="F49" s="1" t="s">
        <v>2343</v>
      </c>
    </row>
    <row r="50" spans="1:6" ht="27.6">
      <c r="A50" s="131" t="s">
        <v>2080</v>
      </c>
      <c r="B50" s="131" t="s">
        <v>2138</v>
      </c>
      <c r="C50" s="131" t="s">
        <v>2140</v>
      </c>
      <c r="F50" s="1" t="s">
        <v>35</v>
      </c>
    </row>
    <row r="51" spans="1:6" ht="27.6">
      <c r="A51" s="131" t="s">
        <v>2080</v>
      </c>
      <c r="B51" s="131" t="s">
        <v>2083</v>
      </c>
      <c r="C51" s="131" t="s">
        <v>2141</v>
      </c>
      <c r="F51" s="1" t="s">
        <v>2626</v>
      </c>
    </row>
    <row r="52" spans="1:6" ht="27.6">
      <c r="A52" s="131" t="s">
        <v>2080</v>
      </c>
      <c r="B52" s="131" t="s">
        <v>2083</v>
      </c>
      <c r="C52" s="131" t="s">
        <v>2142</v>
      </c>
      <c r="F52" s="1" t="s">
        <v>1578</v>
      </c>
    </row>
    <row r="53" spans="1:6" ht="27.6">
      <c r="A53" s="131" t="s">
        <v>2080</v>
      </c>
      <c r="B53" s="131" t="s">
        <v>2083</v>
      </c>
      <c r="C53" s="131" t="s">
        <v>2143</v>
      </c>
      <c r="F53" s="1" t="s">
        <v>1583</v>
      </c>
    </row>
    <row r="54" spans="1:6" ht="27.6">
      <c r="A54" s="131" t="s">
        <v>2080</v>
      </c>
      <c r="B54" s="131" t="s">
        <v>2083</v>
      </c>
      <c r="C54" s="131" t="s">
        <v>2144</v>
      </c>
      <c r="F54" s="1" t="s">
        <v>1584</v>
      </c>
    </row>
    <row r="55" spans="1:6" ht="27.6">
      <c r="A55" s="131" t="s">
        <v>2080</v>
      </c>
      <c r="B55" s="131" t="s">
        <v>2083</v>
      </c>
      <c r="C55" s="131" t="s">
        <v>2145</v>
      </c>
      <c r="F55" s="1" t="s">
        <v>1599</v>
      </c>
    </row>
    <row r="56" spans="1:6" ht="41.4">
      <c r="A56" s="131" t="s">
        <v>2080</v>
      </c>
      <c r="B56" s="131" t="s">
        <v>2083</v>
      </c>
      <c r="C56" s="131" t="s">
        <v>2146</v>
      </c>
      <c r="F56" s="1" t="s">
        <v>2544</v>
      </c>
    </row>
    <row r="57" spans="1:6">
      <c r="A57" s="131" t="s">
        <v>2080</v>
      </c>
      <c r="B57" s="131" t="s">
        <v>2083</v>
      </c>
      <c r="C57" s="131" t="s">
        <v>2147</v>
      </c>
    </row>
    <row r="58" spans="1:6">
      <c r="A58" s="131" t="s">
        <v>2080</v>
      </c>
      <c r="B58" s="131" t="s">
        <v>2083</v>
      </c>
      <c r="C58" s="131" t="s">
        <v>2148</v>
      </c>
    </row>
    <row r="59" spans="1:6">
      <c r="A59" s="131" t="s">
        <v>2080</v>
      </c>
      <c r="B59" s="131" t="s">
        <v>2083</v>
      </c>
      <c r="C59" s="131" t="s">
        <v>2149</v>
      </c>
    </row>
    <row r="60" spans="1:6">
      <c r="A60" s="131" t="s">
        <v>2080</v>
      </c>
      <c r="B60" s="131" t="s">
        <v>2083</v>
      </c>
      <c r="C60" s="131" t="s">
        <v>2150</v>
      </c>
    </row>
    <row r="61" spans="1:6">
      <c r="A61" s="131" t="s">
        <v>2080</v>
      </c>
      <c r="B61" s="131" t="s">
        <v>2083</v>
      </c>
      <c r="C61" s="131" t="s">
        <v>2151</v>
      </c>
    </row>
    <row r="62" spans="1:6">
      <c r="A62" s="131" t="s">
        <v>2080</v>
      </c>
      <c r="B62" s="131" t="s">
        <v>2083</v>
      </c>
      <c r="C62" s="131" t="s">
        <v>2152</v>
      </c>
    </row>
    <row r="63" spans="1:6">
      <c r="A63" s="131" t="s">
        <v>2080</v>
      </c>
      <c r="B63" s="131" t="s">
        <v>2083</v>
      </c>
      <c r="C63" s="131" t="s">
        <v>2153</v>
      </c>
    </row>
    <row r="64" spans="1:6">
      <c r="A64" s="131" t="s">
        <v>2080</v>
      </c>
      <c r="B64" s="131" t="s">
        <v>2083</v>
      </c>
      <c r="C64" s="131" t="s">
        <v>2154</v>
      </c>
    </row>
    <row r="65" spans="1:3">
      <c r="A65" s="131" t="s">
        <v>2080</v>
      </c>
      <c r="B65" s="131" t="s">
        <v>2083</v>
      </c>
      <c r="C65" s="131" t="s">
        <v>2155</v>
      </c>
    </row>
    <row r="66" spans="1:3">
      <c r="A66" s="131" t="s">
        <v>2080</v>
      </c>
      <c r="B66" s="131" t="s">
        <v>2083</v>
      </c>
      <c r="C66" s="131" t="s">
        <v>2156</v>
      </c>
    </row>
    <row r="67" spans="1:3">
      <c r="A67" s="131" t="s">
        <v>2080</v>
      </c>
      <c r="B67" s="131" t="s">
        <v>2083</v>
      </c>
      <c r="C67" s="131" t="s">
        <v>2157</v>
      </c>
    </row>
    <row r="68" spans="1:3">
      <c r="A68" s="131" t="s">
        <v>2080</v>
      </c>
      <c r="B68" s="131" t="s">
        <v>2083</v>
      </c>
      <c r="C68" s="131" t="s">
        <v>2158</v>
      </c>
    </row>
    <row r="69" spans="1:3">
      <c r="A69" s="131" t="s">
        <v>2080</v>
      </c>
      <c r="B69" s="131" t="s">
        <v>2083</v>
      </c>
      <c r="C69" s="131" t="s">
        <v>2159</v>
      </c>
    </row>
    <row r="70" spans="1:3">
      <c r="A70" s="131" t="s">
        <v>2080</v>
      </c>
      <c r="B70" s="131" t="s">
        <v>2081</v>
      </c>
      <c r="C70" s="131" t="s">
        <v>2160</v>
      </c>
    </row>
    <row r="71" spans="1:3">
      <c r="A71" s="131" t="s">
        <v>2080</v>
      </c>
      <c r="B71" s="131" t="s">
        <v>2081</v>
      </c>
      <c r="C71" s="131" t="s">
        <v>2161</v>
      </c>
    </row>
    <row r="72" spans="1:3">
      <c r="A72" s="131" t="s">
        <v>2080</v>
      </c>
      <c r="B72" s="131" t="s">
        <v>2081</v>
      </c>
      <c r="C72" s="131" t="s">
        <v>2162</v>
      </c>
    </row>
    <row r="73" spans="1:3">
      <c r="A73" s="131" t="s">
        <v>2080</v>
      </c>
      <c r="B73" s="131" t="s">
        <v>2081</v>
      </c>
      <c r="C73" s="131" t="s">
        <v>2163</v>
      </c>
    </row>
    <row r="74" spans="1:3">
      <c r="A74" s="131" t="s">
        <v>2080</v>
      </c>
      <c r="B74" s="131" t="s">
        <v>2081</v>
      </c>
      <c r="C74" s="131" t="s">
        <v>2164</v>
      </c>
    </row>
    <row r="75" spans="1:3">
      <c r="A75" s="131" t="s">
        <v>2080</v>
      </c>
      <c r="B75" s="131" t="s">
        <v>2081</v>
      </c>
      <c r="C75" s="131" t="s">
        <v>2165</v>
      </c>
    </row>
    <row r="76" spans="1:3">
      <c r="A76" s="131" t="s">
        <v>2080</v>
      </c>
      <c r="B76" s="131" t="s">
        <v>2081</v>
      </c>
      <c r="C76" s="131" t="s">
        <v>2166</v>
      </c>
    </row>
    <row r="77" spans="1:3">
      <c r="A77" s="131" t="s">
        <v>2080</v>
      </c>
      <c r="B77" s="131" t="s">
        <v>2081</v>
      </c>
      <c r="C77" s="131" t="s">
        <v>2167</v>
      </c>
    </row>
    <row r="78" spans="1:3">
      <c r="A78" s="131" t="s">
        <v>2080</v>
      </c>
      <c r="B78" s="131" t="s">
        <v>2081</v>
      </c>
      <c r="C78" s="131" t="s">
        <v>2168</v>
      </c>
    </row>
    <row r="79" spans="1:3">
      <c r="A79" s="131" t="s">
        <v>2080</v>
      </c>
      <c r="B79" s="131" t="s">
        <v>2081</v>
      </c>
      <c r="C79" s="131" t="s">
        <v>2169</v>
      </c>
    </row>
    <row r="80" spans="1:3">
      <c r="A80" s="131" t="s">
        <v>2080</v>
      </c>
      <c r="B80" s="131" t="s">
        <v>2081</v>
      </c>
      <c r="C80" s="131" t="s">
        <v>2170</v>
      </c>
    </row>
    <row r="81" spans="1:3">
      <c r="A81" s="131" t="s">
        <v>2080</v>
      </c>
      <c r="B81" s="131" t="s">
        <v>2081</v>
      </c>
      <c r="C81" s="131" t="s">
        <v>2171</v>
      </c>
    </row>
    <row r="82" spans="1:3">
      <c r="A82" s="131" t="s">
        <v>2080</v>
      </c>
      <c r="B82" s="131" t="s">
        <v>2081</v>
      </c>
      <c r="C82" s="131" t="s">
        <v>2172</v>
      </c>
    </row>
    <row r="83" spans="1:3">
      <c r="A83" s="131" t="s">
        <v>2080</v>
      </c>
      <c r="B83" s="131" t="s">
        <v>2081</v>
      </c>
      <c r="C83" s="131" t="s">
        <v>2173</v>
      </c>
    </row>
    <row r="84" spans="1:3">
      <c r="A84" s="131" t="s">
        <v>2080</v>
      </c>
      <c r="B84" s="131" t="s">
        <v>2081</v>
      </c>
      <c r="C84" s="131" t="s">
        <v>2174</v>
      </c>
    </row>
    <row r="85" spans="1:3">
      <c r="A85" s="131" t="s">
        <v>2080</v>
      </c>
      <c r="B85" s="131" t="s">
        <v>2081</v>
      </c>
      <c r="C85" s="131" t="s">
        <v>2175</v>
      </c>
    </row>
    <row r="86" spans="1:3">
      <c r="A86" s="131" t="s">
        <v>2080</v>
      </c>
      <c r="B86" s="131" t="s">
        <v>2081</v>
      </c>
      <c r="C86" s="131" t="s">
        <v>2176</v>
      </c>
    </row>
    <row r="87" spans="1:3">
      <c r="A87" s="131" t="s">
        <v>2080</v>
      </c>
      <c r="B87" s="131" t="s">
        <v>2081</v>
      </c>
      <c r="C87" s="131" t="s">
        <v>2177</v>
      </c>
    </row>
    <row r="88" spans="1:3">
      <c r="A88" s="131" t="s">
        <v>2080</v>
      </c>
      <c r="B88" s="131" t="s">
        <v>2081</v>
      </c>
      <c r="C88" s="131" t="s">
        <v>2178</v>
      </c>
    </row>
    <row r="89" spans="1:3">
      <c r="A89" s="131" t="s">
        <v>2080</v>
      </c>
      <c r="B89" s="131" t="s">
        <v>2081</v>
      </c>
      <c r="C89" s="131" t="s">
        <v>2179</v>
      </c>
    </row>
    <row r="90" spans="1:3">
      <c r="A90" s="131" t="s">
        <v>2080</v>
      </c>
      <c r="B90" s="131" t="s">
        <v>2081</v>
      </c>
      <c r="C90" s="131" t="s">
        <v>2180</v>
      </c>
    </row>
    <row r="91" spans="1:3">
      <c r="A91" s="131" t="s">
        <v>2080</v>
      </c>
      <c r="B91" s="131" t="s">
        <v>2081</v>
      </c>
      <c r="C91" s="131" t="s">
        <v>2181</v>
      </c>
    </row>
    <row r="92" spans="1:3">
      <c r="A92" s="131" t="s">
        <v>2080</v>
      </c>
      <c r="B92" s="131" t="s">
        <v>2081</v>
      </c>
      <c r="C92" s="131" t="s">
        <v>2182</v>
      </c>
    </row>
    <row r="93" spans="1:3">
      <c r="A93" s="131" t="s">
        <v>2080</v>
      </c>
      <c r="B93" s="131" t="s">
        <v>2081</v>
      </c>
      <c r="C93" s="131" t="s">
        <v>2183</v>
      </c>
    </row>
    <row r="94" spans="1:3">
      <c r="A94" s="131" t="s">
        <v>2080</v>
      </c>
      <c r="B94" s="131" t="s">
        <v>2081</v>
      </c>
      <c r="C94" s="131" t="s">
        <v>2184</v>
      </c>
    </row>
    <row r="95" spans="1:3">
      <c r="A95" s="131" t="s">
        <v>2080</v>
      </c>
      <c r="B95" s="131" t="s">
        <v>2081</v>
      </c>
      <c r="C95" s="131" t="s">
        <v>2185</v>
      </c>
    </row>
    <row r="96" spans="1:3">
      <c r="A96" s="131" t="s">
        <v>2080</v>
      </c>
      <c r="B96" s="131" t="s">
        <v>2081</v>
      </c>
      <c r="C96" s="131" t="s">
        <v>2186</v>
      </c>
    </row>
    <row r="97" spans="1:3">
      <c r="A97" s="131" t="s">
        <v>2080</v>
      </c>
      <c r="B97" s="131" t="s">
        <v>2087</v>
      </c>
      <c r="C97" s="131" t="s">
        <v>2187</v>
      </c>
    </row>
    <row r="98" spans="1:3">
      <c r="A98" s="131" t="s">
        <v>2080</v>
      </c>
      <c r="B98" s="131" t="s">
        <v>2087</v>
      </c>
      <c r="C98" s="131" t="s">
        <v>2188</v>
      </c>
    </row>
    <row r="99" spans="1:3">
      <c r="A99" s="131" t="s">
        <v>2080</v>
      </c>
      <c r="B99" s="131" t="s">
        <v>2087</v>
      </c>
      <c r="C99" s="131" t="s">
        <v>2189</v>
      </c>
    </row>
    <row r="100" spans="1:3">
      <c r="A100" s="131" t="s">
        <v>2080</v>
      </c>
      <c r="B100" s="131" t="s">
        <v>2087</v>
      </c>
      <c r="C100" s="131" t="s">
        <v>2190</v>
      </c>
    </row>
    <row r="101" spans="1:3">
      <c r="A101" s="131" t="s">
        <v>2080</v>
      </c>
      <c r="B101" s="131" t="s">
        <v>2087</v>
      </c>
      <c r="C101" s="131" t="s">
        <v>2191</v>
      </c>
    </row>
    <row r="102" spans="1:3">
      <c r="A102" s="131" t="s">
        <v>2080</v>
      </c>
      <c r="B102" s="131" t="s">
        <v>2087</v>
      </c>
      <c r="C102" s="131" t="s">
        <v>2192</v>
      </c>
    </row>
    <row r="103" spans="1:3">
      <c r="A103" s="131" t="s">
        <v>2080</v>
      </c>
      <c r="B103" s="131" t="s">
        <v>2087</v>
      </c>
      <c r="C103" s="131" t="s">
        <v>2193</v>
      </c>
    </row>
    <row r="104" spans="1:3">
      <c r="A104" s="131" t="s">
        <v>2080</v>
      </c>
      <c r="B104" s="131" t="s">
        <v>2087</v>
      </c>
      <c r="C104" s="131" t="s">
        <v>2194</v>
      </c>
    </row>
    <row r="105" spans="1:3">
      <c r="A105" s="131" t="s">
        <v>2080</v>
      </c>
      <c r="B105" s="131" t="s">
        <v>2087</v>
      </c>
      <c r="C105" s="131" t="s">
        <v>2195</v>
      </c>
    </row>
    <row r="106" spans="1:3">
      <c r="A106" s="131" t="s">
        <v>2080</v>
      </c>
      <c r="B106" s="131" t="s">
        <v>2087</v>
      </c>
      <c r="C106" s="131" t="s">
        <v>2196</v>
      </c>
    </row>
    <row r="107" spans="1:3">
      <c r="A107" s="131" t="s">
        <v>2080</v>
      </c>
      <c r="B107" s="131" t="s">
        <v>2087</v>
      </c>
      <c r="C107" s="131" t="s">
        <v>2197</v>
      </c>
    </row>
    <row r="108" spans="1:3">
      <c r="A108" s="131" t="s">
        <v>2080</v>
      </c>
      <c r="B108" s="131" t="s">
        <v>2085</v>
      </c>
      <c r="C108" s="131" t="s">
        <v>2198</v>
      </c>
    </row>
    <row r="109" spans="1:3">
      <c r="A109" s="131" t="s">
        <v>2080</v>
      </c>
      <c r="B109" s="131" t="s">
        <v>2085</v>
      </c>
      <c r="C109" s="131" t="s">
        <v>2199</v>
      </c>
    </row>
    <row r="110" spans="1:3">
      <c r="A110" s="131" t="s">
        <v>2080</v>
      </c>
      <c r="B110" s="131" t="s">
        <v>2085</v>
      </c>
      <c r="C110" s="131" t="s">
        <v>2200</v>
      </c>
    </row>
    <row r="111" spans="1:3">
      <c r="A111" s="131" t="s">
        <v>2080</v>
      </c>
      <c r="B111" s="131" t="s">
        <v>2085</v>
      </c>
      <c r="C111" s="131" t="s">
        <v>2201</v>
      </c>
    </row>
    <row r="112" spans="1:3">
      <c r="A112" s="131" t="s">
        <v>2080</v>
      </c>
      <c r="B112" s="131" t="s">
        <v>2085</v>
      </c>
      <c r="C112" s="131" t="s">
        <v>2202</v>
      </c>
    </row>
    <row r="113" spans="1:3">
      <c r="A113" s="131" t="s">
        <v>2080</v>
      </c>
      <c r="B113" s="131" t="s">
        <v>2085</v>
      </c>
      <c r="C113" s="131" t="s">
        <v>2203</v>
      </c>
    </row>
    <row r="114" spans="1:3">
      <c r="A114" s="131" t="s">
        <v>2080</v>
      </c>
      <c r="B114" s="131" t="s">
        <v>2085</v>
      </c>
      <c r="C114" s="131" t="s">
        <v>2204</v>
      </c>
    </row>
    <row r="115" spans="1:3">
      <c r="A115" s="131" t="s">
        <v>2080</v>
      </c>
      <c r="B115" s="131" t="s">
        <v>2085</v>
      </c>
      <c r="C115" s="131" t="s">
        <v>2205</v>
      </c>
    </row>
    <row r="116" spans="1:3">
      <c r="A116" s="131" t="s">
        <v>2080</v>
      </c>
      <c r="B116" s="131" t="s">
        <v>2085</v>
      </c>
      <c r="C116" s="131" t="s">
        <v>2206</v>
      </c>
    </row>
    <row r="117" spans="1:3">
      <c r="A117" s="131" t="s">
        <v>2080</v>
      </c>
      <c r="B117" s="131" t="s">
        <v>2085</v>
      </c>
      <c r="C117" s="131" t="s">
        <v>2207</v>
      </c>
    </row>
    <row r="118" spans="1:3">
      <c r="A118" s="131" t="s">
        <v>2080</v>
      </c>
      <c r="B118" s="131" t="s">
        <v>2085</v>
      </c>
      <c r="C118" s="131" t="s">
        <v>2208</v>
      </c>
    </row>
    <row r="119" spans="1:3">
      <c r="A119" s="131" t="s">
        <v>2080</v>
      </c>
      <c r="B119" s="131" t="s">
        <v>2085</v>
      </c>
      <c r="C119" s="131" t="s">
        <v>2209</v>
      </c>
    </row>
    <row r="120" spans="1:3">
      <c r="A120" s="131" t="s">
        <v>2080</v>
      </c>
      <c r="B120" s="131" t="s">
        <v>2085</v>
      </c>
      <c r="C120" s="131" t="s">
        <v>2210</v>
      </c>
    </row>
    <row r="121" spans="1:3">
      <c r="A121" s="131" t="s">
        <v>2080</v>
      </c>
      <c r="B121" s="131" t="s">
        <v>2088</v>
      </c>
      <c r="C121" s="131" t="s">
        <v>2211</v>
      </c>
    </row>
    <row r="122" spans="1:3">
      <c r="A122" s="131" t="s">
        <v>2080</v>
      </c>
      <c r="B122" s="131" t="s">
        <v>2088</v>
      </c>
      <c r="C122" s="131" t="s">
        <v>2212</v>
      </c>
    </row>
    <row r="123" spans="1:3">
      <c r="A123" s="131" t="s">
        <v>2080</v>
      </c>
      <c r="B123" s="131" t="s">
        <v>2088</v>
      </c>
      <c r="C123" s="131" t="s">
        <v>2213</v>
      </c>
    </row>
    <row r="124" spans="1:3">
      <c r="A124" s="131" t="s">
        <v>2080</v>
      </c>
      <c r="B124" s="131" t="s">
        <v>2088</v>
      </c>
      <c r="C124" s="131" t="s">
        <v>2214</v>
      </c>
    </row>
    <row r="125" spans="1:3">
      <c r="A125" s="131" t="s">
        <v>2080</v>
      </c>
      <c r="B125" s="131" t="s">
        <v>2088</v>
      </c>
      <c r="C125" s="131" t="s">
        <v>2215</v>
      </c>
    </row>
    <row r="126" spans="1:3">
      <c r="A126" s="131" t="s">
        <v>2080</v>
      </c>
      <c r="B126" s="131" t="s">
        <v>2088</v>
      </c>
      <c r="C126" s="131" t="s">
        <v>2216</v>
      </c>
    </row>
    <row r="127" spans="1:3">
      <c r="A127" s="131" t="s">
        <v>2080</v>
      </c>
      <c r="B127" s="131" t="s">
        <v>2088</v>
      </c>
      <c r="C127" s="131" t="s">
        <v>2217</v>
      </c>
    </row>
    <row r="128" spans="1:3">
      <c r="A128" s="131" t="s">
        <v>2080</v>
      </c>
      <c r="B128" s="131" t="s">
        <v>2088</v>
      </c>
      <c r="C128" s="131" t="s">
        <v>2218</v>
      </c>
    </row>
    <row r="129" spans="1:3">
      <c r="A129" s="131" t="s">
        <v>2080</v>
      </c>
      <c r="B129" s="131" t="s">
        <v>2084</v>
      </c>
      <c r="C129" s="131" t="s">
        <v>2219</v>
      </c>
    </row>
    <row r="130" spans="1:3">
      <c r="A130" s="131" t="s">
        <v>2080</v>
      </c>
      <c r="B130" s="131" t="s">
        <v>2084</v>
      </c>
      <c r="C130" s="131" t="s">
        <v>2220</v>
      </c>
    </row>
    <row r="131" spans="1:3">
      <c r="A131" s="131" t="s">
        <v>2080</v>
      </c>
      <c r="B131" s="131" t="s">
        <v>2084</v>
      </c>
      <c r="C131" s="131" t="s">
        <v>2221</v>
      </c>
    </row>
    <row r="132" spans="1:3">
      <c r="A132" s="131" t="s">
        <v>2080</v>
      </c>
      <c r="B132" s="131" t="s">
        <v>2084</v>
      </c>
      <c r="C132" s="131" t="s">
        <v>2222</v>
      </c>
    </row>
    <row r="133" spans="1:3">
      <c r="A133" s="131" t="s">
        <v>2080</v>
      </c>
      <c r="B133" s="131" t="s">
        <v>2084</v>
      </c>
      <c r="C133" s="131" t="s">
        <v>2223</v>
      </c>
    </row>
    <row r="134" spans="1:3">
      <c r="A134" s="131" t="s">
        <v>2080</v>
      </c>
      <c r="B134" s="131" t="s">
        <v>2084</v>
      </c>
      <c r="C134" s="131" t="s">
        <v>2224</v>
      </c>
    </row>
    <row r="135" spans="1:3">
      <c r="A135" s="131" t="s">
        <v>2080</v>
      </c>
      <c r="B135" s="131" t="s">
        <v>2084</v>
      </c>
      <c r="C135" s="131" t="s">
        <v>2225</v>
      </c>
    </row>
    <row r="136" spans="1:3">
      <c r="A136" s="131" t="s">
        <v>2080</v>
      </c>
      <c r="B136" s="131" t="s">
        <v>2084</v>
      </c>
      <c r="C136" s="131" t="s">
        <v>2226</v>
      </c>
    </row>
    <row r="137" spans="1:3">
      <c r="A137" s="131" t="s">
        <v>2080</v>
      </c>
      <c r="B137" s="131" t="s">
        <v>2084</v>
      </c>
      <c r="C137" s="131" t="s">
        <v>2227</v>
      </c>
    </row>
    <row r="138" spans="1:3">
      <c r="A138" s="131" t="s">
        <v>2080</v>
      </c>
      <c r="B138" s="131" t="s">
        <v>2084</v>
      </c>
      <c r="C138" s="131" t="s">
        <v>2228</v>
      </c>
    </row>
    <row r="139" spans="1:3">
      <c r="A139" s="131" t="s">
        <v>2080</v>
      </c>
      <c r="B139" s="131" t="s">
        <v>2084</v>
      </c>
      <c r="C139" s="131" t="s">
        <v>2229</v>
      </c>
    </row>
    <row r="140" spans="1:3">
      <c r="A140" s="131" t="s">
        <v>2080</v>
      </c>
      <c r="B140" s="131" t="s">
        <v>2084</v>
      </c>
      <c r="C140" s="131" t="s">
        <v>2230</v>
      </c>
    </row>
    <row r="141" spans="1:3">
      <c r="A141" s="131" t="s">
        <v>2080</v>
      </c>
      <c r="B141" s="131" t="s">
        <v>2084</v>
      </c>
      <c r="C141" s="131" t="s">
        <v>2231</v>
      </c>
    </row>
    <row r="142" spans="1:3">
      <c r="A142" s="131" t="s">
        <v>2080</v>
      </c>
      <c r="B142" s="131" t="s">
        <v>2084</v>
      </c>
      <c r="C142" s="131" t="s">
        <v>2232</v>
      </c>
    </row>
    <row r="143" spans="1:3">
      <c r="A143" s="131" t="s">
        <v>2080</v>
      </c>
      <c r="B143" s="131" t="s">
        <v>2084</v>
      </c>
      <c r="C143" s="131" t="s">
        <v>2233</v>
      </c>
    </row>
    <row r="144" spans="1:3">
      <c r="A144" s="131" t="s">
        <v>2080</v>
      </c>
      <c r="B144" s="131" t="s">
        <v>2084</v>
      </c>
      <c r="C144" s="131" t="s">
        <v>2234</v>
      </c>
    </row>
    <row r="145" spans="1:3">
      <c r="A145" s="131" t="s">
        <v>2080</v>
      </c>
      <c r="B145" s="131" t="s">
        <v>2084</v>
      </c>
      <c r="C145" s="131" t="s">
        <v>2235</v>
      </c>
    </row>
    <row r="146" spans="1:3">
      <c r="A146" s="131" t="s">
        <v>2080</v>
      </c>
      <c r="B146" s="131" t="s">
        <v>2084</v>
      </c>
      <c r="C146" s="131" t="s">
        <v>2236</v>
      </c>
    </row>
    <row r="147" spans="1:3">
      <c r="A147" s="131" t="s">
        <v>2080</v>
      </c>
      <c r="B147" s="131" t="s">
        <v>2084</v>
      </c>
      <c r="C147" s="131" t="s">
        <v>2237</v>
      </c>
    </row>
    <row r="148" spans="1:3">
      <c r="A148" s="131" t="s">
        <v>2080</v>
      </c>
      <c r="B148" s="131" t="s">
        <v>2084</v>
      </c>
      <c r="C148" s="131" t="s">
        <v>2238</v>
      </c>
    </row>
    <row r="149" spans="1:3">
      <c r="A149" s="131" t="s">
        <v>2080</v>
      </c>
      <c r="B149" s="131" t="s">
        <v>2084</v>
      </c>
      <c r="C149" s="131" t="s">
        <v>2239</v>
      </c>
    </row>
    <row r="150" spans="1:3">
      <c r="A150" s="131" t="s">
        <v>2080</v>
      </c>
      <c r="B150" s="131" t="s">
        <v>2084</v>
      </c>
      <c r="C150" s="131" t="s">
        <v>2240</v>
      </c>
    </row>
    <row r="151" spans="1:3">
      <c r="A151" s="131" t="s">
        <v>2080</v>
      </c>
      <c r="B151" s="131" t="s">
        <v>2084</v>
      </c>
      <c r="C151" s="131" t="s">
        <v>2241</v>
      </c>
    </row>
    <row r="152" spans="1:3">
      <c r="A152" s="131" t="s">
        <v>2080</v>
      </c>
      <c r="B152" s="131" t="s">
        <v>2084</v>
      </c>
      <c r="C152" s="131" t="s">
        <v>2242</v>
      </c>
    </row>
    <row r="153" spans="1:3">
      <c r="A153" s="131" t="s">
        <v>2243</v>
      </c>
      <c r="B153" s="131" t="s">
        <v>2244</v>
      </c>
      <c r="C153" s="131" t="s">
        <v>2245</v>
      </c>
    </row>
    <row r="154" spans="1:3">
      <c r="A154" s="131" t="s">
        <v>2243</v>
      </c>
      <c r="B154" s="131" t="s">
        <v>2244</v>
      </c>
      <c r="C154" s="131" t="s">
        <v>2246</v>
      </c>
    </row>
    <row r="155" spans="1:3">
      <c r="A155" s="131" t="s">
        <v>2243</v>
      </c>
      <c r="B155" s="131" t="s">
        <v>2244</v>
      </c>
      <c r="C155" s="131" t="s">
        <v>2247</v>
      </c>
    </row>
    <row r="156" spans="1:3">
      <c r="A156" s="131" t="s">
        <v>2243</v>
      </c>
      <c r="B156" s="131" t="s">
        <v>2244</v>
      </c>
      <c r="C156" s="131" t="s">
        <v>2248</v>
      </c>
    </row>
    <row r="157" spans="1:3">
      <c r="A157" s="131" t="s">
        <v>2243</v>
      </c>
      <c r="B157" s="131" t="s">
        <v>2244</v>
      </c>
      <c r="C157" s="131" t="s">
        <v>2249</v>
      </c>
    </row>
    <row r="158" spans="1:3">
      <c r="A158" s="131" t="s">
        <v>2243</v>
      </c>
      <c r="B158" s="131" t="s">
        <v>2244</v>
      </c>
      <c r="C158" s="131" t="s">
        <v>2250</v>
      </c>
    </row>
    <row r="159" spans="1:3">
      <c r="A159" s="131" t="s">
        <v>2243</v>
      </c>
      <c r="B159" s="131" t="s">
        <v>2244</v>
      </c>
      <c r="C159" s="131" t="s">
        <v>2251</v>
      </c>
    </row>
    <row r="160" spans="1:3">
      <c r="A160" s="131" t="s">
        <v>2243</v>
      </c>
      <c r="B160" s="131" t="s">
        <v>2244</v>
      </c>
      <c r="C160" s="131" t="s">
        <v>2252</v>
      </c>
    </row>
    <row r="161" spans="1:3">
      <c r="A161" s="131" t="s">
        <v>2243</v>
      </c>
      <c r="B161" s="131" t="s">
        <v>2244</v>
      </c>
      <c r="C161" s="131" t="s">
        <v>2253</v>
      </c>
    </row>
    <row r="162" spans="1:3">
      <c r="A162" s="131" t="s">
        <v>2243</v>
      </c>
      <c r="B162" s="131" t="s">
        <v>2244</v>
      </c>
      <c r="C162" s="131" t="s">
        <v>2254</v>
      </c>
    </row>
    <row r="163" spans="1:3">
      <c r="A163" s="131" t="s">
        <v>2243</v>
      </c>
      <c r="B163" s="131" t="s">
        <v>2244</v>
      </c>
      <c r="C163" s="131" t="s">
        <v>2244</v>
      </c>
    </row>
    <row r="164" spans="1:3">
      <c r="A164" s="131" t="s">
        <v>2243</v>
      </c>
      <c r="B164" s="131" t="s">
        <v>2244</v>
      </c>
      <c r="C164" s="131" t="s">
        <v>2255</v>
      </c>
    </row>
    <row r="165" spans="1:3">
      <c r="A165" s="131" t="s">
        <v>2243</v>
      </c>
      <c r="B165" s="131" t="s">
        <v>2244</v>
      </c>
      <c r="C165" s="131" t="s">
        <v>2256</v>
      </c>
    </row>
    <row r="166" spans="1:3">
      <c r="A166" s="131" t="s">
        <v>2243</v>
      </c>
      <c r="B166" s="131" t="s">
        <v>2244</v>
      </c>
      <c r="C166" s="131" t="s">
        <v>2257</v>
      </c>
    </row>
    <row r="167" spans="1:3">
      <c r="A167" s="131" t="s">
        <v>2243</v>
      </c>
      <c r="B167" s="131" t="s">
        <v>2244</v>
      </c>
      <c r="C167" s="131" t="s">
        <v>2258</v>
      </c>
    </row>
    <row r="168" spans="1:3">
      <c r="A168" s="131" t="s">
        <v>2243</v>
      </c>
      <c r="B168" s="131" t="s">
        <v>2244</v>
      </c>
      <c r="C168" s="131" t="s">
        <v>2259</v>
      </c>
    </row>
    <row r="169" spans="1:3">
      <c r="A169" s="131" t="s">
        <v>2243</v>
      </c>
      <c r="B169" s="131" t="s">
        <v>2244</v>
      </c>
      <c r="C169" s="131" t="s">
        <v>2260</v>
      </c>
    </row>
    <row r="170" spans="1:3">
      <c r="A170" s="131" t="s">
        <v>2243</v>
      </c>
      <c r="B170" s="131" t="s">
        <v>2244</v>
      </c>
      <c r="C170" s="131" t="s">
        <v>2261</v>
      </c>
    </row>
    <row r="171" spans="1:3">
      <c r="A171" s="131" t="s">
        <v>2243</v>
      </c>
      <c r="B171" s="131" t="s">
        <v>2244</v>
      </c>
      <c r="C171" s="131" t="s">
        <v>2262</v>
      </c>
    </row>
    <row r="172" spans="1:3">
      <c r="A172" s="131" t="s">
        <v>2243</v>
      </c>
      <c r="B172" s="131" t="s">
        <v>2243</v>
      </c>
      <c r="C172" s="131" t="s">
        <v>2243</v>
      </c>
    </row>
    <row r="173" spans="1:3">
      <c r="A173" s="131" t="s">
        <v>2077</v>
      </c>
      <c r="B173" s="131" t="s">
        <v>2078</v>
      </c>
      <c r="C173" s="131" t="s">
        <v>2078</v>
      </c>
    </row>
    <row r="174" spans="1:3">
      <c r="A174" s="131" t="s">
        <v>2077</v>
      </c>
      <c r="B174" s="131" t="s">
        <v>2079</v>
      </c>
      <c r="C174" s="131" t="s">
        <v>2263</v>
      </c>
    </row>
    <row r="175" spans="1:3">
      <c r="A175" s="131" t="s">
        <v>2077</v>
      </c>
      <c r="B175" s="131" t="s">
        <v>2079</v>
      </c>
      <c r="C175" s="131" t="s">
        <v>2264</v>
      </c>
    </row>
    <row r="176" spans="1:3">
      <c r="A176" s="131" t="s">
        <v>2077</v>
      </c>
      <c r="B176" s="131" t="s">
        <v>2079</v>
      </c>
      <c r="C176" s="131" t="s">
        <v>2265</v>
      </c>
    </row>
    <row r="177" spans="1:3">
      <c r="A177" s="131" t="s">
        <v>2077</v>
      </c>
      <c r="B177" s="131" t="s">
        <v>2079</v>
      </c>
      <c r="C177" s="131" t="s">
        <v>2266</v>
      </c>
    </row>
    <row r="178" spans="1:3">
      <c r="A178" s="131" t="s">
        <v>2073</v>
      </c>
      <c r="B178" s="131" t="s">
        <v>2073</v>
      </c>
      <c r="C178" s="131" t="s">
        <v>2073</v>
      </c>
    </row>
    <row r="179" spans="1:3">
      <c r="A179" s="131" t="s">
        <v>2066</v>
      </c>
      <c r="B179" s="131" t="s">
        <v>2068</v>
      </c>
      <c r="C179" s="131" t="s">
        <v>2068</v>
      </c>
    </row>
    <row r="180" spans="1:3">
      <c r="A180" s="131" t="s">
        <v>2066</v>
      </c>
      <c r="B180" s="131" t="s">
        <v>2267</v>
      </c>
      <c r="C180" s="131" t="s">
        <v>2267</v>
      </c>
    </row>
    <row r="181" spans="1:3">
      <c r="A181" s="131" t="s">
        <v>2066</v>
      </c>
      <c r="B181" s="131" t="s">
        <v>2069</v>
      </c>
      <c r="C181" s="131" t="s">
        <v>2268</v>
      </c>
    </row>
    <row r="182" spans="1:3">
      <c r="A182" s="131" t="s">
        <v>2066</v>
      </c>
      <c r="B182" s="131" t="s">
        <v>2069</v>
      </c>
      <c r="C182" s="131" t="s">
        <v>2269</v>
      </c>
    </row>
    <row r="183" spans="1:3">
      <c r="A183" s="131" t="s">
        <v>2066</v>
      </c>
      <c r="B183" s="131" t="s">
        <v>2069</v>
      </c>
      <c r="C183" s="131" t="s">
        <v>2270</v>
      </c>
    </row>
    <row r="184" spans="1:3">
      <c r="A184" s="131" t="s">
        <v>2066</v>
      </c>
      <c r="B184" s="131" t="s">
        <v>2069</v>
      </c>
      <c r="C184" s="131" t="s">
        <v>2271</v>
      </c>
    </row>
    <row r="185" spans="1:3">
      <c r="A185" s="131" t="s">
        <v>2066</v>
      </c>
      <c r="B185" s="131" t="s">
        <v>2069</v>
      </c>
      <c r="C185" s="131" t="s">
        <v>2272</v>
      </c>
    </row>
    <row r="186" spans="1:3">
      <c r="A186" s="131" t="s">
        <v>2066</v>
      </c>
      <c r="B186" s="131" t="s">
        <v>2069</v>
      </c>
      <c r="C186" s="131" t="s">
        <v>2273</v>
      </c>
    </row>
    <row r="187" spans="1:3">
      <c r="A187" s="131" t="s">
        <v>2066</v>
      </c>
      <c r="B187" s="131" t="s">
        <v>2069</v>
      </c>
      <c r="C187" s="131" t="s">
        <v>2274</v>
      </c>
    </row>
    <row r="188" spans="1:3">
      <c r="A188" s="131" t="s">
        <v>2066</v>
      </c>
      <c r="B188" s="131" t="s">
        <v>2069</v>
      </c>
      <c r="C188" s="131" t="s">
        <v>2275</v>
      </c>
    </row>
    <row r="189" spans="1:3">
      <c r="A189" s="131" t="s">
        <v>2066</v>
      </c>
      <c r="B189" s="131" t="s">
        <v>2069</v>
      </c>
      <c r="C189" s="131" t="s">
        <v>2276</v>
      </c>
    </row>
    <row r="190" spans="1:3">
      <c r="A190" s="131" t="s">
        <v>2066</v>
      </c>
      <c r="B190" s="131" t="s">
        <v>2069</v>
      </c>
      <c r="C190" s="131" t="s">
        <v>2277</v>
      </c>
    </row>
    <row r="191" spans="1:3">
      <c r="A191" s="131" t="s">
        <v>2066</v>
      </c>
      <c r="B191" s="131" t="s">
        <v>2069</v>
      </c>
      <c r="C191" s="131" t="s">
        <v>2278</v>
      </c>
    </row>
    <row r="192" spans="1:3">
      <c r="A192" s="131" t="s">
        <v>2066</v>
      </c>
      <c r="B192" s="131" t="s">
        <v>2069</v>
      </c>
      <c r="C192" s="131" t="s">
        <v>2279</v>
      </c>
    </row>
    <row r="193" spans="1:3">
      <c r="A193" s="131" t="s">
        <v>2066</v>
      </c>
      <c r="B193" s="131" t="s">
        <v>2069</v>
      </c>
      <c r="C193" s="131" t="s">
        <v>2280</v>
      </c>
    </row>
    <row r="194" spans="1:3">
      <c r="A194" s="131" t="s">
        <v>2066</v>
      </c>
      <c r="B194" s="131" t="s">
        <v>2069</v>
      </c>
      <c r="C194" s="131" t="s">
        <v>2281</v>
      </c>
    </row>
    <row r="195" spans="1:3">
      <c r="A195" s="131" t="s">
        <v>2066</v>
      </c>
      <c r="B195" s="131" t="s">
        <v>2069</v>
      </c>
      <c r="C195" s="131" t="s">
        <v>2282</v>
      </c>
    </row>
    <row r="196" spans="1:3">
      <c r="A196" s="131" t="s">
        <v>2066</v>
      </c>
      <c r="B196" s="131" t="s">
        <v>2069</v>
      </c>
      <c r="C196" s="131" t="s">
        <v>2283</v>
      </c>
    </row>
    <row r="197" spans="1:3">
      <c r="A197" s="131" t="s">
        <v>2066</v>
      </c>
      <c r="B197" s="131" t="s">
        <v>2069</v>
      </c>
      <c r="C197" s="131" t="s">
        <v>2284</v>
      </c>
    </row>
    <row r="198" spans="1:3">
      <c r="A198" s="131" t="s">
        <v>2066</v>
      </c>
      <c r="B198" s="131" t="s">
        <v>2069</v>
      </c>
      <c r="C198" s="131" t="s">
        <v>2285</v>
      </c>
    </row>
    <row r="199" spans="1:3">
      <c r="A199" s="131" t="s">
        <v>2066</v>
      </c>
      <c r="B199" s="131" t="s">
        <v>2069</v>
      </c>
      <c r="C199" s="131" t="s">
        <v>2286</v>
      </c>
    </row>
    <row r="200" spans="1:3">
      <c r="A200" s="131" t="s">
        <v>2066</v>
      </c>
      <c r="B200" s="131" t="s">
        <v>2069</v>
      </c>
      <c r="C200" s="131" t="s">
        <v>2287</v>
      </c>
    </row>
    <row r="201" spans="1:3">
      <c r="A201" s="131" t="s">
        <v>2066</v>
      </c>
      <c r="B201" s="131" t="s">
        <v>2069</v>
      </c>
      <c r="C201" s="131" t="s">
        <v>2288</v>
      </c>
    </row>
    <row r="202" spans="1:3">
      <c r="A202" s="131" t="s">
        <v>2066</v>
      </c>
      <c r="B202" s="131" t="s">
        <v>2069</v>
      </c>
      <c r="C202" s="131" t="s">
        <v>2289</v>
      </c>
    </row>
    <row r="203" spans="1:3">
      <c r="A203" s="131" t="s">
        <v>2066</v>
      </c>
      <c r="B203" s="131" t="s">
        <v>2069</v>
      </c>
      <c r="C203" s="131" t="s">
        <v>2290</v>
      </c>
    </row>
    <row r="204" spans="1:3">
      <c r="A204" s="131" t="s">
        <v>2066</v>
      </c>
      <c r="B204" s="131" t="s">
        <v>2069</v>
      </c>
      <c r="C204" s="131" t="s">
        <v>2291</v>
      </c>
    </row>
    <row r="205" spans="1:3">
      <c r="A205" s="131" t="s">
        <v>2066</v>
      </c>
      <c r="B205" s="131" t="s">
        <v>2069</v>
      </c>
      <c r="C205" s="131" t="s">
        <v>2292</v>
      </c>
    </row>
    <row r="206" spans="1:3">
      <c r="A206" s="131" t="s">
        <v>2066</v>
      </c>
      <c r="B206" s="131" t="s">
        <v>2070</v>
      </c>
      <c r="C206" s="131" t="s">
        <v>2293</v>
      </c>
    </row>
    <row r="207" spans="1:3">
      <c r="A207" s="131" t="s">
        <v>2066</v>
      </c>
      <c r="B207" s="131" t="s">
        <v>2070</v>
      </c>
      <c r="C207" s="131" t="s">
        <v>2294</v>
      </c>
    </row>
    <row r="208" spans="1:3">
      <c r="A208" s="131" t="s">
        <v>2066</v>
      </c>
      <c r="B208" s="131" t="s">
        <v>2070</v>
      </c>
      <c r="C208" s="131" t="s">
        <v>2295</v>
      </c>
    </row>
    <row r="209" spans="1:3">
      <c r="A209" s="131" t="s">
        <v>2066</v>
      </c>
      <c r="B209" s="131" t="s">
        <v>2070</v>
      </c>
      <c r="C209" s="131" t="s">
        <v>2296</v>
      </c>
    </row>
    <row r="210" spans="1:3">
      <c r="A210" s="131" t="s">
        <v>2066</v>
      </c>
      <c r="B210" s="131" t="s">
        <v>2070</v>
      </c>
      <c r="C210" s="131" t="s">
        <v>2297</v>
      </c>
    </row>
    <row r="211" spans="1:3">
      <c r="A211" s="131" t="s">
        <v>2066</v>
      </c>
      <c r="B211" s="131" t="s">
        <v>2298</v>
      </c>
      <c r="C211" s="131" t="s">
        <v>2299</v>
      </c>
    </row>
    <row r="212" spans="1:3">
      <c r="A212" s="131" t="s">
        <v>2066</v>
      </c>
      <c r="B212" s="131" t="s">
        <v>2298</v>
      </c>
      <c r="C212" s="131" t="s">
        <v>2300</v>
      </c>
    </row>
    <row r="213" spans="1:3">
      <c r="A213" s="131" t="s">
        <v>2066</v>
      </c>
      <c r="B213" s="131" t="s">
        <v>2298</v>
      </c>
      <c r="C213" s="131" t="s">
        <v>2301</v>
      </c>
    </row>
    <row r="214" spans="1:3">
      <c r="A214" s="131" t="s">
        <v>2066</v>
      </c>
      <c r="B214" s="131" t="s">
        <v>2067</v>
      </c>
      <c r="C214" s="131" t="s">
        <v>2067</v>
      </c>
    </row>
    <row r="215" spans="1:3">
      <c r="A215" s="131" t="s">
        <v>2063</v>
      </c>
      <c r="B215" s="131" t="s">
        <v>2065</v>
      </c>
      <c r="C215" s="131" t="s">
        <v>2065</v>
      </c>
    </row>
    <row r="216" spans="1:3">
      <c r="A216" s="131" t="s">
        <v>2063</v>
      </c>
      <c r="B216" s="131" t="s">
        <v>2064</v>
      </c>
      <c r="C216" s="131" t="s">
        <v>2064</v>
      </c>
    </row>
    <row r="217" spans="1:3">
      <c r="A217" s="131" t="s">
        <v>2063</v>
      </c>
      <c r="B217" s="131" t="s">
        <v>2302</v>
      </c>
      <c r="C217" s="131" t="s">
        <v>2302</v>
      </c>
    </row>
  </sheetData>
  <phoneticPr fontId="17" type="noConversion"/>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C8E92B-4986-429D-B346-9D7C22309F9F}">
  <dimension ref="A1:S101"/>
  <sheetViews>
    <sheetView zoomScale="85" zoomScaleNormal="85" workbookViewId="0">
      <pane xSplit="3" ySplit="2" topLeftCell="D65" activePane="bottomRight" state="frozen"/>
      <selection pane="topRight" activeCell="D1" sqref="D1"/>
      <selection pane="bottomLeft" activeCell="A3" sqref="A3"/>
      <selection pane="bottomRight" activeCell="E105" sqref="E105"/>
    </sheetView>
  </sheetViews>
  <sheetFormatPr defaultColWidth="94.7890625" defaultRowHeight="14.4"/>
  <cols>
    <col min="1" max="1" width="33.3671875" style="104" customWidth="1"/>
    <col min="2" max="2" width="18.15625" style="104" bestFit="1" customWidth="1"/>
    <col min="3" max="3" width="17.47265625" style="104" customWidth="1"/>
    <col min="4" max="4" width="71.15625" style="104" bestFit="1" customWidth="1"/>
    <col min="5" max="5" width="67" style="104" bestFit="1" customWidth="1"/>
    <col min="6" max="6" width="71.15625" style="104" customWidth="1"/>
    <col min="7" max="7" width="71.15625" style="249" customWidth="1"/>
    <col min="8" max="8" width="73.62890625" style="104" customWidth="1"/>
    <col min="9" max="9" width="66.47265625" style="104" bestFit="1" customWidth="1"/>
    <col min="10" max="10" width="66.26171875" style="104" bestFit="1" customWidth="1"/>
    <col min="11" max="11" width="66.5234375" style="104" bestFit="1" customWidth="1"/>
    <col min="12" max="12" width="68.15625" style="74" bestFit="1" customWidth="1"/>
    <col min="13" max="13" width="67" style="74" bestFit="1" customWidth="1"/>
    <col min="14" max="14" width="69.15625" style="74" bestFit="1" customWidth="1"/>
    <col min="15" max="15" width="69.26171875" style="104" bestFit="1" customWidth="1"/>
    <col min="16" max="16" width="68.47265625" style="104" bestFit="1" customWidth="1"/>
    <col min="17" max="17" width="66.734375" style="104" bestFit="1" customWidth="1"/>
    <col min="18" max="18" width="68.7890625" style="104" bestFit="1" customWidth="1"/>
    <col min="19" max="19" width="68.5234375" style="104" bestFit="1" customWidth="1"/>
  </cols>
  <sheetData>
    <row r="1" spans="1:19">
      <c r="A1"/>
      <c r="B1"/>
      <c r="C1"/>
      <c r="D1" s="313" t="s">
        <v>1084</v>
      </c>
      <c r="E1" s="313"/>
      <c r="F1" s="313"/>
      <c r="G1" s="313"/>
      <c r="H1" s="313"/>
      <c r="I1" s="313"/>
      <c r="J1" s="313"/>
      <c r="K1" s="313"/>
      <c r="L1" s="313"/>
      <c r="M1" s="313"/>
      <c r="N1" s="313"/>
      <c r="O1" s="313"/>
      <c r="P1" s="313"/>
      <c r="Q1" s="313"/>
      <c r="R1" s="313"/>
      <c r="S1" s="313"/>
    </row>
    <row r="2" spans="1:19">
      <c r="A2" s="100" t="s">
        <v>1003</v>
      </c>
      <c r="B2" s="100" t="s">
        <v>1004</v>
      </c>
      <c r="C2" s="100" t="s">
        <v>1009</v>
      </c>
      <c r="D2" s="100" t="s">
        <v>1591</v>
      </c>
      <c r="E2" s="100" t="s">
        <v>1005</v>
      </c>
      <c r="F2" s="100" t="s">
        <v>2865</v>
      </c>
      <c r="G2" s="248" t="s">
        <v>2864</v>
      </c>
      <c r="H2" s="100" t="s">
        <v>1014</v>
      </c>
      <c r="I2" s="100" t="s">
        <v>1013</v>
      </c>
      <c r="J2" s="100" t="s">
        <v>1006</v>
      </c>
      <c r="K2" s="100" t="s">
        <v>1007</v>
      </c>
      <c r="L2" s="100" t="s">
        <v>1495</v>
      </c>
      <c r="M2" s="100" t="s">
        <v>1016</v>
      </c>
      <c r="N2" s="100" t="s">
        <v>1008</v>
      </c>
      <c r="O2" s="100" t="s">
        <v>1023</v>
      </c>
      <c r="P2" s="100" t="s">
        <v>1027</v>
      </c>
      <c r="Q2" s="100" t="s">
        <v>1010</v>
      </c>
      <c r="R2" s="100" t="s">
        <v>1092</v>
      </c>
      <c r="S2" s="100" t="s">
        <v>1095</v>
      </c>
    </row>
    <row r="3" spans="1:19">
      <c r="A3" s="104" t="s">
        <v>1011</v>
      </c>
      <c r="B3" s="104" t="s">
        <v>1026</v>
      </c>
      <c r="C3" s="104" t="s">
        <v>1012</v>
      </c>
      <c r="D3" s="104" t="s">
        <v>81</v>
      </c>
      <c r="E3" s="104" t="s">
        <v>1019</v>
      </c>
      <c r="H3" s="104" t="s">
        <v>1015</v>
      </c>
      <c r="I3" s="104" t="s">
        <v>1018</v>
      </c>
      <c r="J3" s="104" t="s">
        <v>1020</v>
      </c>
      <c r="K3" s="101" t="s">
        <v>1022</v>
      </c>
      <c r="L3" s="74" t="s">
        <v>1021</v>
      </c>
      <c r="M3" s="74" t="s">
        <v>1017</v>
      </c>
      <c r="N3" s="74" t="s">
        <v>1025</v>
      </c>
      <c r="O3" s="104" t="s">
        <v>1024</v>
      </c>
      <c r="P3" s="104" t="s">
        <v>1028</v>
      </c>
      <c r="Q3" s="104" t="s">
        <v>1029</v>
      </c>
      <c r="R3" s="74" t="s">
        <v>81</v>
      </c>
      <c r="S3" s="74" t="s">
        <v>81</v>
      </c>
    </row>
    <row r="4" spans="1:19">
      <c r="A4" s="104" t="s">
        <v>1086</v>
      </c>
      <c r="B4" s="104" t="s">
        <v>1087</v>
      </c>
      <c r="C4" s="104" t="s">
        <v>1088</v>
      </c>
      <c r="D4" s="104" t="s">
        <v>81</v>
      </c>
      <c r="E4" s="74" t="s">
        <v>1098</v>
      </c>
      <c r="H4" s="104" t="s">
        <v>1093</v>
      </c>
      <c r="I4" s="104" t="s">
        <v>1097</v>
      </c>
      <c r="J4" s="104" t="s">
        <v>1099</v>
      </c>
      <c r="K4" s="104" t="s">
        <v>1103</v>
      </c>
      <c r="L4" s="74" t="s">
        <v>1100</v>
      </c>
      <c r="M4" s="74" t="s">
        <v>1094</v>
      </c>
      <c r="N4" s="74" t="s">
        <v>1102</v>
      </c>
      <c r="O4" s="74" t="s">
        <v>1101</v>
      </c>
      <c r="P4" s="74" t="s">
        <v>1090</v>
      </c>
      <c r="Q4" s="114" t="s">
        <v>1089</v>
      </c>
      <c r="R4" s="104" t="s">
        <v>1091</v>
      </c>
      <c r="S4" s="104" t="s">
        <v>1096</v>
      </c>
    </row>
    <row r="5" spans="1:19" ht="28.5" customHeight="1">
      <c r="A5" s="74" t="s">
        <v>1402</v>
      </c>
      <c r="B5" s="74" t="s">
        <v>1427</v>
      </c>
      <c r="C5" s="74" t="s">
        <v>1427</v>
      </c>
      <c r="D5" s="104" t="s">
        <v>81</v>
      </c>
      <c r="E5" s="104" t="s">
        <v>1428</v>
      </c>
      <c r="H5" s="104" t="s">
        <v>1429</v>
      </c>
      <c r="I5" s="104" t="s">
        <v>1430</v>
      </c>
      <c r="J5" s="104" t="s">
        <v>1431</v>
      </c>
      <c r="K5" s="105" t="s">
        <v>1432</v>
      </c>
      <c r="L5" s="74" t="s">
        <v>1435</v>
      </c>
      <c r="M5" s="74" t="s">
        <v>1434</v>
      </c>
      <c r="N5" s="74" t="s">
        <v>1433</v>
      </c>
      <c r="O5" s="74" t="s">
        <v>1436</v>
      </c>
      <c r="P5" s="74" t="s">
        <v>1498</v>
      </c>
      <c r="Q5" s="74" t="s">
        <v>1498</v>
      </c>
      <c r="R5" s="104" t="s">
        <v>1437</v>
      </c>
      <c r="S5" s="101" t="s">
        <v>1438</v>
      </c>
    </row>
    <row r="6" spans="1:19" ht="28.5" customHeight="1">
      <c r="A6" s="74" t="s">
        <v>1400</v>
      </c>
      <c r="B6" s="74" t="s">
        <v>1427</v>
      </c>
      <c r="C6" s="74" t="s">
        <v>1427</v>
      </c>
      <c r="D6" s="104" t="s">
        <v>81</v>
      </c>
      <c r="E6" s="104" t="s">
        <v>1450</v>
      </c>
      <c r="H6" s="104" t="s">
        <v>1451</v>
      </c>
      <c r="I6" s="104" t="s">
        <v>1452</v>
      </c>
      <c r="J6" s="104" t="s">
        <v>1453</v>
      </c>
      <c r="K6" s="105" t="s">
        <v>1454</v>
      </c>
      <c r="L6" s="74" t="s">
        <v>1455</v>
      </c>
      <c r="M6" s="74" t="s">
        <v>1456</v>
      </c>
      <c r="N6" s="74" t="s">
        <v>1457</v>
      </c>
      <c r="O6" s="74" t="s">
        <v>1458</v>
      </c>
      <c r="P6" s="74" t="s">
        <v>1498</v>
      </c>
      <c r="Q6" s="74" t="s">
        <v>1498</v>
      </c>
      <c r="R6" s="104" t="s">
        <v>1459</v>
      </c>
      <c r="S6" s="104" t="s">
        <v>1460</v>
      </c>
    </row>
    <row r="7" spans="1:19" ht="28.5" customHeight="1">
      <c r="A7" s="74" t="s">
        <v>1415</v>
      </c>
      <c r="B7" s="74" t="s">
        <v>1427</v>
      </c>
      <c r="C7" s="74" t="s">
        <v>1427</v>
      </c>
      <c r="D7" s="104" t="s">
        <v>81</v>
      </c>
      <c r="E7" s="104" t="s">
        <v>1439</v>
      </c>
      <c r="H7" s="104" t="s">
        <v>1440</v>
      </c>
      <c r="I7" s="104" t="s">
        <v>1441</v>
      </c>
      <c r="J7" s="104" t="s">
        <v>1442</v>
      </c>
      <c r="K7" s="105" t="s">
        <v>1443</v>
      </c>
      <c r="L7" s="74" t="s">
        <v>1444</v>
      </c>
      <c r="M7" s="74" t="s">
        <v>1445</v>
      </c>
      <c r="N7" s="74" t="s">
        <v>1446</v>
      </c>
      <c r="O7" s="74" t="s">
        <v>1447</v>
      </c>
      <c r="P7" s="74" t="s">
        <v>1498</v>
      </c>
      <c r="Q7" s="74" t="s">
        <v>1498</v>
      </c>
      <c r="R7" s="104" t="s">
        <v>1448</v>
      </c>
      <c r="S7" s="104" t="s">
        <v>1449</v>
      </c>
    </row>
    <row r="8" spans="1:19" ht="28.5" customHeight="1">
      <c r="A8" s="74" t="s">
        <v>1403</v>
      </c>
      <c r="B8" s="104" t="s">
        <v>1087</v>
      </c>
      <c r="C8" s="104" t="s">
        <v>1088</v>
      </c>
      <c r="D8" s="104" t="s">
        <v>81</v>
      </c>
      <c r="E8" s="104" t="s">
        <v>1404</v>
      </c>
      <c r="H8" s="104" t="s">
        <v>1405</v>
      </c>
      <c r="I8" s="104" t="s">
        <v>1406</v>
      </c>
      <c r="J8" s="104" t="s">
        <v>1407</v>
      </c>
      <c r="K8" s="105" t="s">
        <v>1408</v>
      </c>
      <c r="L8" s="74" t="s">
        <v>1494</v>
      </c>
      <c r="M8" s="74" t="s">
        <v>1409</v>
      </c>
      <c r="N8" s="74" t="s">
        <v>1410</v>
      </c>
      <c r="O8" s="74" t="s">
        <v>1411</v>
      </c>
      <c r="P8" s="74" t="s">
        <v>1497</v>
      </c>
      <c r="Q8" s="114" t="s">
        <v>1496</v>
      </c>
      <c r="R8" s="104" t="s">
        <v>1412</v>
      </c>
      <c r="S8" s="104" t="s">
        <v>1413</v>
      </c>
    </row>
    <row r="9" spans="1:19" s="68" customFormat="1" ht="56.25" customHeight="1">
      <c r="A9" s="74" t="s">
        <v>1414</v>
      </c>
      <c r="B9" s="74" t="s">
        <v>1087</v>
      </c>
      <c r="C9" s="74" t="s">
        <v>1088</v>
      </c>
      <c r="D9" s="104" t="s">
        <v>81</v>
      </c>
      <c r="E9" s="73" t="s">
        <v>1519</v>
      </c>
      <c r="F9" s="104"/>
      <c r="G9" s="249"/>
      <c r="H9" s="73" t="s">
        <v>1520</v>
      </c>
      <c r="I9" s="73" t="s">
        <v>1521</v>
      </c>
      <c r="J9" s="73" t="s">
        <v>1522</v>
      </c>
      <c r="K9" s="73" t="s">
        <v>1523</v>
      </c>
      <c r="L9" s="73" t="s">
        <v>1524</v>
      </c>
      <c r="M9" s="73" t="s">
        <v>1525</v>
      </c>
      <c r="N9" s="116" t="s">
        <v>1526</v>
      </c>
      <c r="O9" s="73" t="s">
        <v>1527</v>
      </c>
      <c r="P9" s="74" t="s">
        <v>1497</v>
      </c>
      <c r="Q9" s="114" t="s">
        <v>1496</v>
      </c>
      <c r="R9" s="73" t="s">
        <v>1528</v>
      </c>
      <c r="S9" s="73" t="s">
        <v>1529</v>
      </c>
    </row>
    <row r="10" spans="1:19" s="68" customFormat="1" ht="56.25" customHeight="1">
      <c r="A10" s="73" t="s">
        <v>1553</v>
      </c>
      <c r="B10" s="74" t="s">
        <v>1087</v>
      </c>
      <c r="C10" s="74" t="s">
        <v>1088</v>
      </c>
      <c r="D10" s="104" t="s">
        <v>81</v>
      </c>
      <c r="E10" s="73" t="s">
        <v>1540</v>
      </c>
      <c r="F10" s="104"/>
      <c r="G10" s="249"/>
      <c r="H10" s="73" t="s">
        <v>1539</v>
      </c>
      <c r="I10" s="73" t="s">
        <v>1538</v>
      </c>
      <c r="J10" s="73" t="s">
        <v>1537</v>
      </c>
      <c r="K10" s="73" t="s">
        <v>1536</v>
      </c>
      <c r="L10" s="73" t="s">
        <v>1535</v>
      </c>
      <c r="M10" s="73" t="s">
        <v>1534</v>
      </c>
      <c r="N10" s="116" t="s">
        <v>1533</v>
      </c>
      <c r="O10" s="73" t="s">
        <v>1532</v>
      </c>
      <c r="P10" s="74" t="s">
        <v>1497</v>
      </c>
      <c r="Q10" s="114" t="s">
        <v>1496</v>
      </c>
      <c r="R10" s="73" t="s">
        <v>1531</v>
      </c>
      <c r="S10" s="73" t="s">
        <v>1530</v>
      </c>
    </row>
    <row r="11" spans="1:19" ht="28.5" customHeight="1">
      <c r="A11" s="74" t="s">
        <v>1518</v>
      </c>
      <c r="B11" s="104" t="s">
        <v>1087</v>
      </c>
      <c r="C11" s="104" t="s">
        <v>1088</v>
      </c>
      <c r="D11" s="104" t="s">
        <v>81</v>
      </c>
      <c r="E11" s="104" t="s">
        <v>1542</v>
      </c>
      <c r="H11" s="104" t="s">
        <v>1543</v>
      </c>
      <c r="I11" s="104" t="s">
        <v>1544</v>
      </c>
      <c r="J11" s="104" t="s">
        <v>1545</v>
      </c>
      <c r="K11" s="105" t="s">
        <v>1546</v>
      </c>
      <c r="L11" s="74" t="s">
        <v>1547</v>
      </c>
      <c r="M11" s="74" t="s">
        <v>1548</v>
      </c>
      <c r="N11" s="114" t="s">
        <v>1549</v>
      </c>
      <c r="O11" s="74" t="s">
        <v>1550</v>
      </c>
      <c r="P11" s="74" t="s">
        <v>1497</v>
      </c>
      <c r="Q11" s="114" t="s">
        <v>1496</v>
      </c>
      <c r="R11" s="104" t="s">
        <v>1551</v>
      </c>
      <c r="S11" s="104" t="s">
        <v>1552</v>
      </c>
    </row>
    <row r="12" spans="1:19" ht="42.75" customHeight="1">
      <c r="A12" s="73" t="s">
        <v>1541</v>
      </c>
      <c r="B12" s="104" t="s">
        <v>1087</v>
      </c>
      <c r="C12" s="104" t="s">
        <v>1088</v>
      </c>
      <c r="D12" s="104" t="s">
        <v>81</v>
      </c>
      <c r="E12" s="104" t="s">
        <v>1507</v>
      </c>
      <c r="H12" s="104" t="s">
        <v>1508</v>
      </c>
      <c r="I12" s="104" t="s">
        <v>1509</v>
      </c>
      <c r="J12" s="104" t="s">
        <v>1510</v>
      </c>
      <c r="K12" s="105" t="s">
        <v>1511</v>
      </c>
      <c r="L12" s="74" t="s">
        <v>1512</v>
      </c>
      <c r="M12" s="74" t="s">
        <v>1513</v>
      </c>
      <c r="N12" s="114" t="s">
        <v>1514</v>
      </c>
      <c r="O12" s="74" t="s">
        <v>1515</v>
      </c>
      <c r="P12" s="74" t="s">
        <v>1497</v>
      </c>
      <c r="Q12" s="114" t="s">
        <v>1496</v>
      </c>
      <c r="R12" s="104" t="s">
        <v>1516</v>
      </c>
      <c r="S12" s="104" t="s">
        <v>1517</v>
      </c>
    </row>
    <row r="13" spans="1:19" ht="28.5" customHeight="1">
      <c r="A13" s="74" t="s">
        <v>1378</v>
      </c>
      <c r="B13" s="104" t="s">
        <v>1087</v>
      </c>
      <c r="C13" s="104" t="s">
        <v>1088</v>
      </c>
      <c r="D13" s="104" t="s">
        <v>81</v>
      </c>
      <c r="E13" s="104" t="s">
        <v>1471</v>
      </c>
      <c r="H13" s="104" t="s">
        <v>1470</v>
      </c>
      <c r="I13" s="104" t="s">
        <v>1469</v>
      </c>
      <c r="J13" s="104" t="s">
        <v>1468</v>
      </c>
      <c r="K13" s="105" t="s">
        <v>1467</v>
      </c>
      <c r="L13" s="74" t="s">
        <v>1466</v>
      </c>
      <c r="M13" s="74" t="s">
        <v>1465</v>
      </c>
      <c r="N13" s="74" t="s">
        <v>1464</v>
      </c>
      <c r="O13" s="104" t="s">
        <v>1463</v>
      </c>
      <c r="P13" s="74" t="s">
        <v>1497</v>
      </c>
      <c r="Q13" s="114" t="s">
        <v>1496</v>
      </c>
      <c r="R13" s="104" t="s">
        <v>1461</v>
      </c>
      <c r="S13" s="104" t="s">
        <v>1462</v>
      </c>
    </row>
    <row r="14" spans="1:19" ht="28.5" customHeight="1">
      <c r="A14" s="74" t="s">
        <v>1379</v>
      </c>
      <c r="B14" s="104" t="s">
        <v>1087</v>
      </c>
      <c r="C14" s="104" t="s">
        <v>1088</v>
      </c>
      <c r="D14" s="104" t="s">
        <v>81</v>
      </c>
      <c r="E14" s="104" t="s">
        <v>1473</v>
      </c>
      <c r="H14" s="104" t="s">
        <v>1472</v>
      </c>
      <c r="I14" s="104" t="s">
        <v>1474</v>
      </c>
      <c r="J14" s="104" t="s">
        <v>1475</v>
      </c>
      <c r="K14" s="105" t="s">
        <v>1476</v>
      </c>
      <c r="L14" s="74" t="s">
        <v>1477</v>
      </c>
      <c r="M14" s="74" t="s">
        <v>1478</v>
      </c>
      <c r="N14" s="74" t="s">
        <v>1479</v>
      </c>
      <c r="O14" s="104" t="s">
        <v>1480</v>
      </c>
      <c r="P14" s="74" t="s">
        <v>1497</v>
      </c>
      <c r="Q14" s="114" t="s">
        <v>1496</v>
      </c>
      <c r="R14" s="104" t="s">
        <v>1481</v>
      </c>
      <c r="S14" s="104" t="s">
        <v>1482</v>
      </c>
    </row>
    <row r="15" spans="1:19" ht="20.25" customHeight="1">
      <c r="A15" s="74" t="s">
        <v>1377</v>
      </c>
      <c r="B15" s="104" t="s">
        <v>1087</v>
      </c>
      <c r="C15" s="104" t="s">
        <v>1088</v>
      </c>
      <c r="D15" s="104" t="s">
        <v>81</v>
      </c>
      <c r="E15" s="74" t="s">
        <v>1417</v>
      </c>
      <c r="H15" s="74" t="s">
        <v>1418</v>
      </c>
      <c r="I15" s="74" t="s">
        <v>1419</v>
      </c>
      <c r="J15" s="74" t="s">
        <v>1420</v>
      </c>
      <c r="K15" s="74" t="s">
        <v>1421</v>
      </c>
      <c r="L15" s="74" t="s">
        <v>1422</v>
      </c>
      <c r="M15" s="74" t="s">
        <v>1423</v>
      </c>
      <c r="N15" s="74" t="s">
        <v>1424</v>
      </c>
      <c r="O15" s="74" t="s">
        <v>1425</v>
      </c>
      <c r="P15" s="74" t="s">
        <v>1497</v>
      </c>
      <c r="Q15" s="114" t="s">
        <v>1496</v>
      </c>
      <c r="R15" s="104" t="s">
        <v>1416</v>
      </c>
      <c r="S15" s="104" t="s">
        <v>1426</v>
      </c>
    </row>
    <row r="16" spans="1:19" ht="28.5" customHeight="1">
      <c r="A16" s="74" t="s">
        <v>1380</v>
      </c>
      <c r="B16" s="104" t="s">
        <v>1087</v>
      </c>
      <c r="C16" s="104" t="s">
        <v>1088</v>
      </c>
      <c r="D16" s="104" t="s">
        <v>81</v>
      </c>
      <c r="E16" s="104" t="s">
        <v>1483</v>
      </c>
      <c r="H16" s="104" t="s">
        <v>1484</v>
      </c>
      <c r="I16" s="104" t="s">
        <v>1485</v>
      </c>
      <c r="J16" s="104" t="s">
        <v>1486</v>
      </c>
      <c r="K16" s="105" t="s">
        <v>1487</v>
      </c>
      <c r="L16" s="74" t="s">
        <v>1488</v>
      </c>
      <c r="M16" s="74" t="s">
        <v>1489</v>
      </c>
      <c r="N16" s="74" t="s">
        <v>1490</v>
      </c>
      <c r="O16" s="104" t="s">
        <v>1491</v>
      </c>
      <c r="P16" s="74" t="s">
        <v>1497</v>
      </c>
      <c r="Q16" s="114" t="s">
        <v>1496</v>
      </c>
      <c r="R16" s="104" t="s">
        <v>1492</v>
      </c>
      <c r="S16" s="104" t="s">
        <v>1493</v>
      </c>
    </row>
    <row r="17" spans="1:19" ht="57.75" customHeight="1">
      <c r="A17" s="74" t="s">
        <v>1397</v>
      </c>
      <c r="B17" s="104" t="s">
        <v>1087</v>
      </c>
      <c r="C17" s="104" t="s">
        <v>1088</v>
      </c>
      <c r="D17" s="104" t="s">
        <v>81</v>
      </c>
      <c r="E17" s="105" t="s">
        <v>1575</v>
      </c>
      <c r="H17" s="105" t="s">
        <v>1574</v>
      </c>
      <c r="I17" s="105" t="s">
        <v>1573</v>
      </c>
      <c r="J17" s="105" t="s">
        <v>1572</v>
      </c>
      <c r="K17" s="105" t="s">
        <v>1571</v>
      </c>
      <c r="L17" s="73" t="s">
        <v>1570</v>
      </c>
      <c r="M17" s="73" t="s">
        <v>1569</v>
      </c>
      <c r="N17" s="73" t="s">
        <v>1568</v>
      </c>
      <c r="O17" s="105" t="s">
        <v>1567</v>
      </c>
      <c r="P17" s="74" t="s">
        <v>1497</v>
      </c>
      <c r="Q17" s="114" t="s">
        <v>1496</v>
      </c>
      <c r="R17" s="105" t="s">
        <v>1566</v>
      </c>
      <c r="S17" s="105" t="s">
        <v>1565</v>
      </c>
    </row>
    <row r="18" spans="1:19" ht="57.75" customHeight="1">
      <c r="A18" s="73" t="s">
        <v>1576</v>
      </c>
      <c r="B18" s="104" t="s">
        <v>1087</v>
      </c>
      <c r="C18" s="104" t="s">
        <v>1088</v>
      </c>
      <c r="D18" s="104" t="s">
        <v>81</v>
      </c>
      <c r="E18" s="105" t="s">
        <v>1554</v>
      </c>
      <c r="H18" s="105" t="s">
        <v>1555</v>
      </c>
      <c r="I18" s="105" t="s">
        <v>1556</v>
      </c>
      <c r="J18" s="105" t="s">
        <v>1557</v>
      </c>
      <c r="K18" s="105" t="s">
        <v>1558</v>
      </c>
      <c r="L18" s="73" t="s">
        <v>1559</v>
      </c>
      <c r="M18" s="73" t="s">
        <v>1560</v>
      </c>
      <c r="N18" s="73" t="s">
        <v>1561</v>
      </c>
      <c r="O18" s="105" t="s">
        <v>1562</v>
      </c>
      <c r="P18" s="74" t="s">
        <v>1497</v>
      </c>
      <c r="Q18" s="114" t="s">
        <v>1496</v>
      </c>
      <c r="R18" s="105" t="s">
        <v>1563</v>
      </c>
      <c r="S18" s="105" t="s">
        <v>1564</v>
      </c>
    </row>
    <row r="19" spans="1:19">
      <c r="A19" s="74" t="s">
        <v>1587</v>
      </c>
      <c r="B19" s="74" t="s">
        <v>1592</v>
      </c>
      <c r="C19" s="74" t="s">
        <v>1592</v>
      </c>
      <c r="D19" s="104" t="s">
        <v>1590</v>
      </c>
    </row>
    <row r="20" spans="1:19">
      <c r="A20" s="74" t="s">
        <v>1588</v>
      </c>
      <c r="B20" s="104" t="s">
        <v>1087</v>
      </c>
      <c r="C20" s="104" t="s">
        <v>1088</v>
      </c>
      <c r="D20" s="74" t="s">
        <v>1594</v>
      </c>
      <c r="F20" s="74"/>
      <c r="G20" s="238"/>
    </row>
    <row r="21" spans="1:19">
      <c r="A21" s="74" t="s">
        <v>1582</v>
      </c>
      <c r="B21" s="104" t="s">
        <v>1087</v>
      </c>
      <c r="C21" s="104" t="s">
        <v>1088</v>
      </c>
      <c r="D21" s="74" t="s">
        <v>1593</v>
      </c>
      <c r="F21" s="74"/>
      <c r="G21" s="238"/>
    </row>
    <row r="22" spans="1:19">
      <c r="A22" s="74" t="s">
        <v>1613</v>
      </c>
      <c r="B22" s="104" t="s">
        <v>1087</v>
      </c>
      <c r="C22" s="104" t="s">
        <v>1088</v>
      </c>
      <c r="D22" s="104" t="s">
        <v>1616</v>
      </c>
    </row>
    <row r="23" spans="1:19">
      <c r="A23" s="74" t="s">
        <v>1614</v>
      </c>
      <c r="B23" s="104" t="s">
        <v>1087</v>
      </c>
      <c r="C23" s="104" t="s">
        <v>1088</v>
      </c>
      <c r="D23" s="104" t="s">
        <v>1615</v>
      </c>
    </row>
    <row r="24" spans="1:19">
      <c r="A24" s="74" t="s">
        <v>1618</v>
      </c>
      <c r="B24" s="74" t="s">
        <v>1622</v>
      </c>
      <c r="C24" s="74" t="s">
        <v>1622</v>
      </c>
      <c r="D24" s="74" t="s">
        <v>81</v>
      </c>
      <c r="E24" s="104" t="s">
        <v>1674</v>
      </c>
      <c r="F24" s="74"/>
      <c r="G24" s="238"/>
      <c r="H24" s="104" t="s">
        <v>1675</v>
      </c>
      <c r="I24" s="104" t="s">
        <v>1676</v>
      </c>
      <c r="J24" s="104" t="s">
        <v>1677</v>
      </c>
      <c r="K24" s="104" t="s">
        <v>1678</v>
      </c>
      <c r="L24" s="74" t="s">
        <v>1679</v>
      </c>
      <c r="M24" s="74" t="s">
        <v>1680</v>
      </c>
      <c r="N24" s="74" t="s">
        <v>1681</v>
      </c>
      <c r="O24" s="74" t="s">
        <v>1682</v>
      </c>
      <c r="P24" s="74" t="s">
        <v>1638</v>
      </c>
      <c r="Q24" s="74" t="s">
        <v>1638</v>
      </c>
      <c r="R24" s="74" t="s">
        <v>1683</v>
      </c>
      <c r="S24" s="74" t="s">
        <v>1684</v>
      </c>
    </row>
    <row r="25" spans="1:19">
      <c r="A25" s="74" t="s">
        <v>1623</v>
      </c>
      <c r="B25" s="74" t="s">
        <v>1622</v>
      </c>
      <c r="C25" s="74" t="s">
        <v>1622</v>
      </c>
      <c r="D25" s="74" t="s">
        <v>81</v>
      </c>
      <c r="E25" s="104" t="s">
        <v>1663</v>
      </c>
      <c r="F25" s="74"/>
      <c r="G25" s="238"/>
      <c r="H25" s="104" t="s">
        <v>1664</v>
      </c>
      <c r="I25" s="104" t="s">
        <v>1665</v>
      </c>
      <c r="J25" s="104" t="s">
        <v>1666</v>
      </c>
      <c r="K25" s="104" t="s">
        <v>1667</v>
      </c>
      <c r="L25" s="74" t="s">
        <v>1668</v>
      </c>
      <c r="M25" s="74" t="s">
        <v>1669</v>
      </c>
      <c r="N25" s="74" t="s">
        <v>1670</v>
      </c>
      <c r="O25" s="74" t="s">
        <v>1671</v>
      </c>
      <c r="P25" s="74" t="s">
        <v>1638</v>
      </c>
      <c r="Q25" s="74" t="s">
        <v>1638</v>
      </c>
      <c r="R25" s="74" t="s">
        <v>1672</v>
      </c>
      <c r="S25" s="74" t="s">
        <v>1673</v>
      </c>
    </row>
    <row r="26" spans="1:19">
      <c r="A26" s="74" t="s">
        <v>1624</v>
      </c>
      <c r="B26" s="74" t="s">
        <v>1622</v>
      </c>
      <c r="C26" s="74" t="s">
        <v>1622</v>
      </c>
      <c r="D26" s="74" t="s">
        <v>81</v>
      </c>
      <c r="E26" s="104" t="s">
        <v>1652</v>
      </c>
      <c r="F26" s="74"/>
      <c r="G26" s="238"/>
      <c r="H26" s="101" t="s">
        <v>1653</v>
      </c>
      <c r="I26" s="104" t="s">
        <v>1654</v>
      </c>
      <c r="J26" s="104" t="s">
        <v>1655</v>
      </c>
      <c r="K26" s="104" t="s">
        <v>1656</v>
      </c>
      <c r="L26" s="74" t="s">
        <v>1657</v>
      </c>
      <c r="M26" s="74" t="s">
        <v>1658</v>
      </c>
      <c r="N26" s="74" t="s">
        <v>1659</v>
      </c>
      <c r="O26" s="74" t="s">
        <v>1660</v>
      </c>
      <c r="P26" s="74" t="s">
        <v>1638</v>
      </c>
      <c r="Q26" s="74" t="s">
        <v>1638</v>
      </c>
      <c r="R26" s="74" t="s">
        <v>1661</v>
      </c>
      <c r="S26" s="74" t="s">
        <v>1662</v>
      </c>
    </row>
    <row r="27" spans="1:19">
      <c r="A27" s="74" t="s">
        <v>1625</v>
      </c>
      <c r="B27" s="74" t="s">
        <v>1622</v>
      </c>
      <c r="C27" s="74" t="s">
        <v>1622</v>
      </c>
      <c r="D27" s="74" t="s">
        <v>81</v>
      </c>
      <c r="E27" s="104" t="s">
        <v>1641</v>
      </c>
      <c r="F27" s="74"/>
      <c r="G27" s="238"/>
      <c r="H27" s="104" t="s">
        <v>1642</v>
      </c>
      <c r="I27" s="104" t="s">
        <v>1643</v>
      </c>
      <c r="J27" s="104" t="s">
        <v>1644</v>
      </c>
      <c r="K27" s="104" t="s">
        <v>1645</v>
      </c>
      <c r="L27" s="74" t="s">
        <v>1646</v>
      </c>
      <c r="M27" s="74" t="s">
        <v>1647</v>
      </c>
      <c r="N27" s="74" t="s">
        <v>1648</v>
      </c>
      <c r="O27" s="74" t="s">
        <v>1649</v>
      </c>
      <c r="P27" s="74" t="s">
        <v>1638</v>
      </c>
      <c r="Q27" s="74" t="s">
        <v>1638</v>
      </c>
      <c r="R27" s="74" t="s">
        <v>1650</v>
      </c>
      <c r="S27" s="74" t="s">
        <v>1651</v>
      </c>
    </row>
    <row r="28" spans="1:19">
      <c r="A28" s="74" t="s">
        <v>1628</v>
      </c>
      <c r="B28" s="74" t="s">
        <v>1622</v>
      </c>
      <c r="C28" s="74" t="s">
        <v>1622</v>
      </c>
      <c r="D28" s="74" t="s">
        <v>81</v>
      </c>
      <c r="E28" s="104" t="s">
        <v>1629</v>
      </c>
      <c r="F28" s="74"/>
      <c r="G28" s="238"/>
      <c r="H28" s="104" t="s">
        <v>1630</v>
      </c>
      <c r="I28" s="104" t="s">
        <v>1631</v>
      </c>
      <c r="J28" s="104" t="s">
        <v>1632</v>
      </c>
      <c r="K28" s="104" t="s">
        <v>1633</v>
      </c>
      <c r="L28" s="114" t="s">
        <v>1634</v>
      </c>
      <c r="M28" s="74" t="s">
        <v>1635</v>
      </c>
      <c r="N28" s="74" t="s">
        <v>1636</v>
      </c>
      <c r="O28" s="74" t="s">
        <v>1637</v>
      </c>
      <c r="P28" s="74" t="s">
        <v>1638</v>
      </c>
      <c r="Q28" s="74" t="s">
        <v>1638</v>
      </c>
      <c r="R28" s="74" t="s">
        <v>1639</v>
      </c>
      <c r="S28" s="74" t="s">
        <v>1640</v>
      </c>
    </row>
    <row r="29" spans="1:19">
      <c r="A29" s="74" t="s">
        <v>1694</v>
      </c>
      <c r="B29" s="74" t="s">
        <v>1696</v>
      </c>
      <c r="C29" s="74" t="s">
        <v>1697</v>
      </c>
      <c r="D29" s="74" t="s">
        <v>1695</v>
      </c>
      <c r="F29" s="74"/>
      <c r="G29" s="238"/>
      <c r="H29" s="101"/>
      <c r="O29" s="74"/>
      <c r="P29" s="74"/>
      <c r="Q29" s="74"/>
      <c r="R29" s="74"/>
      <c r="S29" s="74"/>
    </row>
    <row r="30" spans="1:19">
      <c r="A30" s="74" t="s">
        <v>1698</v>
      </c>
      <c r="B30" s="74" t="s">
        <v>1622</v>
      </c>
      <c r="C30" s="74" t="s">
        <v>1622</v>
      </c>
      <c r="D30" s="74" t="s">
        <v>1699</v>
      </c>
      <c r="F30" s="74"/>
      <c r="G30" s="238"/>
      <c r="H30" s="101"/>
      <c r="O30" s="74"/>
      <c r="P30" s="74"/>
      <c r="Q30" s="74"/>
      <c r="R30" s="74"/>
      <c r="S30" s="74"/>
    </row>
    <row r="31" spans="1:19">
      <c r="A31" s="104" t="s">
        <v>1713</v>
      </c>
      <c r="B31" s="74" t="s">
        <v>1622</v>
      </c>
      <c r="C31" s="74" t="s">
        <v>1622</v>
      </c>
      <c r="D31" s="104" t="s">
        <v>1714</v>
      </c>
    </row>
    <row r="32" spans="1:19" ht="28.8">
      <c r="A32" s="104" t="s">
        <v>1691</v>
      </c>
      <c r="B32" s="104" t="s">
        <v>1716</v>
      </c>
      <c r="C32" s="104" t="s">
        <v>1717</v>
      </c>
      <c r="D32" s="104" t="s">
        <v>81</v>
      </c>
      <c r="E32" s="105" t="s">
        <v>1720</v>
      </c>
      <c r="H32" s="104" t="s">
        <v>1718</v>
      </c>
      <c r="I32" s="104" t="s">
        <v>1720</v>
      </c>
      <c r="J32" s="104" t="s">
        <v>1721</v>
      </c>
      <c r="K32" s="105" t="s">
        <v>1722</v>
      </c>
      <c r="L32" s="74" t="s">
        <v>1723</v>
      </c>
      <c r="M32" s="74" t="s">
        <v>1719</v>
      </c>
      <c r="N32" s="74" t="s">
        <v>1724</v>
      </c>
      <c r="O32" s="104" t="s">
        <v>1725</v>
      </c>
      <c r="P32" s="104" t="s">
        <v>1028</v>
      </c>
      <c r="Q32" s="104" t="s">
        <v>1029</v>
      </c>
      <c r="R32" s="104" t="s">
        <v>81</v>
      </c>
      <c r="S32" s="104" t="s">
        <v>81</v>
      </c>
    </row>
    <row r="33" spans="1:10">
      <c r="A33" s="104" t="s">
        <v>1726</v>
      </c>
      <c r="B33" s="104" t="s">
        <v>1732</v>
      </c>
      <c r="C33" s="104" t="s">
        <v>1733</v>
      </c>
      <c r="D33" s="104" t="s">
        <v>1736</v>
      </c>
    </row>
    <row r="34" spans="1:10">
      <c r="A34" s="104" t="s">
        <v>1727</v>
      </c>
      <c r="B34" s="104" t="s">
        <v>1732</v>
      </c>
      <c r="C34" s="104" t="s">
        <v>1733</v>
      </c>
      <c r="D34" s="104" t="s">
        <v>1737</v>
      </c>
    </row>
    <row r="35" spans="1:10">
      <c r="A35" s="74" t="s">
        <v>1728</v>
      </c>
      <c r="B35" s="104" t="s">
        <v>1900</v>
      </c>
      <c r="C35" s="104" t="s">
        <v>1717</v>
      </c>
      <c r="E35" s="104" t="s">
        <v>1738</v>
      </c>
      <c r="J35" s="104" t="s">
        <v>1739</v>
      </c>
    </row>
    <row r="36" spans="1:10">
      <c r="A36" s="74" t="s">
        <v>1729</v>
      </c>
      <c r="B36" s="104" t="s">
        <v>1734</v>
      </c>
      <c r="C36" s="104" t="s">
        <v>1735</v>
      </c>
      <c r="E36" s="104" t="s">
        <v>1740</v>
      </c>
      <c r="J36" s="104" t="s">
        <v>1741</v>
      </c>
    </row>
    <row r="37" spans="1:10" hidden="1">
      <c r="A37" s="104" t="s">
        <v>1706</v>
      </c>
    </row>
    <row r="38" spans="1:10" hidden="1">
      <c r="A38" s="104" t="s">
        <v>1748</v>
      </c>
    </row>
    <row r="39" spans="1:10" hidden="1">
      <c r="A39" s="104" t="s">
        <v>1753</v>
      </c>
    </row>
    <row r="40" spans="1:10" hidden="1">
      <c r="A40" s="104" t="s">
        <v>1761</v>
      </c>
    </row>
    <row r="41" spans="1:10" hidden="1">
      <c r="A41" s="104" t="s">
        <v>1776</v>
      </c>
    </row>
    <row r="42" spans="1:10" hidden="1">
      <c r="A42" s="104" t="s">
        <v>1775</v>
      </c>
    </row>
    <row r="43" spans="1:10" hidden="1">
      <c r="A43" s="104" t="s">
        <v>1789</v>
      </c>
    </row>
    <row r="44" spans="1:10" hidden="1">
      <c r="A44" s="104" t="s">
        <v>1793</v>
      </c>
    </row>
    <row r="45" spans="1:10" hidden="1">
      <c r="A45" s="104" t="s">
        <v>1686</v>
      </c>
    </row>
    <row r="46" spans="1:10" hidden="1">
      <c r="A46" s="104" t="s">
        <v>1777</v>
      </c>
    </row>
    <row r="47" spans="1:10" hidden="1">
      <c r="A47" s="104" t="s">
        <v>1803</v>
      </c>
    </row>
    <row r="49" spans="1:19">
      <c r="A49" s="104" t="s">
        <v>1701</v>
      </c>
      <c r="B49" s="74" t="s">
        <v>1622</v>
      </c>
      <c r="C49" s="74" t="s">
        <v>1622</v>
      </c>
      <c r="E49" s="104" t="s">
        <v>1873</v>
      </c>
      <c r="H49" s="104" t="s">
        <v>1872</v>
      </c>
      <c r="J49" s="104" t="s">
        <v>1874</v>
      </c>
      <c r="R49" s="104" t="s">
        <v>1871</v>
      </c>
      <c r="S49" s="101" t="s">
        <v>1875</v>
      </c>
    </row>
    <row r="50" spans="1:19">
      <c r="A50" s="104" t="s">
        <v>2710</v>
      </c>
      <c r="B50" s="74" t="s">
        <v>1622</v>
      </c>
      <c r="C50" s="74" t="s">
        <v>1622</v>
      </c>
      <c r="E50" s="104" t="s">
        <v>1878</v>
      </c>
      <c r="H50" s="104" t="s">
        <v>1877</v>
      </c>
      <c r="J50" s="104" t="s">
        <v>1879</v>
      </c>
      <c r="R50" s="104" t="s">
        <v>1876</v>
      </c>
      <c r="S50" s="104" t="s">
        <v>1880</v>
      </c>
    </row>
    <row r="51" spans="1:19">
      <c r="A51" s="104" t="s">
        <v>1702</v>
      </c>
      <c r="B51" s="74" t="s">
        <v>2637</v>
      </c>
      <c r="C51" s="74" t="s">
        <v>1622</v>
      </c>
      <c r="E51" s="104" t="s">
        <v>1883</v>
      </c>
      <c r="H51" s="104" t="s">
        <v>1882</v>
      </c>
      <c r="J51" s="104" t="s">
        <v>1884</v>
      </c>
      <c r="R51" s="104" t="s">
        <v>1881</v>
      </c>
      <c r="S51" s="104" t="s">
        <v>1885</v>
      </c>
    </row>
    <row r="52" spans="1:19">
      <c r="A52" s="104" t="s">
        <v>1819</v>
      </c>
      <c r="B52" t="s">
        <v>1734</v>
      </c>
      <c r="C52" t="s">
        <v>1735</v>
      </c>
      <c r="E52" s="104" t="s">
        <v>1886</v>
      </c>
      <c r="J52" s="104" t="s">
        <v>1887</v>
      </c>
    </row>
    <row r="53" spans="1:19">
      <c r="A53" s="104" t="s">
        <v>1824</v>
      </c>
      <c r="B53" s="104" t="s">
        <v>1732</v>
      </c>
      <c r="C53" t="s">
        <v>1733</v>
      </c>
      <c r="D53" s="104" t="s">
        <v>1888</v>
      </c>
    </row>
    <row r="54" spans="1:19">
      <c r="A54" s="104" t="s">
        <v>1825</v>
      </c>
      <c r="B54" s="104" t="s">
        <v>1732</v>
      </c>
      <c r="C54" t="s">
        <v>1733</v>
      </c>
      <c r="D54" s="104" t="s">
        <v>1889</v>
      </c>
    </row>
    <row r="55" spans="1:19">
      <c r="A55" s="104" t="s">
        <v>1834</v>
      </c>
      <c r="B55" t="s">
        <v>1900</v>
      </c>
      <c r="C55" t="s">
        <v>1717</v>
      </c>
      <c r="E55" s="104" t="s">
        <v>1890</v>
      </c>
      <c r="J55" s="104" t="s">
        <v>1891</v>
      </c>
    </row>
    <row r="56" spans="1:19">
      <c r="A56" s="104" t="s">
        <v>1843</v>
      </c>
      <c r="B56" t="s">
        <v>1732</v>
      </c>
      <c r="C56" t="s">
        <v>1733</v>
      </c>
      <c r="D56" s="104" t="s">
        <v>2901</v>
      </c>
    </row>
    <row r="57" spans="1:19">
      <c r="A57" s="104" t="s">
        <v>1866</v>
      </c>
      <c r="B57" t="s">
        <v>1732</v>
      </c>
      <c r="C57" t="s">
        <v>1733</v>
      </c>
      <c r="D57" s="104" t="s">
        <v>1892</v>
      </c>
    </row>
    <row r="58" spans="1:19">
      <c r="A58" s="104" t="s">
        <v>2048</v>
      </c>
      <c r="B58" s="104" t="s">
        <v>2052</v>
      </c>
      <c r="C58" s="104" t="s">
        <v>2049</v>
      </c>
      <c r="D58" s="104" t="s">
        <v>2050</v>
      </c>
    </row>
    <row r="59" spans="1:19">
      <c r="A59" s="104" t="s">
        <v>2607</v>
      </c>
      <c r="B59" s="104" t="s">
        <v>2581</v>
      </c>
      <c r="C59" s="104" t="s">
        <v>2581</v>
      </c>
      <c r="D59" s="104" t="s">
        <v>81</v>
      </c>
      <c r="E59" s="104" t="s">
        <v>2611</v>
      </c>
      <c r="H59" s="104" t="s">
        <v>2609</v>
      </c>
      <c r="J59" s="104" t="s">
        <v>2612</v>
      </c>
      <c r="L59" s="104"/>
      <c r="M59" s="104"/>
      <c r="N59" s="104"/>
      <c r="P59" s="104" t="s">
        <v>2613</v>
      </c>
      <c r="Q59" s="104" t="s">
        <v>2614</v>
      </c>
      <c r="R59" s="104" t="s">
        <v>2608</v>
      </c>
      <c r="S59" s="104" t="s">
        <v>2610</v>
      </c>
    </row>
    <row r="60" spans="1:19">
      <c r="A60" s="104" t="s">
        <v>2635</v>
      </c>
      <c r="B60" s="74" t="s">
        <v>2637</v>
      </c>
      <c r="C60" s="74" t="s">
        <v>1622</v>
      </c>
      <c r="D60" s="104" t="s">
        <v>2634</v>
      </c>
      <c r="E60" s="211"/>
      <c r="F60" s="211"/>
      <c r="G60" s="250"/>
    </row>
    <row r="61" spans="1:19">
      <c r="A61" t="s">
        <v>2638</v>
      </c>
      <c r="B61" s="74" t="s">
        <v>2637</v>
      </c>
      <c r="C61" s="74" t="s">
        <v>1622</v>
      </c>
      <c r="D61" s="104" t="s">
        <v>2636</v>
      </c>
      <c r="E61" s="211"/>
      <c r="F61" s="211"/>
      <c r="G61" s="250"/>
    </row>
    <row r="62" spans="1:19">
      <c r="A62" s="104" t="s">
        <v>2711</v>
      </c>
      <c r="B62" s="74" t="s">
        <v>2637</v>
      </c>
      <c r="C62" s="74" t="s">
        <v>1622</v>
      </c>
      <c r="D62" s="104" t="s">
        <v>2712</v>
      </c>
      <c r="E62" s="211"/>
      <c r="F62" s="211"/>
      <c r="G62" s="250"/>
    </row>
    <row r="63" spans="1:19">
      <c r="A63" s="104" t="s">
        <v>2713</v>
      </c>
      <c r="B63" s="74" t="s">
        <v>2637</v>
      </c>
      <c r="C63" s="74" t="s">
        <v>1622</v>
      </c>
      <c r="D63" s="104" t="s">
        <v>2714</v>
      </c>
      <c r="E63" s="211"/>
      <c r="F63" s="211"/>
      <c r="G63" s="250"/>
    </row>
    <row r="64" spans="1:19">
      <c r="A64" s="104" t="s">
        <v>2715</v>
      </c>
      <c r="B64" s="74" t="s">
        <v>2637</v>
      </c>
      <c r="C64" s="74" t="s">
        <v>1622</v>
      </c>
      <c r="D64" s="104" t="s">
        <v>2716</v>
      </c>
      <c r="E64" s="211"/>
      <c r="F64" s="211"/>
      <c r="G64" s="250"/>
    </row>
    <row r="65" spans="1:19">
      <c r="A65" s="104" t="s">
        <v>2717</v>
      </c>
      <c r="B65" s="74" t="s">
        <v>2637</v>
      </c>
      <c r="C65" s="74" t="s">
        <v>1622</v>
      </c>
      <c r="D65" s="104" t="s">
        <v>2718</v>
      </c>
      <c r="E65" s="211"/>
      <c r="F65" s="211"/>
      <c r="G65" s="250"/>
    </row>
    <row r="66" spans="1:19">
      <c r="A66" s="104" t="s">
        <v>2720</v>
      </c>
      <c r="B66" s="74" t="s">
        <v>2637</v>
      </c>
      <c r="C66" s="74" t="s">
        <v>1622</v>
      </c>
      <c r="D66" s="104" t="s">
        <v>2723</v>
      </c>
      <c r="E66"/>
      <c r="F66" s="246"/>
      <c r="G66" s="251"/>
    </row>
    <row r="67" spans="1:19">
      <c r="A67" s="104" t="s">
        <v>2722</v>
      </c>
      <c r="B67" s="74" t="s">
        <v>2637</v>
      </c>
      <c r="C67" s="74" t="s">
        <v>1622</v>
      </c>
      <c r="D67" s="104" t="s">
        <v>2721</v>
      </c>
      <c r="E67" s="211"/>
      <c r="F67" s="211"/>
      <c r="G67" s="250"/>
    </row>
    <row r="68" spans="1:19">
      <c r="A68" s="104" t="s">
        <v>2725</v>
      </c>
      <c r="B68" s="74" t="s">
        <v>2637</v>
      </c>
      <c r="C68" s="74" t="s">
        <v>1622</v>
      </c>
      <c r="D68" s="104" t="s">
        <v>2724</v>
      </c>
      <c r="E68" s="211"/>
      <c r="F68" s="211"/>
      <c r="G68" s="250"/>
    </row>
    <row r="69" spans="1:19">
      <c r="A69" s="104" t="s">
        <v>2726</v>
      </c>
      <c r="B69" s="74" t="s">
        <v>2637</v>
      </c>
      <c r="C69" s="74" t="s">
        <v>1622</v>
      </c>
      <c r="D69" s="104" t="s">
        <v>2727</v>
      </c>
      <c r="E69" s="211"/>
      <c r="F69" s="211"/>
      <c r="G69" s="250"/>
    </row>
    <row r="70" spans="1:19">
      <c r="A70" s="104" t="s">
        <v>2728</v>
      </c>
      <c r="B70" s="74" t="s">
        <v>2637</v>
      </c>
      <c r="C70" s="74" t="s">
        <v>1622</v>
      </c>
      <c r="D70" s="104" t="s">
        <v>2729</v>
      </c>
      <c r="E70" s="211"/>
      <c r="F70" s="211"/>
      <c r="G70" s="250"/>
    </row>
    <row r="71" spans="1:19">
      <c r="A71" s="104" t="s">
        <v>2731</v>
      </c>
      <c r="B71" s="74" t="s">
        <v>2637</v>
      </c>
      <c r="C71" s="74" t="s">
        <v>1622</v>
      </c>
      <c r="D71" s="104" t="s">
        <v>2730</v>
      </c>
      <c r="E71" s="211"/>
      <c r="F71" s="211"/>
      <c r="G71" s="250"/>
    </row>
    <row r="72" spans="1:19">
      <c r="A72" s="104" t="s">
        <v>2732</v>
      </c>
      <c r="B72" s="74" t="s">
        <v>2637</v>
      </c>
      <c r="C72" s="74" t="s">
        <v>1622</v>
      </c>
      <c r="D72" s="104" t="s">
        <v>2733</v>
      </c>
      <c r="E72" s="211"/>
      <c r="F72" s="211"/>
      <c r="G72" s="250"/>
    </row>
    <row r="73" spans="1:19">
      <c r="A73" s="104" t="s">
        <v>2719</v>
      </c>
      <c r="B73" s="74" t="s">
        <v>2637</v>
      </c>
      <c r="C73" s="74" t="s">
        <v>1622</v>
      </c>
      <c r="D73" s="104" t="s">
        <v>2734</v>
      </c>
      <c r="E73" s="211"/>
      <c r="F73" s="211"/>
      <c r="G73" s="250"/>
    </row>
    <row r="74" spans="1:19">
      <c r="A74" s="104" t="s">
        <v>2736</v>
      </c>
      <c r="B74" s="74" t="s">
        <v>2637</v>
      </c>
      <c r="C74" s="74" t="s">
        <v>1622</v>
      </c>
      <c r="D74" s="104" t="s">
        <v>2735</v>
      </c>
      <c r="E74" s="211"/>
      <c r="F74" s="211"/>
      <c r="G74" s="250"/>
    </row>
    <row r="75" spans="1:19">
      <c r="A75" s="104" t="s">
        <v>2737</v>
      </c>
      <c r="B75" s="74" t="s">
        <v>1622</v>
      </c>
      <c r="C75" s="74" t="s">
        <v>1622</v>
      </c>
      <c r="D75" s="104" t="s">
        <v>2738</v>
      </c>
      <c r="E75" s="211"/>
      <c r="F75" s="211"/>
      <c r="G75" s="250"/>
    </row>
    <row r="76" spans="1:19" s="68" customFormat="1">
      <c r="A76" s="74" t="s">
        <v>2740</v>
      </c>
      <c r="B76" s="74" t="s">
        <v>2764</v>
      </c>
      <c r="C76" s="74" t="s">
        <v>2764</v>
      </c>
      <c r="D76" s="74" t="s">
        <v>2808</v>
      </c>
      <c r="E76" s="74" t="s">
        <v>2806</v>
      </c>
      <c r="F76" s="74"/>
      <c r="G76" s="238"/>
      <c r="H76" s="74" t="s">
        <v>2805</v>
      </c>
      <c r="I76" s="74" t="s">
        <v>81</v>
      </c>
      <c r="J76" s="74" t="s">
        <v>2807</v>
      </c>
      <c r="K76" s="74" t="s">
        <v>81</v>
      </c>
      <c r="L76" s="74" t="s">
        <v>81</v>
      </c>
      <c r="M76" s="74" t="s">
        <v>81</v>
      </c>
      <c r="N76" s="74" t="s">
        <v>81</v>
      </c>
      <c r="O76" s="74" t="s">
        <v>81</v>
      </c>
      <c r="P76" s="74" t="s">
        <v>2760</v>
      </c>
      <c r="Q76" s="74" t="s">
        <v>2760</v>
      </c>
      <c r="R76" s="74" t="s">
        <v>2767</v>
      </c>
      <c r="S76" s="74" t="s">
        <v>2766</v>
      </c>
    </row>
    <row r="77" spans="1:19" s="68" customFormat="1">
      <c r="A77" s="74" t="s">
        <v>2742</v>
      </c>
      <c r="B77" s="74" t="s">
        <v>2764</v>
      </c>
      <c r="C77" s="74" t="s">
        <v>2764</v>
      </c>
      <c r="D77" s="74" t="s">
        <v>2808</v>
      </c>
      <c r="E77" s="74" t="s">
        <v>2806</v>
      </c>
      <c r="F77" s="74"/>
      <c r="G77" s="238"/>
      <c r="H77" s="74" t="s">
        <v>2805</v>
      </c>
      <c r="I77" s="74" t="s">
        <v>81</v>
      </c>
      <c r="J77" s="74" t="s">
        <v>2807</v>
      </c>
      <c r="K77" s="74" t="s">
        <v>81</v>
      </c>
      <c r="L77" s="74" t="s">
        <v>81</v>
      </c>
      <c r="M77" s="74" t="s">
        <v>81</v>
      </c>
      <c r="N77" s="74" t="s">
        <v>81</v>
      </c>
      <c r="O77" s="74" t="s">
        <v>81</v>
      </c>
      <c r="P77" s="74" t="s">
        <v>2760</v>
      </c>
      <c r="Q77" s="74" t="s">
        <v>2760</v>
      </c>
      <c r="R77" s="74" t="s">
        <v>2767</v>
      </c>
      <c r="S77" s="74" t="s">
        <v>2766</v>
      </c>
    </row>
    <row r="78" spans="1:19" s="68" customFormat="1">
      <c r="A78" s="74" t="s">
        <v>2743</v>
      </c>
      <c r="B78" s="74" t="s">
        <v>2764</v>
      </c>
      <c r="C78" s="74" t="s">
        <v>2764</v>
      </c>
      <c r="D78" s="74" t="s">
        <v>2808</v>
      </c>
      <c r="E78" s="74" t="s">
        <v>2806</v>
      </c>
      <c r="F78" s="74"/>
      <c r="G78" s="238"/>
      <c r="H78" s="74" t="s">
        <v>2805</v>
      </c>
      <c r="I78" s="74" t="s">
        <v>81</v>
      </c>
      <c r="J78" s="74" t="s">
        <v>2807</v>
      </c>
      <c r="K78" s="74" t="s">
        <v>81</v>
      </c>
      <c r="L78" s="74" t="s">
        <v>81</v>
      </c>
      <c r="M78" s="74" t="s">
        <v>81</v>
      </c>
      <c r="N78" s="74" t="s">
        <v>81</v>
      </c>
      <c r="O78" s="74" t="s">
        <v>81</v>
      </c>
      <c r="P78" s="74" t="s">
        <v>2760</v>
      </c>
      <c r="Q78" s="74" t="s">
        <v>2760</v>
      </c>
      <c r="R78" s="74" t="s">
        <v>2767</v>
      </c>
      <c r="S78" s="74" t="s">
        <v>2766</v>
      </c>
    </row>
    <row r="79" spans="1:19" s="68" customFormat="1">
      <c r="A79" s="74" t="s">
        <v>2804</v>
      </c>
      <c r="B79" s="74" t="s">
        <v>2764</v>
      </c>
      <c r="C79" s="74" t="s">
        <v>2764</v>
      </c>
      <c r="D79" s="74" t="s">
        <v>2808</v>
      </c>
      <c r="E79" s="74" t="s">
        <v>2806</v>
      </c>
      <c r="F79" s="74"/>
      <c r="G79" s="238"/>
      <c r="H79" s="74" t="s">
        <v>2805</v>
      </c>
      <c r="I79" s="74" t="s">
        <v>81</v>
      </c>
      <c r="J79" s="74" t="s">
        <v>2807</v>
      </c>
      <c r="K79" s="74" t="s">
        <v>81</v>
      </c>
      <c r="L79" s="74" t="s">
        <v>81</v>
      </c>
      <c r="M79" s="74" t="s">
        <v>81</v>
      </c>
      <c r="N79" s="74" t="s">
        <v>81</v>
      </c>
      <c r="O79" s="74" t="s">
        <v>81</v>
      </c>
      <c r="P79" s="74" t="s">
        <v>2760</v>
      </c>
      <c r="Q79" s="74" t="s">
        <v>2760</v>
      </c>
      <c r="R79" s="74" t="s">
        <v>2767</v>
      </c>
      <c r="S79" s="74" t="s">
        <v>2766</v>
      </c>
    </row>
    <row r="80" spans="1:19" s="68" customFormat="1">
      <c r="A80" s="74" t="s">
        <v>2744</v>
      </c>
      <c r="B80" s="74" t="s">
        <v>2764</v>
      </c>
      <c r="C80" s="74" t="s">
        <v>2764</v>
      </c>
      <c r="D80" s="74" t="s">
        <v>2808</v>
      </c>
      <c r="E80" s="74" t="s">
        <v>2806</v>
      </c>
      <c r="F80" s="74"/>
      <c r="G80" s="238"/>
      <c r="H80" s="74" t="s">
        <v>2805</v>
      </c>
      <c r="I80" s="74" t="s">
        <v>81</v>
      </c>
      <c r="J80" s="74" t="s">
        <v>2807</v>
      </c>
      <c r="K80" s="74" t="s">
        <v>81</v>
      </c>
      <c r="L80" s="74" t="s">
        <v>81</v>
      </c>
      <c r="M80" s="74" t="s">
        <v>81</v>
      </c>
      <c r="N80" s="74" t="s">
        <v>81</v>
      </c>
      <c r="O80" s="74" t="s">
        <v>81</v>
      </c>
      <c r="P80" s="74" t="s">
        <v>2760</v>
      </c>
      <c r="Q80" s="74" t="s">
        <v>2760</v>
      </c>
      <c r="R80" s="74" t="s">
        <v>2767</v>
      </c>
      <c r="S80" s="74" t="s">
        <v>2766</v>
      </c>
    </row>
    <row r="81" spans="1:19" s="68" customFormat="1">
      <c r="A81" s="74" t="s">
        <v>2745</v>
      </c>
      <c r="B81" s="74" t="s">
        <v>2764</v>
      </c>
      <c r="C81" s="74" t="s">
        <v>2764</v>
      </c>
      <c r="D81" s="74" t="s">
        <v>2808</v>
      </c>
      <c r="E81" s="74" t="s">
        <v>2806</v>
      </c>
      <c r="F81" s="74"/>
      <c r="G81" s="238"/>
      <c r="H81" s="74" t="s">
        <v>2805</v>
      </c>
      <c r="I81" s="74" t="s">
        <v>81</v>
      </c>
      <c r="J81" s="74" t="s">
        <v>2807</v>
      </c>
      <c r="K81" s="74" t="s">
        <v>81</v>
      </c>
      <c r="L81" s="74" t="s">
        <v>81</v>
      </c>
      <c r="M81" s="74" t="s">
        <v>81</v>
      </c>
      <c r="N81" s="74" t="s">
        <v>81</v>
      </c>
      <c r="O81" s="74" t="s">
        <v>81</v>
      </c>
      <c r="P81" s="74" t="s">
        <v>2760</v>
      </c>
      <c r="Q81" s="74" t="s">
        <v>2760</v>
      </c>
      <c r="R81" s="74" t="s">
        <v>2767</v>
      </c>
      <c r="S81" s="74" t="s">
        <v>2766</v>
      </c>
    </row>
    <row r="82" spans="1:19" s="68" customFormat="1">
      <c r="A82" s="74" t="s">
        <v>2746</v>
      </c>
      <c r="B82" s="74" t="s">
        <v>2764</v>
      </c>
      <c r="C82" s="74" t="s">
        <v>2764</v>
      </c>
      <c r="D82" s="74" t="s">
        <v>2808</v>
      </c>
      <c r="E82" s="74" t="s">
        <v>2806</v>
      </c>
      <c r="F82" s="74"/>
      <c r="G82" s="238"/>
      <c r="H82" s="74" t="s">
        <v>2805</v>
      </c>
      <c r="I82" s="74" t="s">
        <v>81</v>
      </c>
      <c r="J82" s="74" t="s">
        <v>2807</v>
      </c>
      <c r="K82" s="74" t="s">
        <v>81</v>
      </c>
      <c r="L82" s="74" t="s">
        <v>81</v>
      </c>
      <c r="M82" s="74" t="s">
        <v>81</v>
      </c>
      <c r="N82" s="74" t="s">
        <v>81</v>
      </c>
      <c r="O82" s="74" t="s">
        <v>81</v>
      </c>
      <c r="P82" s="74" t="s">
        <v>2760</v>
      </c>
      <c r="Q82" s="74" t="s">
        <v>2760</v>
      </c>
      <c r="R82" s="74" t="s">
        <v>2767</v>
      </c>
      <c r="S82" s="74" t="s">
        <v>2766</v>
      </c>
    </row>
    <row r="83" spans="1:19" s="68" customFormat="1">
      <c r="A83" s="74" t="s">
        <v>2789</v>
      </c>
      <c r="B83" s="74" t="s">
        <v>2764</v>
      </c>
      <c r="C83" s="74" t="s">
        <v>2764</v>
      </c>
      <c r="D83" s="74" t="s">
        <v>2808</v>
      </c>
      <c r="E83" s="74" t="s">
        <v>2806</v>
      </c>
      <c r="F83" s="74"/>
      <c r="G83" s="238"/>
      <c r="H83" s="74" t="s">
        <v>2805</v>
      </c>
      <c r="I83" s="74" t="s">
        <v>81</v>
      </c>
      <c r="J83" s="74" t="s">
        <v>2807</v>
      </c>
      <c r="K83" s="74" t="s">
        <v>81</v>
      </c>
      <c r="L83" s="74" t="s">
        <v>81</v>
      </c>
      <c r="M83" s="74" t="s">
        <v>81</v>
      </c>
      <c r="N83" s="74" t="s">
        <v>81</v>
      </c>
      <c r="O83" s="74" t="s">
        <v>81</v>
      </c>
      <c r="P83" s="74" t="s">
        <v>2760</v>
      </c>
      <c r="Q83" s="74" t="s">
        <v>2760</v>
      </c>
      <c r="R83" s="74" t="s">
        <v>2767</v>
      </c>
      <c r="S83" s="74" t="s">
        <v>2766</v>
      </c>
    </row>
    <row r="84" spans="1:19" s="68" customFormat="1">
      <c r="A84" s="74" t="s">
        <v>2784</v>
      </c>
      <c r="B84" s="74" t="s">
        <v>2764</v>
      </c>
      <c r="C84" s="74" t="s">
        <v>2764</v>
      </c>
      <c r="D84" s="74" t="s">
        <v>2808</v>
      </c>
      <c r="E84" s="74" t="s">
        <v>2806</v>
      </c>
      <c r="F84" s="74"/>
      <c r="G84" s="238"/>
      <c r="H84" s="74" t="s">
        <v>2805</v>
      </c>
      <c r="I84" s="74" t="s">
        <v>81</v>
      </c>
      <c r="J84" s="74" t="s">
        <v>2807</v>
      </c>
      <c r="K84" s="74" t="s">
        <v>81</v>
      </c>
      <c r="L84" s="74" t="s">
        <v>81</v>
      </c>
      <c r="M84" s="74" t="s">
        <v>81</v>
      </c>
      <c r="N84" s="74" t="s">
        <v>81</v>
      </c>
      <c r="O84" s="74" t="s">
        <v>81</v>
      </c>
      <c r="P84" s="74" t="s">
        <v>2760</v>
      </c>
      <c r="Q84" s="74" t="s">
        <v>2760</v>
      </c>
      <c r="R84" s="74" t="s">
        <v>2767</v>
      </c>
      <c r="S84" s="74" t="s">
        <v>2766</v>
      </c>
    </row>
    <row r="85" spans="1:19" s="68" customFormat="1">
      <c r="A85" s="74" t="s">
        <v>2785</v>
      </c>
      <c r="B85" s="74" t="s">
        <v>2764</v>
      </c>
      <c r="C85" s="74" t="s">
        <v>2764</v>
      </c>
      <c r="D85" s="74" t="s">
        <v>2808</v>
      </c>
      <c r="E85" s="74" t="s">
        <v>2806</v>
      </c>
      <c r="F85" s="74"/>
      <c r="G85" s="238"/>
      <c r="H85" s="74" t="s">
        <v>2805</v>
      </c>
      <c r="I85" s="74" t="s">
        <v>81</v>
      </c>
      <c r="J85" s="74" t="s">
        <v>2807</v>
      </c>
      <c r="K85" s="74" t="s">
        <v>81</v>
      </c>
      <c r="L85" s="74" t="s">
        <v>81</v>
      </c>
      <c r="M85" s="74" t="s">
        <v>81</v>
      </c>
      <c r="N85" s="74" t="s">
        <v>81</v>
      </c>
      <c r="O85" s="74" t="s">
        <v>81</v>
      </c>
      <c r="P85" s="74" t="s">
        <v>2760</v>
      </c>
      <c r="Q85" s="74" t="s">
        <v>2760</v>
      </c>
      <c r="R85" s="74" t="s">
        <v>2767</v>
      </c>
      <c r="S85" s="74" t="s">
        <v>2766</v>
      </c>
    </row>
    <row r="86" spans="1:19" s="68" customFormat="1">
      <c r="A86" s="74" t="s">
        <v>2786</v>
      </c>
      <c r="B86" s="74" t="s">
        <v>2764</v>
      </c>
      <c r="C86" s="74" t="s">
        <v>2764</v>
      </c>
      <c r="D86" s="74" t="s">
        <v>2808</v>
      </c>
      <c r="E86" s="74" t="s">
        <v>2806</v>
      </c>
      <c r="F86" s="74"/>
      <c r="G86" s="238"/>
      <c r="H86" s="74" t="s">
        <v>2805</v>
      </c>
      <c r="I86" s="74" t="s">
        <v>81</v>
      </c>
      <c r="J86" s="74" t="s">
        <v>2807</v>
      </c>
      <c r="K86" s="74" t="s">
        <v>81</v>
      </c>
      <c r="L86" s="74" t="s">
        <v>81</v>
      </c>
      <c r="M86" s="74" t="s">
        <v>81</v>
      </c>
      <c r="N86" s="74" t="s">
        <v>81</v>
      </c>
      <c r="O86" s="74" t="s">
        <v>81</v>
      </c>
      <c r="P86" s="74" t="s">
        <v>2760</v>
      </c>
      <c r="Q86" s="74" t="s">
        <v>2760</v>
      </c>
      <c r="R86" s="74" t="s">
        <v>2767</v>
      </c>
      <c r="S86" s="74" t="s">
        <v>2766</v>
      </c>
    </row>
    <row r="87" spans="1:19" s="68" customFormat="1">
      <c r="A87" s="74" t="s">
        <v>2787</v>
      </c>
      <c r="B87" s="74" t="s">
        <v>2764</v>
      </c>
      <c r="C87" s="74" t="s">
        <v>2764</v>
      </c>
      <c r="D87" s="74" t="s">
        <v>2808</v>
      </c>
      <c r="E87" s="74" t="s">
        <v>2806</v>
      </c>
      <c r="F87" s="74"/>
      <c r="G87" s="238"/>
      <c r="H87" s="74" t="s">
        <v>2805</v>
      </c>
      <c r="I87" s="74" t="s">
        <v>81</v>
      </c>
      <c r="J87" s="74" t="s">
        <v>2807</v>
      </c>
      <c r="K87" s="74" t="s">
        <v>81</v>
      </c>
      <c r="L87" s="74" t="s">
        <v>81</v>
      </c>
      <c r="M87" s="74" t="s">
        <v>81</v>
      </c>
      <c r="N87" s="74" t="s">
        <v>81</v>
      </c>
      <c r="O87" s="74" t="s">
        <v>81</v>
      </c>
      <c r="P87" s="74" t="s">
        <v>2760</v>
      </c>
      <c r="Q87" s="74" t="s">
        <v>2760</v>
      </c>
      <c r="R87" s="74" t="s">
        <v>2767</v>
      </c>
      <c r="S87" s="74" t="s">
        <v>2766</v>
      </c>
    </row>
    <row r="88" spans="1:19" s="68" customFormat="1">
      <c r="A88" s="74" t="s">
        <v>2788</v>
      </c>
      <c r="B88" s="74" t="s">
        <v>2764</v>
      </c>
      <c r="C88" s="74" t="s">
        <v>2764</v>
      </c>
      <c r="D88" s="74" t="s">
        <v>2808</v>
      </c>
      <c r="E88" s="74" t="s">
        <v>2806</v>
      </c>
      <c r="F88" s="74"/>
      <c r="G88" s="238"/>
      <c r="H88" s="74" t="s">
        <v>2805</v>
      </c>
      <c r="I88" s="74" t="s">
        <v>81</v>
      </c>
      <c r="J88" s="74" t="s">
        <v>2807</v>
      </c>
      <c r="K88" s="74" t="s">
        <v>81</v>
      </c>
      <c r="L88" s="74" t="s">
        <v>81</v>
      </c>
      <c r="M88" s="74" t="s">
        <v>81</v>
      </c>
      <c r="N88" s="74" t="s">
        <v>81</v>
      </c>
      <c r="O88" s="74" t="s">
        <v>81</v>
      </c>
      <c r="P88" s="74" t="s">
        <v>2760</v>
      </c>
      <c r="Q88" s="74" t="s">
        <v>2760</v>
      </c>
      <c r="R88" s="74" t="s">
        <v>2767</v>
      </c>
      <c r="S88" s="74" t="s">
        <v>2766</v>
      </c>
    </row>
    <row r="89" spans="1:19" s="68" customFormat="1">
      <c r="A89" s="74" t="s">
        <v>2783</v>
      </c>
      <c r="B89" s="74" t="s">
        <v>2764</v>
      </c>
      <c r="C89" s="74" t="s">
        <v>2764</v>
      </c>
      <c r="D89" s="74" t="s">
        <v>2808</v>
      </c>
      <c r="E89" s="74" t="s">
        <v>2806</v>
      </c>
      <c r="F89" s="74"/>
      <c r="G89" s="238"/>
      <c r="H89" s="74" t="s">
        <v>2805</v>
      </c>
      <c r="I89" s="74" t="s">
        <v>81</v>
      </c>
      <c r="J89" s="74" t="s">
        <v>2807</v>
      </c>
      <c r="K89" s="74" t="s">
        <v>81</v>
      </c>
      <c r="L89" s="74" t="s">
        <v>81</v>
      </c>
      <c r="M89" s="74" t="s">
        <v>81</v>
      </c>
      <c r="N89" s="74" t="s">
        <v>81</v>
      </c>
      <c r="O89" s="74" t="s">
        <v>81</v>
      </c>
      <c r="P89" s="74" t="s">
        <v>2760</v>
      </c>
      <c r="Q89" s="74" t="s">
        <v>2760</v>
      </c>
      <c r="R89" s="74" t="s">
        <v>2767</v>
      </c>
      <c r="S89" s="74" t="s">
        <v>2766</v>
      </c>
    </row>
    <row r="90" spans="1:19" s="68" customFormat="1">
      <c r="A90" s="74" t="s">
        <v>2867</v>
      </c>
      <c r="B90" s="74" t="s">
        <v>2764</v>
      </c>
      <c r="C90" s="74" t="s">
        <v>2764</v>
      </c>
      <c r="D90" s="74" t="s">
        <v>2907</v>
      </c>
      <c r="E90" s="74" t="s">
        <v>2894</v>
      </c>
      <c r="F90" s="74" t="s">
        <v>2889</v>
      </c>
      <c r="G90" s="238" t="s">
        <v>2892</v>
      </c>
      <c r="H90" s="74" t="s">
        <v>2830</v>
      </c>
      <c r="I90" s="74" t="s">
        <v>81</v>
      </c>
      <c r="J90" s="74" t="s">
        <v>2832</v>
      </c>
      <c r="K90" s="74" t="s">
        <v>81</v>
      </c>
      <c r="L90" s="74" t="s">
        <v>81</v>
      </c>
      <c r="M90" s="74" t="s">
        <v>81</v>
      </c>
      <c r="N90" s="74" t="s">
        <v>81</v>
      </c>
      <c r="O90" s="74" t="s">
        <v>81</v>
      </c>
      <c r="P90" s="74" t="s">
        <v>2760</v>
      </c>
      <c r="Q90" s="74" t="s">
        <v>2760</v>
      </c>
      <c r="R90" s="74" t="s">
        <v>2888</v>
      </c>
      <c r="S90" s="74" t="s">
        <v>2893</v>
      </c>
    </row>
    <row r="91" spans="1:19" s="68" customFormat="1">
      <c r="A91" s="74" t="s">
        <v>2866</v>
      </c>
      <c r="B91" s="74" t="s">
        <v>2764</v>
      </c>
      <c r="C91" s="74" t="s">
        <v>2764</v>
      </c>
      <c r="D91" s="74" t="s">
        <v>2907</v>
      </c>
      <c r="E91" s="74" t="s">
        <v>2831</v>
      </c>
      <c r="F91" s="74" t="s">
        <v>2871</v>
      </c>
      <c r="G91" s="238" t="s">
        <v>2872</v>
      </c>
      <c r="H91" s="74" t="s">
        <v>2830</v>
      </c>
      <c r="I91" s="74" t="s">
        <v>81</v>
      </c>
      <c r="J91" s="74" t="s">
        <v>2832</v>
      </c>
      <c r="K91" s="74" t="s">
        <v>81</v>
      </c>
      <c r="L91" s="74" t="s">
        <v>81</v>
      </c>
      <c r="M91" s="74" t="s">
        <v>81</v>
      </c>
      <c r="N91" s="74" t="s">
        <v>81</v>
      </c>
      <c r="O91" s="74" t="s">
        <v>81</v>
      </c>
      <c r="P91" s="74" t="s">
        <v>2760</v>
      </c>
      <c r="Q91" s="74" t="s">
        <v>2760</v>
      </c>
      <c r="R91" s="74" t="s">
        <v>2907</v>
      </c>
      <c r="S91" s="74" t="s">
        <v>2833</v>
      </c>
    </row>
    <row r="92" spans="1:19" s="68" customFormat="1">
      <c r="A92" s="238" t="s">
        <v>2815</v>
      </c>
      <c r="B92" s="74" t="s">
        <v>2764</v>
      </c>
      <c r="C92" s="74" t="s">
        <v>2764</v>
      </c>
      <c r="D92" s="74" t="s">
        <v>2895</v>
      </c>
      <c r="E92" s="74" t="s">
        <v>2828</v>
      </c>
      <c r="F92" s="74" t="s">
        <v>81</v>
      </c>
      <c r="G92" s="238" t="s">
        <v>81</v>
      </c>
      <c r="H92" s="74" t="s">
        <v>2827</v>
      </c>
      <c r="I92" s="74" t="s">
        <v>81</v>
      </c>
      <c r="J92" s="74" t="s">
        <v>2834</v>
      </c>
      <c r="K92" s="74" t="s">
        <v>81</v>
      </c>
      <c r="L92" s="74" t="s">
        <v>81</v>
      </c>
      <c r="M92" s="74" t="s">
        <v>81</v>
      </c>
      <c r="N92" s="74" t="s">
        <v>81</v>
      </c>
      <c r="O92" s="74" t="s">
        <v>81</v>
      </c>
      <c r="P92" s="74" t="s">
        <v>2760</v>
      </c>
      <c r="Q92" s="74" t="s">
        <v>2760</v>
      </c>
      <c r="R92" s="74" t="s">
        <v>2826</v>
      </c>
      <c r="S92" s="74" t="s">
        <v>2829</v>
      </c>
    </row>
    <row r="101" spans="17:17">
      <c r="Q101" s="104" t="s">
        <v>2765</v>
      </c>
    </row>
  </sheetData>
  <mergeCells count="1">
    <mergeCell ref="D1:S1"/>
  </mergeCells>
  <phoneticPr fontId="33"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24"/>
  <sheetViews>
    <sheetView workbookViewId="0">
      <selection activeCell="C7" sqref="C7"/>
    </sheetView>
  </sheetViews>
  <sheetFormatPr defaultRowHeight="14.4"/>
  <cols>
    <col min="2" max="2" width="17.26171875" bestFit="1" customWidth="1"/>
    <col min="3" max="3" width="101.7890625" customWidth="1"/>
    <col min="4" max="4" width="40" bestFit="1" customWidth="1"/>
  </cols>
  <sheetData>
    <row r="1" spans="1:4">
      <c r="A1" s="58" t="s">
        <v>405</v>
      </c>
      <c r="B1" s="58" t="s">
        <v>528</v>
      </c>
      <c r="C1" s="59" t="s">
        <v>529</v>
      </c>
      <c r="D1" s="60" t="s">
        <v>530</v>
      </c>
    </row>
    <row r="2" spans="1:4">
      <c r="A2" s="75">
        <v>1</v>
      </c>
      <c r="B2" s="76" t="s">
        <v>561</v>
      </c>
      <c r="C2" s="73" t="s">
        <v>562</v>
      </c>
      <c r="D2" s="74" t="s">
        <v>406</v>
      </c>
    </row>
    <row r="3" spans="1:4">
      <c r="A3" s="314">
        <v>2</v>
      </c>
      <c r="B3" s="315" t="s">
        <v>546</v>
      </c>
      <c r="C3" s="21" t="s">
        <v>543</v>
      </c>
      <c r="D3" s="17" t="s">
        <v>406</v>
      </c>
    </row>
    <row r="4" spans="1:4" ht="72">
      <c r="A4" s="314"/>
      <c r="B4" s="315"/>
      <c r="C4" s="21" t="s">
        <v>542</v>
      </c>
      <c r="D4" s="17" t="s">
        <v>406</v>
      </c>
    </row>
    <row r="5" spans="1:4" ht="105" customHeight="1">
      <c r="A5" s="314">
        <v>3</v>
      </c>
      <c r="B5" s="315" t="s">
        <v>545</v>
      </c>
      <c r="C5" s="21" t="s">
        <v>862</v>
      </c>
      <c r="D5" s="17" t="s">
        <v>406</v>
      </c>
    </row>
    <row r="6" spans="1:4" ht="100.8">
      <c r="A6" s="314"/>
      <c r="B6" s="315"/>
      <c r="C6" s="73" t="s">
        <v>544</v>
      </c>
      <c r="D6" s="17" t="s">
        <v>406</v>
      </c>
    </row>
    <row r="7" spans="1:4" ht="223.5" customHeight="1">
      <c r="A7" s="75">
        <v>4</v>
      </c>
      <c r="B7" s="76" t="s">
        <v>547</v>
      </c>
      <c r="C7" s="73" t="s">
        <v>869</v>
      </c>
      <c r="D7" s="74" t="s">
        <v>548</v>
      </c>
    </row>
    <row r="8" spans="1:4" ht="86.4">
      <c r="A8" s="314">
        <v>5</v>
      </c>
      <c r="B8" s="76" t="s">
        <v>549</v>
      </c>
      <c r="C8" s="73" t="s">
        <v>550</v>
      </c>
      <c r="D8" s="74" t="s">
        <v>548</v>
      </c>
    </row>
    <row r="9" spans="1:4" ht="57.6">
      <c r="A9" s="314">
        <v>5</v>
      </c>
      <c r="B9" s="76" t="s">
        <v>551</v>
      </c>
      <c r="C9" s="73" t="s">
        <v>552</v>
      </c>
      <c r="D9" s="74" t="s">
        <v>548</v>
      </c>
    </row>
    <row r="10" spans="1:4" ht="57.6">
      <c r="A10" s="314">
        <v>6</v>
      </c>
      <c r="B10" s="76" t="s">
        <v>554</v>
      </c>
      <c r="C10" s="73" t="s">
        <v>642</v>
      </c>
      <c r="D10" s="74" t="s">
        <v>548</v>
      </c>
    </row>
    <row r="11" spans="1:4" ht="28.8">
      <c r="A11" s="314"/>
      <c r="B11" s="76" t="s">
        <v>553</v>
      </c>
      <c r="C11" s="73" t="s">
        <v>631</v>
      </c>
      <c r="D11" s="74" t="s">
        <v>407</v>
      </c>
    </row>
    <row r="12" spans="1:4">
      <c r="A12" s="75">
        <v>7</v>
      </c>
      <c r="B12" s="76" t="s">
        <v>560</v>
      </c>
      <c r="C12" s="73" t="s">
        <v>563</v>
      </c>
      <c r="D12" s="74" t="s">
        <v>406</v>
      </c>
    </row>
    <row r="13" spans="1:4">
      <c r="A13" s="314">
        <v>8</v>
      </c>
      <c r="B13" s="76" t="s">
        <v>555</v>
      </c>
      <c r="C13" s="73" t="s">
        <v>408</v>
      </c>
      <c r="D13" s="74" t="s">
        <v>406</v>
      </c>
    </row>
    <row r="14" spans="1:4" ht="28.8">
      <c r="A14" s="314">
        <v>7.5714285714285703</v>
      </c>
      <c r="B14" s="76" t="s">
        <v>556</v>
      </c>
      <c r="C14" s="73" t="s">
        <v>632</v>
      </c>
      <c r="D14" s="74" t="s">
        <v>406</v>
      </c>
    </row>
    <row r="15" spans="1:4">
      <c r="A15" s="314">
        <v>9</v>
      </c>
      <c r="B15" s="76" t="s">
        <v>559</v>
      </c>
      <c r="C15" s="73" t="s">
        <v>409</v>
      </c>
      <c r="D15" s="74" t="s">
        <v>410</v>
      </c>
    </row>
    <row r="16" spans="1:4">
      <c r="A16" s="314"/>
      <c r="B16" s="76" t="s">
        <v>558</v>
      </c>
      <c r="C16" s="73" t="s">
        <v>411</v>
      </c>
      <c r="D16" s="74" t="s">
        <v>412</v>
      </c>
    </row>
    <row r="17" spans="1:4">
      <c r="A17" s="75">
        <v>10</v>
      </c>
      <c r="B17" s="76" t="s">
        <v>557</v>
      </c>
      <c r="C17" s="73" t="s">
        <v>413</v>
      </c>
      <c r="D17" s="74" t="s">
        <v>407</v>
      </c>
    </row>
    <row r="23" spans="1:4">
      <c r="A23" s="94" t="s">
        <v>804</v>
      </c>
    </row>
    <row r="24" spans="1:4" ht="43.2">
      <c r="B24">
        <v>1</v>
      </c>
      <c r="C24" s="95" t="s">
        <v>805</v>
      </c>
    </row>
  </sheetData>
  <mergeCells count="8">
    <mergeCell ref="A13:A14"/>
    <mergeCell ref="A15:A16"/>
    <mergeCell ref="B3:B4"/>
    <mergeCell ref="A3:A4"/>
    <mergeCell ref="A5:A6"/>
    <mergeCell ref="B5:B6"/>
    <mergeCell ref="A8:A9"/>
    <mergeCell ref="A10:A11"/>
  </mergeCells>
  <phoneticPr fontId="17" type="noConversion"/>
  <pageMargins left="0.7" right="0.7" top="0.75" bottom="0.75" header="0.3" footer="0.3"/>
  <pageSetup paperSize="3"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C2C0E0F-3FFB-4FE9-8645-7AB78C95DAC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151</vt:i4>
      </vt:variant>
    </vt:vector>
  </HeadingPairs>
  <TitlesOfParts>
    <vt:vector size="161" baseType="lpstr">
      <vt:lpstr>Language Policy</vt:lpstr>
      <vt:lpstr>MR SW Matrix (Obsolete)</vt:lpstr>
      <vt:lpstr>Notes</vt:lpstr>
      <vt:lpstr>ePM Form Data</vt:lpstr>
      <vt:lpstr>MR SW Matrix</vt:lpstr>
      <vt:lpstr>Revision History</vt:lpstr>
      <vt:lpstr>Reference Lists</vt:lpstr>
      <vt:lpstr>RegionList</vt:lpstr>
      <vt:lpstr>SW_OS ISO Checksums_sha256</vt:lpstr>
      <vt:lpstr>Rules to fill the sheet</vt:lpstr>
      <vt:lpstr>Brivo_MR355_GI</vt:lpstr>
      <vt:lpstr>BrivoMR355</vt:lpstr>
      <vt:lpstr>Contour_Profile</vt:lpstr>
      <vt:lpstr>Contour_Profile_GI</vt:lpstr>
      <vt:lpstr>DISCOVERY_MR450_GI</vt:lpstr>
      <vt:lpstr>DISCOVERY_MR750_GI</vt:lpstr>
      <vt:lpstr>DISCOVERY_MR750w_GI</vt:lpstr>
      <vt:lpstr>Discovery450</vt:lpstr>
      <vt:lpstr>DISCOVERY750</vt:lpstr>
      <vt:lpstr>Discovery750w</vt:lpstr>
      <vt:lpstr>DISCOVERYMR450</vt:lpstr>
      <vt:lpstr>DISCOVERYMR750</vt:lpstr>
      <vt:lpstr>DISCOVERYMR750w</vt:lpstr>
      <vt:lpstr>Excite</vt:lpstr>
      <vt:lpstr>Excite_GI</vt:lpstr>
      <vt:lpstr>Excite_OpenSpeed</vt:lpstr>
      <vt:lpstr>Excite_OpenSpeed_GI</vt:lpstr>
      <vt:lpstr>Excite_Ovation</vt:lpstr>
      <vt:lpstr>Excite_Ovation_GI</vt:lpstr>
      <vt:lpstr>HDe_2</vt:lpstr>
      <vt:lpstr>HDe_2_GI</vt:lpstr>
      <vt:lpstr>HFO_5</vt:lpstr>
      <vt:lpstr>HFO_5_GI</vt:lpstr>
      <vt:lpstr>Horizon_3T</vt:lpstr>
      <vt:lpstr>Horizon_3T_GI</vt:lpstr>
      <vt:lpstr>Horizon_Open_Speed</vt:lpstr>
      <vt:lpstr>Horizon_Open_Speed_GI</vt:lpstr>
      <vt:lpstr>'MR SW Matrix'!OLE_LINK10</vt:lpstr>
      <vt:lpstr>'MR SW Matrix'!OLE_LINK27</vt:lpstr>
      <vt:lpstr>Notes!OLE_LINK28</vt:lpstr>
      <vt:lpstr>'MR SW Matrix'!OLE_LINK44</vt:lpstr>
      <vt:lpstr>'MR SW Matrix'!OLE_LINK72</vt:lpstr>
      <vt:lpstr>ONI_MSK_Extreme_1.5T</vt:lpstr>
      <vt:lpstr>ONI_MSK_Extreme_1.5T_GI</vt:lpstr>
      <vt:lpstr>ONI_Optima_430s</vt:lpstr>
      <vt:lpstr>ONI_Optima_430s_GI</vt:lpstr>
      <vt:lpstr>ONI_ORTHONE_1.0</vt:lpstr>
      <vt:lpstr>ONI_ORTHONE_1.0_GI</vt:lpstr>
      <vt:lpstr>Optima_MR360</vt:lpstr>
      <vt:lpstr>Optima_MR360_GI</vt:lpstr>
      <vt:lpstr>Optima_MR450w_GI</vt:lpstr>
      <vt:lpstr>Optima450w</vt:lpstr>
      <vt:lpstr>Optima450wGEM</vt:lpstr>
      <vt:lpstr>OptimaMR360</vt:lpstr>
      <vt:lpstr>'MR SW Matrix'!OptimaMR360_GI</vt:lpstr>
      <vt:lpstr>OptimaMR450w</vt:lpstr>
      <vt:lpstr>Ovation_2</vt:lpstr>
      <vt:lpstr>Ovation_2_GI</vt:lpstr>
      <vt:lpstr>Ovation_3</vt:lpstr>
      <vt:lpstr>Ovation_3_GI</vt:lpstr>
      <vt:lpstr>Ovation_5</vt:lpstr>
      <vt:lpstr>Ovation_5_GI</vt:lpstr>
      <vt:lpstr>Ovation_HD</vt:lpstr>
      <vt:lpstr>Ovation_HD_GI</vt:lpstr>
      <vt:lpstr>Product_Name_on_AboutMR</vt:lpstr>
      <vt:lpstr>Products</vt:lpstr>
      <vt:lpstr>Profile_5</vt:lpstr>
      <vt:lpstr>Profile_5_GI</vt:lpstr>
      <vt:lpstr>Profile_HD</vt:lpstr>
      <vt:lpstr>Profile_HD_GI</vt:lpstr>
      <vt:lpstr>Resona_ResonaC_MR_MAX_MR_MaxC</vt:lpstr>
      <vt:lpstr>Resona_ResonaC_MR_MAX_MR_MaxC_GI</vt:lpstr>
      <vt:lpstr>Sierra</vt:lpstr>
      <vt:lpstr>Sierra_GI</vt:lpstr>
      <vt:lpstr>Signa_1x_2x_3x</vt:lpstr>
      <vt:lpstr>Signa_1x_2x_3x_GI</vt:lpstr>
      <vt:lpstr>Signa_Advantage</vt:lpstr>
      <vt:lpstr>Signa_Advantage_GI</vt:lpstr>
      <vt:lpstr>SIGNA_Architect_GI</vt:lpstr>
      <vt:lpstr>SIGNA_Artist_Evo_GI</vt:lpstr>
      <vt:lpstr>SIGNA_Artist_GI</vt:lpstr>
      <vt:lpstr>SIGNA_Aviator_Air</vt:lpstr>
      <vt:lpstr>SIGNA_Creator_DL_GI</vt:lpstr>
      <vt:lpstr>SIGNA_Creator_GI</vt:lpstr>
      <vt:lpstr>Signa_E2</vt:lpstr>
      <vt:lpstr>Signa_E2_GI</vt:lpstr>
      <vt:lpstr>SIGNA_Explorer_DL_GI</vt:lpstr>
      <vt:lpstr>SIGNA_Explorer_GI</vt:lpstr>
      <vt:lpstr>Signa_G3</vt:lpstr>
      <vt:lpstr>Signa_G3_GI</vt:lpstr>
      <vt:lpstr>Signa_HD</vt:lpstr>
      <vt:lpstr>Signa_HD_GI</vt:lpstr>
      <vt:lpstr>Signa_HDi</vt:lpstr>
      <vt:lpstr>Signa_HDi_GI</vt:lpstr>
      <vt:lpstr>Signa_HDx</vt:lpstr>
      <vt:lpstr>Signa_HDx_GI</vt:lpstr>
      <vt:lpstr>Signa_HDxt</vt:lpstr>
      <vt:lpstr>Signa_HDxt_3T</vt:lpstr>
      <vt:lpstr>'MR SW Matrix'!Signa_HDxt_3T_GI</vt:lpstr>
      <vt:lpstr>Signa_HDxt_GI</vt:lpstr>
      <vt:lpstr>SIGNA_Hero_GI</vt:lpstr>
      <vt:lpstr>Signa_Horizon</vt:lpstr>
      <vt:lpstr>Signa_Horizon_GI</vt:lpstr>
      <vt:lpstr>Signa_Lx</vt:lpstr>
      <vt:lpstr>Signa_Lx_GI</vt:lpstr>
      <vt:lpstr>SIGNA_MR355_GI</vt:lpstr>
      <vt:lpstr>SIGNA_MR360_GI</vt:lpstr>
      <vt:lpstr>SIGNA_MR380_GI</vt:lpstr>
      <vt:lpstr>SIGNA_PET_MR_GI</vt:lpstr>
      <vt:lpstr>SIGNA_Pioneer_GI</vt:lpstr>
      <vt:lpstr>SIGNA_Premier_GI</vt:lpstr>
      <vt:lpstr>SIGNA_Prime_GI</vt:lpstr>
      <vt:lpstr>SIGNA_UHP_GI</vt:lpstr>
      <vt:lpstr>Signa_Victor_GI</vt:lpstr>
      <vt:lpstr>SIGNA_Voyager_GI</vt:lpstr>
      <vt:lpstr>SignaArchitect</vt:lpstr>
      <vt:lpstr>SignaArchitectAir</vt:lpstr>
      <vt:lpstr>SignaArchitectT</vt:lpstr>
      <vt:lpstr>'MR SW Matrix'!SignaArchitectT_GI</vt:lpstr>
      <vt:lpstr>SignaArchitectXT</vt:lpstr>
      <vt:lpstr>SignaArtist</vt:lpstr>
      <vt:lpstr>SignaArtistEvo</vt:lpstr>
      <vt:lpstr>SignaArtistT</vt:lpstr>
      <vt:lpstr>SignaArtistXT</vt:lpstr>
      <vt:lpstr>SignaAviatorAir</vt:lpstr>
      <vt:lpstr>SignaCreator</vt:lpstr>
      <vt:lpstr>SignaCreatorDL</vt:lpstr>
      <vt:lpstr>SignaCreatorExplorer</vt:lpstr>
      <vt:lpstr>SignaExplorer</vt:lpstr>
      <vt:lpstr>SignaExplorerCreator</vt:lpstr>
      <vt:lpstr>SignaExplorerDL</vt:lpstr>
      <vt:lpstr>SignaExplorerQuantum</vt:lpstr>
      <vt:lpstr>SignaHDi</vt:lpstr>
      <vt:lpstr>'MR SW Matrix'!SignaHDi_GI</vt:lpstr>
      <vt:lpstr>SignaHDx</vt:lpstr>
      <vt:lpstr>'MR SW Matrix'!SignaHDx_GI</vt:lpstr>
      <vt:lpstr>SignaHDxt</vt:lpstr>
      <vt:lpstr>'MR SW Matrix'!SignaHDxt_GI</vt:lpstr>
      <vt:lpstr>SignaHero</vt:lpstr>
      <vt:lpstr>'MR SW Matrix'!SignaHero_GI</vt:lpstr>
      <vt:lpstr>SignaMR355MR360</vt:lpstr>
      <vt:lpstr>'MR SW Matrix'!SignaMR355MR360_GI</vt:lpstr>
      <vt:lpstr>SignaMR380</vt:lpstr>
      <vt:lpstr>SignaPETMR</vt:lpstr>
      <vt:lpstr>SignaPioneer</vt:lpstr>
      <vt:lpstr>SignaPremier</vt:lpstr>
      <vt:lpstr>'MR SW Matrix'!SignaPremier_GI</vt:lpstr>
      <vt:lpstr>SignaPremierXT</vt:lpstr>
      <vt:lpstr>SignaPrime</vt:lpstr>
      <vt:lpstr>'MR SW Matrix'!SignaPrime_GI</vt:lpstr>
      <vt:lpstr>SignaStarAir</vt:lpstr>
      <vt:lpstr>SignaVictor</vt:lpstr>
      <vt:lpstr>SignaVoyager</vt:lpstr>
      <vt:lpstr>SignaVoyagerAIR</vt:lpstr>
      <vt:lpstr>SignaVoyagerAIR_GI</vt:lpstr>
      <vt:lpstr>Subregion</vt:lpstr>
      <vt:lpstr>TableA</vt:lpstr>
      <vt:lpstr>Unique_Product_Name_on_About_MR_Scanner</vt:lpstr>
      <vt:lpstr>Unique_Subregion</vt:lpstr>
      <vt:lpstr>Vectra</vt:lpstr>
      <vt:lpstr>Vectra_GI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 User</dc:creator>
  <cp:lastModifiedBy>Wang, Zhuqing (GE HealthCare)</cp:lastModifiedBy>
  <cp:lastPrinted>2019-11-06T19:51:06Z</cp:lastPrinted>
  <dcterms:created xsi:type="dcterms:W3CDTF">2018-06-29T17:04:45Z</dcterms:created>
  <dcterms:modified xsi:type="dcterms:W3CDTF">2024-03-11T06:00:00Z</dcterms:modified>
</cp:coreProperties>
</file>